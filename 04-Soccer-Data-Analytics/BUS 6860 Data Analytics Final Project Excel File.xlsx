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pivotTables/pivotTable13.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0.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1.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2.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3.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nmr81\Downloads\"/>
    </mc:Choice>
  </mc:AlternateContent>
  <xr:revisionPtr revIDLastSave="0" documentId="8_{B076DB8C-5BA5-4BDF-9613-3ED165867AA8}" xr6:coauthVersionLast="47" xr6:coauthVersionMax="47" xr10:uidLastSave="{00000000-0000-0000-0000-000000000000}"/>
  <bookViews>
    <workbookView xWindow="-108" yWindow="-108" windowWidth="23256" windowHeight="12456" xr2:uid="{B969BB79-8FCF-4F27-9C94-BD808C60D68D}"/>
  </bookViews>
  <sheets>
    <sheet name="Original_Data" sheetId="1" r:id="rId1"/>
    <sheet name="1a_Goal Scored " sheetId="2" r:id="rId2"/>
    <sheet name="1a_Pass Accuracy " sheetId="3" r:id="rId3"/>
    <sheet name="1a_Injury Type " sheetId="5" r:id="rId4"/>
    <sheet name="1a_Nationality " sheetId="6" r:id="rId5"/>
    <sheet name="1b_Analyze the Metric" sheetId="9" r:id="rId6"/>
    <sheet name="2a_Match and Opponent Analysis " sheetId="4" r:id="rId7"/>
    <sheet name="2b_Location Based Trends" sheetId="10" r:id="rId8"/>
    <sheet name="Detail1" sheetId="13" state="hidden" r:id="rId9"/>
    <sheet name="3a_Injury vs Recovery " sheetId="7" r:id="rId10"/>
    <sheet name="3b_Health and Fitness" sheetId="8" r:id="rId11"/>
    <sheet name="4a_Avg Team or Nat" sheetId="14" r:id="rId12"/>
    <sheet name="4b_Workload Analysis" sheetId="15" r:id="rId13"/>
    <sheet name="4c_Descriptive Stat" sheetId="16" r:id="rId14"/>
    <sheet name="5a_Age vs Speed" sheetId="17" r:id="rId15"/>
    <sheet name="5b_Goals by Position" sheetId="18" r:id="rId16"/>
    <sheet name="5c_Additional Insights" sheetId="19" r:id="rId17"/>
    <sheet name="6_Regression Modeling" sheetId="20" r:id="rId18"/>
    <sheet name="7_Model Interpretation" sheetId="21" r:id="rId19"/>
    <sheet name="8_Multicollinearity Check" sheetId="22" r:id="rId20"/>
  </sheets>
  <definedNames>
    <definedName name="_xlnm._FilterDatabase" localSheetId="7" hidden="1">'2b_Location Based Trends'!$J$1:$AJ$281</definedName>
    <definedName name="_xlnm._FilterDatabase" localSheetId="15" hidden="1">'5b_Goals by Position'!$A$7:$C$287</definedName>
    <definedName name="_xlnm.Criteria" localSheetId="15">'5b_Goals by Position'!$Q$1:$S$2</definedName>
    <definedName name="Day_of_week">'2a_Match and Opponent Analysis '!$B$5:$B$284</definedName>
    <definedName name="_xlnm.Extract" localSheetId="15">'5b_Goals by Position'!$Q$7:$S$7</definedName>
    <definedName name="Match_Date">'2a_Match and Opponent Analysis '!$A$5:$A$284</definedName>
  </definedNames>
  <calcPr calcId="191028"/>
  <pivotCaches>
    <pivotCache cacheId="0" r:id="rId21"/>
    <pivotCache cacheId="1" r:id="rId22"/>
    <pivotCache cacheId="2" r:id="rId23"/>
    <pivotCache cacheId="3" r:id="rId24"/>
    <pivotCache cacheId="4" r:id="rId25"/>
    <pivotCache cacheId="5" r:id="rId26"/>
    <pivotCache cacheId="6" r:id="rId27"/>
    <pivotCache cacheId="7" r:id="rId2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21" l="1"/>
  <c r="C3" i="21"/>
  <c r="Z6" i="20"/>
  <c r="J6" i="20"/>
  <c r="V11" i="18" l="1"/>
  <c r="V10" i="18"/>
  <c r="V9" i="18"/>
  <c r="V8" i="18"/>
  <c r="E3" i="15"/>
  <c r="X5" i="3"/>
  <c r="R5" i="3"/>
  <c r="R6" i="3"/>
  <c r="X4" i="3"/>
  <c r="X6" i="3"/>
  <c r="X3" i="3"/>
  <c r="U4" i="3"/>
  <c r="U5" i="3"/>
  <c r="U6" i="3"/>
  <c r="U3" i="3"/>
  <c r="R4" i="3"/>
  <c r="R3" i="3"/>
  <c r="R2" i="3"/>
  <c r="M29" i="4"/>
  <c r="M30" i="4"/>
  <c r="M27" i="4"/>
  <c r="M28" i="4"/>
  <c r="L30" i="4"/>
  <c r="L29" i="4"/>
  <c r="L28" i="4"/>
  <c r="L27" i="4"/>
  <c r="N9" i="4"/>
  <c r="N8" i="4"/>
  <c r="N7" i="4"/>
  <c r="N6" i="4"/>
  <c r="V6" i="6"/>
  <c r="V7" i="6"/>
  <c r="V8" i="6"/>
  <c r="V9" i="6"/>
  <c r="V10" i="6"/>
  <c r="V5" i="6"/>
  <c r="U6" i="6"/>
  <c r="U7" i="6"/>
  <c r="U8" i="6"/>
  <c r="U9" i="6"/>
  <c r="U10" i="6"/>
  <c r="U5" i="6"/>
  <c r="T6" i="6"/>
  <c r="T7" i="6"/>
  <c r="T8" i="6"/>
  <c r="T9" i="6"/>
  <c r="T10" i="6"/>
  <c r="T5" i="6"/>
  <c r="X6" i="7"/>
  <c r="X5" i="7"/>
  <c r="X4" i="7"/>
  <c r="X3" i="7"/>
  <c r="X2" i="7"/>
  <c r="T3" i="7"/>
  <c r="T4" i="7"/>
  <c r="T5" i="7"/>
  <c r="AQ28" i="10"/>
  <c r="AQ29" i="10"/>
  <c r="AQ30" i="10"/>
  <c r="AQ27" i="10"/>
  <c r="AQ23" i="10"/>
  <c r="AQ24" i="10"/>
  <c r="AQ25" i="10"/>
  <c r="AQ22" i="10"/>
  <c r="D23" i="9"/>
  <c r="E24" i="9"/>
  <c r="E23" i="9"/>
  <c r="E25" i="9"/>
  <c r="D24" i="9"/>
  <c r="D25" i="9"/>
  <c r="C28" i="9"/>
  <c r="C27" i="9"/>
  <c r="B28" i="9"/>
  <c r="B27" i="9"/>
  <c r="C26" i="9"/>
  <c r="B26" i="9"/>
  <c r="C24" i="9"/>
  <c r="C23" i="9"/>
  <c r="C25" i="9"/>
  <c r="B24" i="9"/>
  <c r="B23" i="9"/>
  <c r="B25" i="9"/>
  <c r="C36" i="5"/>
  <c r="U5" i="7"/>
  <c r="U4" i="7"/>
</calcChain>
</file>

<file path=xl/sharedStrings.xml><?xml version="1.0" encoding="utf-8"?>
<sst xmlns="http://schemas.openxmlformats.org/spreadsheetml/2006/main" count="13981" uniqueCount="774">
  <si>
    <t>Player ID</t>
  </si>
  <si>
    <t>Team Name</t>
  </si>
  <si>
    <t>Player Position</t>
  </si>
  <si>
    <t>Match Date</t>
  </si>
  <si>
    <t>Day of Week Played</t>
  </si>
  <si>
    <t>Match Location</t>
  </si>
  <si>
    <t>Minutes Played per Match</t>
  </si>
  <si>
    <t>Goals Scored</t>
  </si>
  <si>
    <t>Assists</t>
  </si>
  <si>
    <t>Pass Accuracy (%)</t>
  </si>
  <si>
    <t>Training Hours per Week</t>
  </si>
  <si>
    <t>Distance Covered (km)</t>
  </si>
  <si>
    <t>Injury Date</t>
  </si>
  <si>
    <t>Injury Type</t>
  </si>
  <si>
    <t>Recovery Date</t>
  </si>
  <si>
    <t>Days to Full Recovery</t>
  </si>
  <si>
    <t>Red Flag</t>
  </si>
  <si>
    <t>Number of Past Injuries</t>
  </si>
  <si>
    <t>Specific Past Injuries</t>
  </si>
  <si>
    <t>Age</t>
  </si>
  <si>
    <t>Height (cm)</t>
  </si>
  <si>
    <t>Weight (kg)</t>
  </si>
  <si>
    <t>Nationality</t>
  </si>
  <si>
    <t>VO2 Max</t>
  </si>
  <si>
    <t>Sprint Speed (m/s)</t>
  </si>
  <si>
    <t>Fatigue Index</t>
  </si>
  <si>
    <t>Muscle Strength Score</t>
  </si>
  <si>
    <t>PID0001</t>
  </si>
  <si>
    <t>Team A</t>
  </si>
  <si>
    <t>Defender</t>
  </si>
  <si>
    <t>2023-01-01</t>
  </si>
  <si>
    <t>Sunday</t>
  </si>
  <si>
    <t>Home</t>
  </si>
  <si>
    <t>ACL Tear</t>
  </si>
  <si>
    <t>ACL</t>
  </si>
  <si>
    <t>Spain</t>
  </si>
  <si>
    <t>PID0002</t>
  </si>
  <si>
    <t>Team C</t>
  </si>
  <si>
    <t>Midfielder</t>
  </si>
  <si>
    <t>2023-01-02</t>
  </si>
  <si>
    <t>Friday</t>
  </si>
  <si>
    <t>Away</t>
  </si>
  <si>
    <t>Ankle Sprain</t>
  </si>
  <si>
    <t>None</t>
  </si>
  <si>
    <t>UK</t>
  </si>
  <si>
    <t>PID0003</t>
  </si>
  <si>
    <t>2023-01-03</t>
  </si>
  <si>
    <t>Hamstring Strain</t>
  </si>
  <si>
    <t>Brazil</t>
  </si>
  <si>
    <t>PID0004</t>
  </si>
  <si>
    <t>2023-01-04</t>
  </si>
  <si>
    <t>Thursday</t>
  </si>
  <si>
    <t>Hamstring</t>
  </si>
  <si>
    <t>Germany</t>
  </si>
  <si>
    <t>PID0005</t>
  </si>
  <si>
    <t>2023-01-05</t>
  </si>
  <si>
    <t>Monday</t>
  </si>
  <si>
    <t>PID0006</t>
  </si>
  <si>
    <t>2023-01-06</t>
  </si>
  <si>
    <t>PID0007</t>
  </si>
  <si>
    <t>2023-01-07</t>
  </si>
  <si>
    <t>Ankle</t>
  </si>
  <si>
    <t>Argentina</t>
  </si>
  <si>
    <t>PID0008</t>
  </si>
  <si>
    <t>Team B</t>
  </si>
  <si>
    <t>Forward</t>
  </si>
  <si>
    <t>2023-01-08</t>
  </si>
  <si>
    <t>PID0009</t>
  </si>
  <si>
    <t>Team D</t>
  </si>
  <si>
    <t>2023-01-09</t>
  </si>
  <si>
    <t>USA</t>
  </si>
  <si>
    <t>PID0010</t>
  </si>
  <si>
    <t>2023-01-10</t>
  </si>
  <si>
    <t>PID0011</t>
  </si>
  <si>
    <t>2023-01-11</t>
  </si>
  <si>
    <t>Wednesday</t>
  </si>
  <si>
    <t>PID0012</t>
  </si>
  <si>
    <t>2023-01-12</t>
  </si>
  <si>
    <t>PID0013</t>
  </si>
  <si>
    <t>2023-01-13</t>
  </si>
  <si>
    <t>Tuesday</t>
  </si>
  <si>
    <t>PID0014</t>
  </si>
  <si>
    <t>Goalkeeper</t>
  </si>
  <si>
    <t>2023-01-14</t>
  </si>
  <si>
    <t>PID0015</t>
  </si>
  <si>
    <t>2023-01-15</t>
  </si>
  <si>
    <t>PID0016</t>
  </si>
  <si>
    <t>2023-01-16</t>
  </si>
  <si>
    <t>PID0017</t>
  </si>
  <si>
    <t>2023-01-17</t>
  </si>
  <si>
    <t>PID0018</t>
  </si>
  <si>
    <t>2023-01-18</t>
  </si>
  <si>
    <t>PID0019</t>
  </si>
  <si>
    <t>2023-01-19</t>
  </si>
  <si>
    <t>Saturday</t>
  </si>
  <si>
    <t>PID0020</t>
  </si>
  <si>
    <t>2023-01-20</t>
  </si>
  <si>
    <t>PID0021</t>
  </si>
  <si>
    <t>2023-01-21</t>
  </si>
  <si>
    <t>PID0022</t>
  </si>
  <si>
    <t>2023-01-22</t>
  </si>
  <si>
    <t>PID0023</t>
  </si>
  <si>
    <t>2023-01-23</t>
  </si>
  <si>
    <t>PID0024</t>
  </si>
  <si>
    <t>2023-01-24</t>
  </si>
  <si>
    <t>PID0025</t>
  </si>
  <si>
    <t>2023-01-25</t>
  </si>
  <si>
    <t>PID0026</t>
  </si>
  <si>
    <t>2023-01-26</t>
  </si>
  <si>
    <t>PID0027</t>
  </si>
  <si>
    <t>2023-01-27</t>
  </si>
  <si>
    <t>PID0028</t>
  </si>
  <si>
    <t>2023-01-28</t>
  </si>
  <si>
    <t>PID0029</t>
  </si>
  <si>
    <t>2023-01-29</t>
  </si>
  <si>
    <t>PID0030</t>
  </si>
  <si>
    <t>2023-01-30</t>
  </si>
  <si>
    <t>PID0031</t>
  </si>
  <si>
    <t>2023-01-31</t>
  </si>
  <si>
    <t>PID0032</t>
  </si>
  <si>
    <t>2023-02-01</t>
  </si>
  <si>
    <t>PID0033</t>
  </si>
  <si>
    <t>2023-02-02</t>
  </si>
  <si>
    <t>PID0034</t>
  </si>
  <si>
    <t>2023-02-03</t>
  </si>
  <si>
    <t>PID0035</t>
  </si>
  <si>
    <t>2023-02-04</t>
  </si>
  <si>
    <t>PID0036</t>
  </si>
  <si>
    <t>2023-02-05</t>
  </si>
  <si>
    <t>PID0037</t>
  </si>
  <si>
    <t>2023-02-06</t>
  </si>
  <si>
    <t>PID0038</t>
  </si>
  <si>
    <t>2023-02-07</t>
  </si>
  <si>
    <t>PID0039</t>
  </si>
  <si>
    <t>2023-02-08</t>
  </si>
  <si>
    <t>PID0040</t>
  </si>
  <si>
    <t>2023-02-09</t>
  </si>
  <si>
    <t>PID0041</t>
  </si>
  <si>
    <t>2023-02-10</t>
  </si>
  <si>
    <t>PID0042</t>
  </si>
  <si>
    <t>2023-02-11</t>
  </si>
  <si>
    <t>PID0043</t>
  </si>
  <si>
    <t>2023-02-12</t>
  </si>
  <si>
    <t>PID0044</t>
  </si>
  <si>
    <t>2023-02-13</t>
  </si>
  <si>
    <t>PID0045</t>
  </si>
  <si>
    <t>2023-02-14</t>
  </si>
  <si>
    <t>PID0046</t>
  </si>
  <si>
    <t>2023-02-15</t>
  </si>
  <si>
    <t>PID0047</t>
  </si>
  <si>
    <t>2023-02-16</t>
  </si>
  <si>
    <t>PID0048</t>
  </si>
  <si>
    <t>2023-02-17</t>
  </si>
  <si>
    <t>PID0049</t>
  </si>
  <si>
    <t>2023-02-18</t>
  </si>
  <si>
    <t>PID0050</t>
  </si>
  <si>
    <t>2023-02-19</t>
  </si>
  <si>
    <t>PID0051</t>
  </si>
  <si>
    <t>2023-02-20</t>
  </si>
  <si>
    <t>PID0052</t>
  </si>
  <si>
    <t>2023-02-21</t>
  </si>
  <si>
    <t>PID0053</t>
  </si>
  <si>
    <t>2023-02-22</t>
  </si>
  <si>
    <t>PID0054</t>
  </si>
  <si>
    <t>2023-02-23</t>
  </si>
  <si>
    <t>PID0055</t>
  </si>
  <si>
    <t>2023-02-24</t>
  </si>
  <si>
    <t>PID0056</t>
  </si>
  <si>
    <t>2023-02-25</t>
  </si>
  <si>
    <t>PID0057</t>
  </si>
  <si>
    <t>2023-02-26</t>
  </si>
  <si>
    <t>PID0058</t>
  </si>
  <si>
    <t>2023-02-27</t>
  </si>
  <si>
    <t>PID0059</t>
  </si>
  <si>
    <t>2023-02-28</t>
  </si>
  <si>
    <t>PID0060</t>
  </si>
  <si>
    <t>2023-03-01</t>
  </si>
  <si>
    <t>PID0061</t>
  </si>
  <si>
    <t>2023-03-02</t>
  </si>
  <si>
    <t>PID0062</t>
  </si>
  <si>
    <t>2023-03-03</t>
  </si>
  <si>
    <t>PID0063</t>
  </si>
  <si>
    <t>2023-03-04</t>
  </si>
  <si>
    <t>PID0064</t>
  </si>
  <si>
    <t>2023-03-05</t>
  </si>
  <si>
    <t>PID0065</t>
  </si>
  <si>
    <t>2023-03-06</t>
  </si>
  <si>
    <t>PID0066</t>
  </si>
  <si>
    <t>2023-03-07</t>
  </si>
  <si>
    <t>PID0067</t>
  </si>
  <si>
    <t>2023-03-08</t>
  </si>
  <si>
    <t>PID0068</t>
  </si>
  <si>
    <t>2023-03-09</t>
  </si>
  <si>
    <t>PID0069</t>
  </si>
  <si>
    <t>2023-03-10</t>
  </si>
  <si>
    <t>PID0070</t>
  </si>
  <si>
    <t>2023-03-11</t>
  </si>
  <si>
    <t>PID0071</t>
  </si>
  <si>
    <t>2023-03-12</t>
  </si>
  <si>
    <t>PID0072</t>
  </si>
  <si>
    <t>2023-03-13</t>
  </si>
  <si>
    <t>PID0073</t>
  </si>
  <si>
    <t>2023-03-14</t>
  </si>
  <si>
    <t>PID0074</t>
  </si>
  <si>
    <t>2023-03-15</t>
  </si>
  <si>
    <t>PID0075</t>
  </si>
  <si>
    <t>2023-03-16</t>
  </si>
  <si>
    <t>PID0076</t>
  </si>
  <si>
    <t>2023-03-17</t>
  </si>
  <si>
    <t>PID0077</t>
  </si>
  <si>
    <t>2023-03-18</t>
  </si>
  <si>
    <t>PID0078</t>
  </si>
  <si>
    <t>2023-03-19</t>
  </si>
  <si>
    <t>PID0079</t>
  </si>
  <si>
    <t>2023-03-20</t>
  </si>
  <si>
    <t>PID0080</t>
  </si>
  <si>
    <t>2023-03-21</t>
  </si>
  <si>
    <t>PID0081</t>
  </si>
  <si>
    <t>2023-03-22</t>
  </si>
  <si>
    <t>PID0082</t>
  </si>
  <si>
    <t>2023-03-23</t>
  </si>
  <si>
    <t>PID0083</t>
  </si>
  <si>
    <t>2023-03-24</t>
  </si>
  <si>
    <t>PID0084</t>
  </si>
  <si>
    <t>2023-03-25</t>
  </si>
  <si>
    <t>PID0085</t>
  </si>
  <si>
    <t>2023-03-26</t>
  </si>
  <si>
    <t>PID0086</t>
  </si>
  <si>
    <t>2023-03-27</t>
  </si>
  <si>
    <t>PID0087</t>
  </si>
  <si>
    <t>2023-03-28</t>
  </si>
  <si>
    <t>PID0088</t>
  </si>
  <si>
    <t>2023-03-29</t>
  </si>
  <si>
    <t>PID0089</t>
  </si>
  <si>
    <t>2023-03-30</t>
  </si>
  <si>
    <t>PID0090</t>
  </si>
  <si>
    <t>2023-03-31</t>
  </si>
  <si>
    <t>PID0091</t>
  </si>
  <si>
    <t>2023-04-01</t>
  </si>
  <si>
    <t>PID0092</t>
  </si>
  <si>
    <t>2023-04-02</t>
  </si>
  <si>
    <t>PID0093</t>
  </si>
  <si>
    <t>2023-04-03</t>
  </si>
  <si>
    <t>PID0094</t>
  </si>
  <si>
    <t>2023-04-04</t>
  </si>
  <si>
    <t>PID0095</t>
  </si>
  <si>
    <t>2023-04-05</t>
  </si>
  <si>
    <t>PID0096</t>
  </si>
  <si>
    <t>2023-04-06</t>
  </si>
  <si>
    <t>PID0097</t>
  </si>
  <si>
    <t>2023-04-07</t>
  </si>
  <si>
    <t>PID0098</t>
  </si>
  <si>
    <t>2023-04-08</t>
  </si>
  <si>
    <t>PID0099</t>
  </si>
  <si>
    <t>2023-04-09</t>
  </si>
  <si>
    <t>PID0100</t>
  </si>
  <si>
    <t>2023-04-10</t>
  </si>
  <si>
    <t>PID0101</t>
  </si>
  <si>
    <t>2023-04-11</t>
  </si>
  <si>
    <t>PID0102</t>
  </si>
  <si>
    <t>2023-04-12</t>
  </si>
  <si>
    <t>PID0103</t>
  </si>
  <si>
    <t>2023-04-13</t>
  </si>
  <si>
    <t>PID0104</t>
  </si>
  <si>
    <t>2023-04-14</t>
  </si>
  <si>
    <t>PID0105</t>
  </si>
  <si>
    <t>2023-04-15</t>
  </si>
  <si>
    <t>PID0106</t>
  </si>
  <si>
    <t>2023-04-16</t>
  </si>
  <si>
    <t>PID0107</t>
  </si>
  <si>
    <t>2023-04-17</t>
  </si>
  <si>
    <t>PID0108</t>
  </si>
  <si>
    <t>2023-04-18</t>
  </si>
  <si>
    <t>PID0109</t>
  </si>
  <si>
    <t>2023-04-19</t>
  </si>
  <si>
    <t>PID0110</t>
  </si>
  <si>
    <t>2023-04-20</t>
  </si>
  <si>
    <t>PID0111</t>
  </si>
  <si>
    <t>2023-04-21</t>
  </si>
  <si>
    <t>PID0112</t>
  </si>
  <si>
    <t>2023-04-22</t>
  </si>
  <si>
    <t>PID0113</t>
  </si>
  <si>
    <t>2023-04-23</t>
  </si>
  <si>
    <t>PID0114</t>
  </si>
  <si>
    <t>2023-04-24</t>
  </si>
  <si>
    <t>PID0115</t>
  </si>
  <si>
    <t>2023-04-25</t>
  </si>
  <si>
    <t>PID0116</t>
  </si>
  <si>
    <t>2023-04-26</t>
  </si>
  <si>
    <t>PID0117</t>
  </si>
  <si>
    <t>2023-04-27</t>
  </si>
  <si>
    <t>PID0118</t>
  </si>
  <si>
    <t>2023-04-28</t>
  </si>
  <si>
    <t>PID0119</t>
  </si>
  <si>
    <t>2023-04-29</t>
  </si>
  <si>
    <t>PID0120</t>
  </si>
  <si>
    <t>2023-04-30</t>
  </si>
  <si>
    <t>PID0121</t>
  </si>
  <si>
    <t>2023-05-01</t>
  </si>
  <si>
    <t>PID0122</t>
  </si>
  <si>
    <t>2023-05-02</t>
  </si>
  <si>
    <t>PID0123</t>
  </si>
  <si>
    <t>2023-05-03</t>
  </si>
  <si>
    <t>PID0124</t>
  </si>
  <si>
    <t>2023-05-04</t>
  </si>
  <si>
    <t>PID0125</t>
  </si>
  <si>
    <t>2023-05-05</t>
  </si>
  <si>
    <t>PID0126</t>
  </si>
  <si>
    <t>2023-05-06</t>
  </si>
  <si>
    <t>PID0127</t>
  </si>
  <si>
    <t>2023-05-07</t>
  </si>
  <si>
    <t>PID0128</t>
  </si>
  <si>
    <t>2023-05-08</t>
  </si>
  <si>
    <t>PID0129</t>
  </si>
  <si>
    <t>2023-05-09</t>
  </si>
  <si>
    <t>PID0130</t>
  </si>
  <si>
    <t>2023-05-10</t>
  </si>
  <si>
    <t>PID0131</t>
  </si>
  <si>
    <t>2023-05-11</t>
  </si>
  <si>
    <t>PID0132</t>
  </si>
  <si>
    <t>2023-05-12</t>
  </si>
  <si>
    <t>PID0133</t>
  </si>
  <si>
    <t>2023-05-13</t>
  </si>
  <si>
    <t>PID0134</t>
  </si>
  <si>
    <t>2023-05-14</t>
  </si>
  <si>
    <t>PID0135</t>
  </si>
  <si>
    <t>2023-05-15</t>
  </si>
  <si>
    <t>PID0136</t>
  </si>
  <si>
    <t>2023-05-16</t>
  </si>
  <si>
    <t>PID0137</t>
  </si>
  <si>
    <t>2023-05-17</t>
  </si>
  <si>
    <t>PID0138</t>
  </si>
  <si>
    <t>2023-05-18</t>
  </si>
  <si>
    <t>PID0139</t>
  </si>
  <si>
    <t>2023-05-19</t>
  </si>
  <si>
    <t>PID0140</t>
  </si>
  <si>
    <t>2023-05-20</t>
  </si>
  <si>
    <t>PID0141</t>
  </si>
  <si>
    <t>2023-05-21</t>
  </si>
  <si>
    <t>PID0142</t>
  </si>
  <si>
    <t>2023-05-22</t>
  </si>
  <si>
    <t>PID0143</t>
  </si>
  <si>
    <t>2023-05-23</t>
  </si>
  <si>
    <t>PID0144</t>
  </si>
  <si>
    <t>2023-05-24</t>
  </si>
  <si>
    <t>PID0145</t>
  </si>
  <si>
    <t>2023-05-25</t>
  </si>
  <si>
    <t>PID0146</t>
  </si>
  <si>
    <t>2023-05-26</t>
  </si>
  <si>
    <t>PID0147</t>
  </si>
  <si>
    <t>2023-05-27</t>
  </si>
  <si>
    <t>PID0148</t>
  </si>
  <si>
    <t>2023-05-28</t>
  </si>
  <si>
    <t>PID0149</t>
  </si>
  <si>
    <t>2023-05-29</t>
  </si>
  <si>
    <t>PID0150</t>
  </si>
  <si>
    <t>2023-05-30</t>
  </si>
  <si>
    <t>PID0151</t>
  </si>
  <si>
    <t>2023-05-31</t>
  </si>
  <si>
    <t>PID0152</t>
  </si>
  <si>
    <t>2023-06-01</t>
  </si>
  <si>
    <t>PID0153</t>
  </si>
  <si>
    <t>2023-06-02</t>
  </si>
  <si>
    <t>PID0154</t>
  </si>
  <si>
    <t>2023-06-03</t>
  </si>
  <si>
    <t>PID0155</t>
  </si>
  <si>
    <t>2023-06-04</t>
  </si>
  <si>
    <t>PID0156</t>
  </si>
  <si>
    <t>2023-06-05</t>
  </si>
  <si>
    <t>PID0157</t>
  </si>
  <si>
    <t>2023-06-06</t>
  </si>
  <si>
    <t>PID0158</t>
  </si>
  <si>
    <t>2023-06-07</t>
  </si>
  <si>
    <t>PID0159</t>
  </si>
  <si>
    <t>2023-06-08</t>
  </si>
  <si>
    <t>PID0160</t>
  </si>
  <si>
    <t>2023-06-09</t>
  </si>
  <si>
    <t>PID0161</t>
  </si>
  <si>
    <t>2023-06-10</t>
  </si>
  <si>
    <t>PID0162</t>
  </si>
  <si>
    <t>2023-06-11</t>
  </si>
  <si>
    <t>PID0163</t>
  </si>
  <si>
    <t>2023-06-12</t>
  </si>
  <si>
    <t>PID0164</t>
  </si>
  <si>
    <t>2023-06-13</t>
  </si>
  <si>
    <t>PID0165</t>
  </si>
  <si>
    <t>2023-06-14</t>
  </si>
  <si>
    <t>PID0166</t>
  </si>
  <si>
    <t>2023-06-15</t>
  </si>
  <si>
    <t>PID0167</t>
  </si>
  <si>
    <t>2023-06-16</t>
  </si>
  <si>
    <t>PID0168</t>
  </si>
  <si>
    <t>2023-06-17</t>
  </si>
  <si>
    <t>PID0169</t>
  </si>
  <si>
    <t>2023-06-18</t>
  </si>
  <si>
    <t>PID0170</t>
  </si>
  <si>
    <t>2023-06-19</t>
  </si>
  <si>
    <t>PID0171</t>
  </si>
  <si>
    <t>2023-06-20</t>
  </si>
  <si>
    <t>PID0172</t>
  </si>
  <si>
    <t>2023-06-21</t>
  </si>
  <si>
    <t>PID0173</t>
  </si>
  <si>
    <t>2023-06-22</t>
  </si>
  <si>
    <t>PID0174</t>
  </si>
  <si>
    <t>2023-06-23</t>
  </si>
  <si>
    <t>PID0175</t>
  </si>
  <si>
    <t>2023-06-24</t>
  </si>
  <si>
    <t>PID0176</t>
  </si>
  <si>
    <t>2023-06-25</t>
  </si>
  <si>
    <t>PID0177</t>
  </si>
  <si>
    <t>2023-06-26</t>
  </si>
  <si>
    <t>PID0178</t>
  </si>
  <si>
    <t>2023-06-27</t>
  </si>
  <si>
    <t>PID0179</t>
  </si>
  <si>
    <t>2023-06-28</t>
  </si>
  <si>
    <t>PID0180</t>
  </si>
  <si>
    <t>2023-06-29</t>
  </si>
  <si>
    <t>PID0181</t>
  </si>
  <si>
    <t>2023-06-30</t>
  </si>
  <si>
    <t>PID0182</t>
  </si>
  <si>
    <t>2023-07-01</t>
  </si>
  <si>
    <t>PID0183</t>
  </si>
  <si>
    <t>2023-07-02</t>
  </si>
  <si>
    <t>PID0184</t>
  </si>
  <si>
    <t>2023-07-03</t>
  </si>
  <si>
    <t>PID0185</t>
  </si>
  <si>
    <t>2023-07-04</t>
  </si>
  <si>
    <t>PID0186</t>
  </si>
  <si>
    <t>2023-07-05</t>
  </si>
  <si>
    <t>PID0187</t>
  </si>
  <si>
    <t>2023-07-06</t>
  </si>
  <si>
    <t>PID0188</t>
  </si>
  <si>
    <t>2023-07-07</t>
  </si>
  <si>
    <t>PID0189</t>
  </si>
  <si>
    <t>2023-07-08</t>
  </si>
  <si>
    <t>PID0190</t>
  </si>
  <si>
    <t>2023-07-09</t>
  </si>
  <si>
    <t>PID0191</t>
  </si>
  <si>
    <t>2023-07-10</t>
  </si>
  <si>
    <t>PID0192</t>
  </si>
  <si>
    <t>2023-07-11</t>
  </si>
  <si>
    <t>PID0193</t>
  </si>
  <si>
    <t>2023-07-12</t>
  </si>
  <si>
    <t>PID0194</t>
  </si>
  <si>
    <t>2023-07-13</t>
  </si>
  <si>
    <t>PID0195</t>
  </si>
  <si>
    <t>2023-07-14</t>
  </si>
  <si>
    <t>PID0196</t>
  </si>
  <si>
    <t>2023-07-15</t>
  </si>
  <si>
    <t>PID0197</t>
  </si>
  <si>
    <t>2023-07-16</t>
  </si>
  <si>
    <t>PID0198</t>
  </si>
  <si>
    <t>2023-07-17</t>
  </si>
  <si>
    <t>PID0199</t>
  </si>
  <si>
    <t>2023-07-18</t>
  </si>
  <si>
    <t>PID0200</t>
  </si>
  <si>
    <t>2023-07-19</t>
  </si>
  <si>
    <t>PID0201</t>
  </si>
  <si>
    <t>2023-07-20</t>
  </si>
  <si>
    <t>PID0202</t>
  </si>
  <si>
    <t>2023-07-21</t>
  </si>
  <si>
    <t>PID0203</t>
  </si>
  <si>
    <t>2023-07-22</t>
  </si>
  <si>
    <t>PID0204</t>
  </si>
  <si>
    <t>2023-07-23</t>
  </si>
  <si>
    <t>PID0205</t>
  </si>
  <si>
    <t>2023-07-24</t>
  </si>
  <si>
    <t>PID0206</t>
  </si>
  <si>
    <t>2023-07-25</t>
  </si>
  <si>
    <t>PID0207</t>
  </si>
  <si>
    <t>2023-07-26</t>
  </si>
  <si>
    <t>PID0208</t>
  </si>
  <si>
    <t>2023-07-27</t>
  </si>
  <si>
    <t>PID0209</t>
  </si>
  <si>
    <t>2023-07-28</t>
  </si>
  <si>
    <t>PID0210</t>
  </si>
  <si>
    <t>2023-07-29</t>
  </si>
  <si>
    <t>PID0211</t>
  </si>
  <si>
    <t>2023-07-30</t>
  </si>
  <si>
    <t>PID0212</t>
  </si>
  <si>
    <t>2023-07-31</t>
  </si>
  <si>
    <t>PID0213</t>
  </si>
  <si>
    <t>2023-08-01</t>
  </si>
  <si>
    <t>PID0214</t>
  </si>
  <si>
    <t>2023-08-02</t>
  </si>
  <si>
    <t>PID0215</t>
  </si>
  <si>
    <t>2023-08-03</t>
  </si>
  <si>
    <t>PID0216</t>
  </si>
  <si>
    <t>2023-08-04</t>
  </si>
  <si>
    <t>PID0217</t>
  </si>
  <si>
    <t>2023-08-05</t>
  </si>
  <si>
    <t>PID0218</t>
  </si>
  <si>
    <t>2023-08-06</t>
  </si>
  <si>
    <t>PID0219</t>
  </si>
  <si>
    <t>2023-08-07</t>
  </si>
  <si>
    <t>PID0220</t>
  </si>
  <si>
    <t>2023-08-08</t>
  </si>
  <si>
    <t>PID0221</t>
  </si>
  <si>
    <t>2023-08-09</t>
  </si>
  <si>
    <t>PID0222</t>
  </si>
  <si>
    <t>2023-08-10</t>
  </si>
  <si>
    <t>PID0223</t>
  </si>
  <si>
    <t>2023-08-11</t>
  </si>
  <si>
    <t>PID0224</t>
  </si>
  <si>
    <t>2023-08-12</t>
  </si>
  <si>
    <t>PID0225</t>
  </si>
  <si>
    <t>2023-08-13</t>
  </si>
  <si>
    <t>PID0226</t>
  </si>
  <si>
    <t>2023-08-14</t>
  </si>
  <si>
    <t>PID0227</t>
  </si>
  <si>
    <t>2023-08-15</t>
  </si>
  <si>
    <t>PID0228</t>
  </si>
  <si>
    <t>2023-08-16</t>
  </si>
  <si>
    <t>PID0229</t>
  </si>
  <si>
    <t>2023-08-17</t>
  </si>
  <si>
    <t>PID0230</t>
  </si>
  <si>
    <t>2023-08-18</t>
  </si>
  <si>
    <t>PID0231</t>
  </si>
  <si>
    <t>2023-08-19</t>
  </si>
  <si>
    <t>PID0232</t>
  </si>
  <si>
    <t>2023-08-20</t>
  </si>
  <si>
    <t>PID0233</t>
  </si>
  <si>
    <t>2023-08-21</t>
  </si>
  <si>
    <t>PID0234</t>
  </si>
  <si>
    <t>2023-08-22</t>
  </si>
  <si>
    <t>PID0235</t>
  </si>
  <si>
    <t>2023-08-23</t>
  </si>
  <si>
    <t>PID0236</t>
  </si>
  <si>
    <t>2023-08-24</t>
  </si>
  <si>
    <t>PID0237</t>
  </si>
  <si>
    <t>2023-08-25</t>
  </si>
  <si>
    <t>PID0238</t>
  </si>
  <si>
    <t>2023-08-26</t>
  </si>
  <si>
    <t>PID0239</t>
  </si>
  <si>
    <t>2023-08-27</t>
  </si>
  <si>
    <t>PID0240</t>
  </si>
  <si>
    <t>2023-08-28</t>
  </si>
  <si>
    <t>PID0241</t>
  </si>
  <si>
    <t>2023-08-29</t>
  </si>
  <si>
    <t>PID0242</t>
  </si>
  <si>
    <t>2023-08-30</t>
  </si>
  <si>
    <t>PID0243</t>
  </si>
  <si>
    <t>2023-08-31</t>
  </si>
  <si>
    <t>PID0244</t>
  </si>
  <si>
    <t>2023-09-01</t>
  </si>
  <si>
    <t>PID0245</t>
  </si>
  <si>
    <t>2023-09-02</t>
  </si>
  <si>
    <t>PID0246</t>
  </si>
  <si>
    <t>2023-09-03</t>
  </si>
  <si>
    <t>PID0247</t>
  </si>
  <si>
    <t>2023-09-04</t>
  </si>
  <si>
    <t>PID0248</t>
  </si>
  <si>
    <t>2023-09-05</t>
  </si>
  <si>
    <t>PID0249</t>
  </si>
  <si>
    <t>2023-09-06</t>
  </si>
  <si>
    <t>PID0250</t>
  </si>
  <si>
    <t>2023-09-07</t>
  </si>
  <si>
    <t>PID0251</t>
  </si>
  <si>
    <t>2023-09-08</t>
  </si>
  <si>
    <t>PID0252</t>
  </si>
  <si>
    <t>2023-09-09</t>
  </si>
  <si>
    <t>PID0253</t>
  </si>
  <si>
    <t>2023-09-10</t>
  </si>
  <si>
    <t>PID0254</t>
  </si>
  <si>
    <t>2023-09-11</t>
  </si>
  <si>
    <t>PID0255</t>
  </si>
  <si>
    <t>2023-09-12</t>
  </si>
  <si>
    <t>PID0256</t>
  </si>
  <si>
    <t>2023-09-13</t>
  </si>
  <si>
    <t>PID0257</t>
  </si>
  <si>
    <t>2023-09-14</t>
  </si>
  <si>
    <t>PID0258</t>
  </si>
  <si>
    <t>2023-09-15</t>
  </si>
  <si>
    <t>PID0259</t>
  </si>
  <si>
    <t>2023-09-16</t>
  </si>
  <si>
    <t>PID0260</t>
  </si>
  <si>
    <t>2023-09-17</t>
  </si>
  <si>
    <t>PID0261</t>
  </si>
  <si>
    <t>2023-09-18</t>
  </si>
  <si>
    <t>PID0262</t>
  </si>
  <si>
    <t>2023-09-19</t>
  </si>
  <si>
    <t>PID0263</t>
  </si>
  <si>
    <t>2023-09-20</t>
  </si>
  <si>
    <t>PID0264</t>
  </si>
  <si>
    <t>2023-09-21</t>
  </si>
  <si>
    <t>PID0265</t>
  </si>
  <si>
    <t>2023-09-22</t>
  </si>
  <si>
    <t>PID0266</t>
  </si>
  <si>
    <t>2023-09-23</t>
  </si>
  <si>
    <t>PID0267</t>
  </si>
  <si>
    <t>2023-09-24</t>
  </si>
  <si>
    <t>PID0268</t>
  </si>
  <si>
    <t>2023-09-25</t>
  </si>
  <si>
    <t>PID0269</t>
  </si>
  <si>
    <t>2023-09-26</t>
  </si>
  <si>
    <t>PID0270</t>
  </si>
  <si>
    <t>2023-09-27</t>
  </si>
  <si>
    <t>PID0271</t>
  </si>
  <si>
    <t>2023-09-28</t>
  </si>
  <si>
    <t>PID0272</t>
  </si>
  <si>
    <t>2023-09-29</t>
  </si>
  <si>
    <t>PID0273</t>
  </si>
  <si>
    <t>2023-09-30</t>
  </si>
  <si>
    <t>PID0274</t>
  </si>
  <si>
    <t>2023-10-01</t>
  </si>
  <si>
    <t>PID0275</t>
  </si>
  <si>
    <t>2023-10-02</t>
  </si>
  <si>
    <t>PID0276</t>
  </si>
  <si>
    <t>2023-10-03</t>
  </si>
  <si>
    <t>PID0277</t>
  </si>
  <si>
    <t>2023-10-04</t>
  </si>
  <si>
    <t>PID0278</t>
  </si>
  <si>
    <t>2023-10-05</t>
  </si>
  <si>
    <t>PID0279</t>
  </si>
  <si>
    <t>2023-10-06</t>
  </si>
  <si>
    <t>PID0280</t>
  </si>
  <si>
    <t>2023-10-07</t>
  </si>
  <si>
    <t>Clearly define the metric.</t>
  </si>
  <si>
    <t>Explain its significance in assessing player or team effectiveness.</t>
  </si>
  <si>
    <t>Justify why it is worth analyzing</t>
  </si>
  <si>
    <t>Pass Accuracy</t>
  </si>
  <si>
    <t>Min</t>
  </si>
  <si>
    <t>Passing % Per Team</t>
  </si>
  <si>
    <t>Passing % Per Position</t>
  </si>
  <si>
    <t>Max</t>
  </si>
  <si>
    <t xml:space="preserve">Average </t>
  </si>
  <si>
    <t>Median</t>
  </si>
  <si>
    <t>Range</t>
  </si>
  <si>
    <t>;</t>
  </si>
  <si>
    <t xml:space="preserve">count of each injury type </t>
  </si>
  <si>
    <t>Count of Player ID</t>
  </si>
  <si>
    <t>Column Labels</t>
  </si>
  <si>
    <t>Row Labels</t>
  </si>
  <si>
    <t>Grand Total</t>
  </si>
  <si>
    <t>Average days to recover per injury</t>
  </si>
  <si>
    <t>Average of Days to Full Recovery</t>
  </si>
  <si>
    <t>Average age per injury type</t>
  </si>
  <si>
    <t>Average of Age</t>
  </si>
  <si>
    <t>Injury  Type Count by position</t>
  </si>
  <si>
    <t>The Injury data reveals that most common injuries among players are hamstring strains, which is 75</t>
  </si>
  <si>
    <t xml:space="preserve">followed closely by ankle sprains (74) and ACL tears (72). While all injuries occurred across all four teams, </t>
  </si>
  <si>
    <t xml:space="preserve">Team B reported the highest total 5f 3. Recovery times varied, with ACL tears taking the longest to heal </t>
  </si>
  <si>
    <t xml:space="preserve">Averaging 57 days compared to 52 days, Hamstring and ankle sprain 45 days. Interestingly, most injuries </t>
  </si>
  <si>
    <t xml:space="preserve">occurred around the same average age of 2. Position-wise, the midfielder has the highest number of injuries </t>
  </si>
  <si>
    <t>Goalkeepers had the fewest injuries.</t>
  </si>
  <si>
    <t>Sum of Goals Scored</t>
  </si>
  <si>
    <t>Sum of Assists</t>
  </si>
  <si>
    <t>Goals per player</t>
  </si>
  <si>
    <t>Assists per Player</t>
  </si>
  <si>
    <t>Total Contribution per Player</t>
  </si>
  <si>
    <t>Analyze the Metric:</t>
  </si>
  <si>
    <t>- Describe the typical range of values and what constitutes strong vs. weak performance.</t>
  </si>
  <si>
    <t>- If the metric is categorical or nominal (e.g., Injury Type, Nationality), identify the distinct</t>
  </si>
  <si>
    <t>categories and explain their potential relationship to performance.</t>
  </si>
  <si>
    <t>- Create and include frequency charts to visually represent the distribution of each selected</t>
  </si>
  <si>
    <t>Metric.</t>
  </si>
  <si>
    <t>Count of Injury Type</t>
  </si>
  <si>
    <t>Minimum</t>
  </si>
  <si>
    <t>Maximum</t>
  </si>
  <si>
    <t>Average</t>
  </si>
  <si>
    <t>N/A</t>
  </si>
  <si>
    <t>Strong Count</t>
  </si>
  <si>
    <t>Weak Count</t>
  </si>
  <si>
    <t>Type</t>
  </si>
  <si>
    <t>Ratio</t>
  </si>
  <si>
    <t>Categorical</t>
  </si>
  <si>
    <t>Count of Nationality</t>
  </si>
  <si>
    <t>Goals Scored Bins</t>
  </si>
  <si>
    <t>Pass Accuracy (%) Bins</t>
  </si>
  <si>
    <t>Injury Type Bins</t>
  </si>
  <si>
    <t>Nationality Bins</t>
  </si>
  <si>
    <t>Frequency</t>
  </si>
  <si>
    <t>More</t>
  </si>
  <si>
    <t>Temporal Trends:</t>
  </si>
  <si>
    <t>- Analyze player performance trends by Match Date and Day of the Week. Are there any notable variations?</t>
  </si>
  <si>
    <t>Count of Match Date</t>
  </si>
  <si>
    <t>Standard Deviation</t>
  </si>
  <si>
    <t>(All)</t>
  </si>
  <si>
    <t>Average of Pass Accuracy (%)</t>
  </si>
  <si>
    <t>Location-Based Trends:</t>
  </si>
  <si>
    <t>- Compare performance metrics across match locations (Home vs. Away).</t>
  </si>
  <si>
    <t>- Identify any trends that might influence team strategy.</t>
  </si>
  <si>
    <t>Away Total</t>
  </si>
  <si>
    <t>Home Total</t>
  </si>
  <si>
    <t>Sum of Minutes Played per Match</t>
  </si>
  <si>
    <t>Goals per 90 (per match)</t>
  </si>
  <si>
    <t xml:space="preserve">Match Location </t>
  </si>
  <si>
    <t xml:space="preserve">Goals per 90 </t>
  </si>
  <si>
    <t>Details for Average of Days to Full Recovery - Injury Type: Ankle Sprain</t>
  </si>
  <si>
    <t>Injury Analysis:</t>
  </si>
  <si>
    <t>- Use Injury Type and Days to Full Recovery (or average recovery days) to analyze injury</t>
  </si>
  <si>
    <t>Count of Injury Types</t>
  </si>
  <si>
    <t>Injuried vs No Injury</t>
  </si>
  <si>
    <t>Count</t>
  </si>
  <si>
    <t>%</t>
  </si>
  <si>
    <t>patterns and timelines.</t>
  </si>
  <si>
    <t xml:space="preserve">Total Athletes </t>
  </si>
  <si>
    <t>-</t>
  </si>
  <si>
    <t xml:space="preserve">Injuried </t>
  </si>
  <si>
    <t>No injury</t>
  </si>
  <si>
    <t xml:space="preserve">Range </t>
  </si>
  <si>
    <t xml:space="preserve">Based on the Injury types pivot table and chart, we can see that Hamstring strain and Ankle sprain are the most common injuries with these teams. We can also see that ACL tears are not far behind at 71 injuries. Looking at the tables next to it breaks down that about 78.9% of the athletes have been injured while only 21.1% have not. The third table allows us to see that the minimum number of days for a full recovery is 10, and the maximum is 89 days. We can also see that, on average, it takes about 50 days for these soccer athletes to make a full recovery. We can also see that 45 days is the most common number of days for a full recovery. 
</t>
  </si>
  <si>
    <t>Fitness Monitoring:</t>
  </si>
  <si>
    <t>- Discuss how tracking fitness indicators like VO2 Max, Fatigue Index, and Muscle Strength,</t>
  </si>
  <si>
    <t>along with injury history, can inform training and recovery strategies.</t>
  </si>
  <si>
    <t>Average of VO2 Max</t>
  </si>
  <si>
    <t>Average of Fatigue Index</t>
  </si>
  <si>
    <t>Average of Muscle Strength Score</t>
  </si>
  <si>
    <t>Players with no injuries have the lowest fatgue index 1.00 which means they are generally tired less</t>
  </si>
  <si>
    <t>ACL tear players have lower endurance VO2 MAX and slightly higer fatigue but decent streagth</t>
  </si>
  <si>
    <t xml:space="preserve">Hamstring injuries tend to occur in players with good VO2 Max but slightly higher fatigue </t>
  </si>
  <si>
    <t>Players with more past injuries, especially 4, have higher muscle strength and higher endurance, possibly because they trained harder in recovery</t>
  </si>
  <si>
    <t xml:space="preserve">however their fatigue index is worse probably lingering effect of repeated injuries </t>
  </si>
  <si>
    <t>players with 2 past injuries have the best balance of strength and fatigue</t>
  </si>
  <si>
    <t xml:space="preserve">Analyzing VO2 Max, Fatigue Index and Muscle Strengh score alongside injury history </t>
  </si>
  <si>
    <t xml:space="preserve">reveals important trends in player health and performance. Players with no injuries </t>
  </si>
  <si>
    <t xml:space="preserve">had the lowest fatigue index, indicating better endurance and recovery capacity </t>
  </si>
  <si>
    <t xml:space="preserve">Those with ACL tears showed slightly lower VO2 Max and Higher Fatigue, suggesting </t>
  </si>
  <si>
    <t xml:space="preserve">reduced stamina and greater physical strain. Players with multiple past injuries often higher </t>
  </si>
  <si>
    <t>muscle strength likely from focused rehab, but also showed increased fatigue levels.</t>
  </si>
  <si>
    <t xml:space="preserve">this shows how fitness data can guide individualized training and recovery plans </t>
  </si>
  <si>
    <t>helping reduce injury risk and improve long term player performance</t>
  </si>
  <si>
    <t xml:space="preserve">Summary statistics were calculated to compare player age, height, and weight across different teams.  Team B the highest average </t>
  </si>
  <si>
    <t xml:space="preserve">Age 30 while teams B and D had the tallest players on average, 182cm and 181cm. Average player weight was similar across all teams from </t>
  </si>
  <si>
    <t>79 to 80 kg</t>
  </si>
  <si>
    <t>Average of Height (cm)</t>
  </si>
  <si>
    <t>Average of Weight (kg)</t>
  </si>
  <si>
    <t>X</t>
  </si>
  <si>
    <t>Y</t>
  </si>
  <si>
    <t xml:space="preserve">Correlation </t>
  </si>
  <si>
    <t>SUMMARY OUTPUT</t>
  </si>
  <si>
    <t>Regression Statistics</t>
  </si>
  <si>
    <t>Multiple R</t>
  </si>
  <si>
    <t>R Square</t>
  </si>
  <si>
    <t>Adjusted R Square</t>
  </si>
  <si>
    <t>Standard Error</t>
  </si>
  <si>
    <t>Observations</t>
  </si>
  <si>
    <t>ANOVA</t>
  </si>
  <si>
    <t> </t>
  </si>
  <si>
    <t>df</t>
  </si>
  <si>
    <t>SS</t>
  </si>
  <si>
    <t>MS</t>
  </si>
  <si>
    <t>F</t>
  </si>
  <si>
    <t>Significance F</t>
  </si>
  <si>
    <t>Regression</t>
  </si>
  <si>
    <t>Residual</t>
  </si>
  <si>
    <t>Total</t>
  </si>
  <si>
    <t>Coefficients</t>
  </si>
  <si>
    <t>t Stat</t>
  </si>
  <si>
    <t>P-value</t>
  </si>
  <si>
    <t>Lower 95%</t>
  </si>
  <si>
    <t>Upper 95%</t>
  </si>
  <si>
    <t>Lower 95.0%</t>
  </si>
  <si>
    <t>Upper 95.0%</t>
  </si>
  <si>
    <t>Intercept</t>
  </si>
  <si>
    <t>greater than .05</t>
  </si>
  <si>
    <t>Mean</t>
  </si>
  <si>
    <t>Mode</t>
  </si>
  <si>
    <t>Sample Variance</t>
  </si>
  <si>
    <t>Kurtosis</t>
  </si>
  <si>
    <t>Skewness</t>
  </si>
  <si>
    <t>Sum</t>
  </si>
  <si>
    <t xml:space="preserve">From the descriptive data we see the mean, median, and mode explain the average performance of each category. The Std deviance and range explain the variability of the data. We can also see the distribution shape with the skewness and kurtosis explaining any outliers and the symmetry of the data. Looking at the mean for Pass Accuracy % is 72.70%, Sprint Speed is 7.99 m/s, and Muscle Strength Score is 84.45. The mean shows us that out of the 280 players on average a player passes at a 72.70% accuracy, has a speed of 7.99 m/s and a muscle strength of 84.45. The standard deviation shows that there is a moderate spread in the data for pass accuracy and muscle strength. Thus, meaning that the players vary quite a bit in their accuracy % and muscles strength. While the sprint speed shows some variability but more consistent than the other two variables. All of the ranges of 44.96, 3.99, and 29.86 show a wide gap between the lowest and highest value. Finally the skewness and kurtosis of pass accuracy explain a slightly negative skewed and the distribution of the data is fairly symmetrical but flatter than a normal distribution. The sprint speed has a near zero skewness and slightly flat suggesting an even and normal spread. Lastly the muscle strength score is slightly positively skewed with a tail on the right and a slightly flat distribution 
</t>
  </si>
  <si>
    <t>Total Goals Scored</t>
  </si>
  <si>
    <t xml:space="preserve">Analysis of age vs speed shows no strong linear relationship. Players across various age groups displayed a </t>
  </si>
  <si>
    <t>wide range of sprint speeds. While its often expected that sprint speed declines with age this dataset</t>
  </si>
  <si>
    <t xml:space="preserve">shows that older players can still maintain high performance suggesting that factors beyond age </t>
  </si>
  <si>
    <t>such as training, fitness level, or position may play a significant role in sprint ability</t>
  </si>
  <si>
    <t xml:space="preserve"> hours per week. The model explained 98% of the variance in assists. Training hours per week was the strongest</t>
  </si>
  <si>
    <t xml:space="preserve">were not significant predictors a simplified model using only pass accuracy and training hours per week </t>
  </si>
  <si>
    <t>produced similar results, R-squared 98%, suggesting these two variables  capture most of the predictive power for assits</t>
  </si>
  <si>
    <t xml:space="preserve">A regression Model was built to predict assists using minutes played per match, pass accuracy, age and training </t>
  </si>
  <si>
    <t>and the most significant predictor, while pass accuracy showed borderline significance. Age and minutes played</t>
  </si>
  <si>
    <t>Training Hours Per 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</si>
</sst>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14" x14ac:knownFonts="1">
    <font>
      <sz val="11"/>
      <color theme="1"/>
      <name val="Calibri"/>
      <family val="2"/>
      <scheme val="minor"/>
    </font>
    <font>
      <b/>
      <sz val="11"/>
      <color theme="1"/>
      <name val="Calibri"/>
      <family val="2"/>
      <scheme val="minor"/>
    </font>
    <font>
      <sz val="12"/>
      <color theme="1"/>
      <name val="Arial"/>
      <family val="2"/>
    </font>
    <font>
      <b/>
      <sz val="20"/>
      <color rgb="FF000000"/>
      <name val="Calibri"/>
      <family val="2"/>
    </font>
    <font>
      <sz val="11"/>
      <color rgb="FF242424"/>
      <name val="Aptos Narrow"/>
      <family val="2"/>
    </font>
    <font>
      <b/>
      <sz val="20"/>
      <color rgb="FF242424"/>
      <name val="Aptos Narrow"/>
      <family val="2"/>
    </font>
    <font>
      <sz val="11"/>
      <color rgb="FF000000"/>
      <name val="Arial"/>
      <family val="2"/>
    </font>
    <font>
      <b/>
      <sz val="20"/>
      <color rgb="FF000000"/>
      <name val="Aptos Narrow"/>
      <family val="2"/>
    </font>
    <font>
      <i/>
      <sz val="11"/>
      <color theme="1"/>
      <name val="Calibri"/>
      <family val="2"/>
      <scheme val="minor"/>
    </font>
    <font>
      <b/>
      <sz val="11"/>
      <color theme="1"/>
      <name val="Calibri"/>
      <family val="2"/>
    </font>
    <font>
      <sz val="11"/>
      <color theme="1"/>
      <name val="Calibri"/>
      <family val="2"/>
    </font>
    <font>
      <sz val="12"/>
      <color rgb="FF000000"/>
      <name val="Aptos Narrow"/>
      <family val="2"/>
    </font>
    <font>
      <i/>
      <sz val="12"/>
      <color rgb="FF000000"/>
      <name val="Aptos Narrow"/>
      <family val="2"/>
    </font>
    <font>
      <b/>
      <i/>
      <sz val="11"/>
      <color theme="1"/>
      <name val="Calibri"/>
      <family val="2"/>
      <scheme val="minor"/>
    </font>
  </fonts>
  <fills count="18">
    <fill>
      <patternFill patternType="none"/>
    </fill>
    <fill>
      <patternFill patternType="gray125"/>
    </fill>
    <fill>
      <patternFill patternType="solid">
        <fgColor theme="7" tint="-0.249977111117893"/>
        <bgColor indexed="64"/>
      </patternFill>
    </fill>
    <fill>
      <patternFill patternType="solid">
        <fgColor theme="7" tint="0.59999389629810485"/>
        <bgColor indexed="64"/>
      </patternFill>
    </fill>
    <fill>
      <patternFill patternType="solid">
        <fgColor theme="9"/>
        <bgColor indexed="64"/>
      </patternFill>
    </fill>
    <fill>
      <patternFill patternType="solid">
        <fgColor rgb="FFFFFFFF"/>
        <bgColor indexed="64"/>
      </patternFill>
    </fill>
    <fill>
      <patternFill patternType="solid">
        <fgColor rgb="FFFFFF00"/>
        <bgColor indexed="64"/>
      </patternFill>
    </fill>
    <fill>
      <patternFill patternType="solid">
        <fgColor rgb="FFD9E1F2"/>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249977111117893"/>
        <bgColor indexed="64"/>
      </patternFill>
    </fill>
    <fill>
      <patternFill patternType="solid">
        <fgColor theme="9" tint="-0.249977111117893"/>
        <bgColor indexed="64"/>
      </patternFill>
    </fill>
    <fill>
      <patternFill patternType="solid">
        <fgColor rgb="FF92D050"/>
        <bgColor indexed="64"/>
      </patternFill>
    </fill>
  </fills>
  <borders count="28">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CCCCCC"/>
      </right>
      <top style="thin">
        <color rgb="FF000000"/>
      </top>
      <bottom style="thin">
        <color rgb="FF000000"/>
      </bottom>
      <diagonal/>
    </border>
    <border>
      <left style="thin">
        <color rgb="FFCCCCCC"/>
      </left>
      <right style="thin">
        <color rgb="FFCCCCCC"/>
      </right>
      <top style="thin">
        <color rgb="FF000000"/>
      </top>
      <bottom style="thin">
        <color rgb="FF000000"/>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right/>
      <top/>
      <bottom style="thin">
        <color theme="4" tint="0.39997558519241921"/>
      </bottom>
      <diagonal/>
    </border>
    <border>
      <left/>
      <right/>
      <top style="thin">
        <color theme="4"/>
      </top>
      <bottom style="thin">
        <color theme="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1">
    <xf numFmtId="0" fontId="0" fillId="0" borderId="0" xfId="0"/>
    <xf numFmtId="164" fontId="0" fillId="0" borderId="0" xfId="0" applyNumberFormat="1"/>
    <xf numFmtId="0" fontId="1" fillId="0" borderId="1" xfId="0" applyFont="1" applyBorder="1" applyAlignment="1">
      <alignment horizontal="center" vertical="top" wrapText="1"/>
    </xf>
    <xf numFmtId="0" fontId="0" fillId="0" borderId="0" xfId="0" applyAlignment="1">
      <alignment wrapText="1"/>
    </xf>
    <xf numFmtId="0" fontId="0" fillId="0" borderId="0" xfId="0" pivotButton="1"/>
    <xf numFmtId="0" fontId="0" fillId="0" borderId="0" xfId="0" applyAlignment="1">
      <alignment horizontal="left"/>
    </xf>
    <xf numFmtId="0" fontId="0" fillId="2" borderId="0" xfId="0" applyFill="1"/>
    <xf numFmtId="0" fontId="0" fillId="3" borderId="0" xfId="0" applyFill="1" applyAlignment="1">
      <alignment horizontal="left"/>
    </xf>
    <xf numFmtId="0" fontId="0" fillId="2" borderId="0" xfId="0" applyFill="1" applyAlignment="1">
      <alignment horizontal="left"/>
    </xf>
    <xf numFmtId="1" fontId="0" fillId="0" borderId="0" xfId="0" applyNumberFormat="1"/>
    <xf numFmtId="0" fontId="0" fillId="4" borderId="0" xfId="0" applyFill="1"/>
    <xf numFmtId="0" fontId="2" fillId="0" borderId="0" xfId="0" applyFont="1"/>
    <xf numFmtId="0" fontId="3" fillId="0" borderId="0" xfId="0" applyFont="1"/>
    <xf numFmtId="0" fontId="4" fillId="0" borderId="0" xfId="0" applyFont="1"/>
    <xf numFmtId="0" fontId="5" fillId="0" borderId="0" xfId="0" applyFont="1"/>
    <xf numFmtId="0" fontId="4" fillId="0" borderId="0" xfId="0" quotePrefix="1" applyFont="1"/>
    <xf numFmtId="0" fontId="2" fillId="0" borderId="0" xfId="0" quotePrefix="1" applyFont="1" applyAlignment="1">
      <alignment readingOrder="1"/>
    </xf>
    <xf numFmtId="0" fontId="2" fillId="5" borderId="0" xfId="0" quotePrefix="1" applyFont="1" applyFill="1" applyAlignment="1">
      <alignment readingOrder="1"/>
    </xf>
    <xf numFmtId="0" fontId="6" fillId="0" borderId="0" xfId="0" applyFont="1" applyAlignment="1">
      <alignment vertical="center"/>
    </xf>
    <xf numFmtId="0" fontId="7" fillId="0" borderId="0" xfId="0" applyFont="1" applyAlignment="1">
      <alignment vertical="center"/>
    </xf>
    <xf numFmtId="0" fontId="0" fillId="0" borderId="1" xfId="0" applyBorder="1" applyAlignment="1">
      <alignment horizontal="center"/>
    </xf>
    <xf numFmtId="0" fontId="6" fillId="0" borderId="0" xfId="0" applyFont="1"/>
    <xf numFmtId="2" fontId="0" fillId="0" borderId="1" xfId="0" applyNumberFormat="1" applyBorder="1" applyAlignment="1">
      <alignment horizontal="center"/>
    </xf>
    <xf numFmtId="0" fontId="0" fillId="0" borderId="2" xfId="0" applyBorder="1"/>
    <xf numFmtId="0" fontId="8" fillId="0" borderId="3" xfId="0" applyFont="1" applyBorder="1" applyAlignment="1">
      <alignment horizontal="center"/>
    </xf>
    <xf numFmtId="0" fontId="9" fillId="0" borderId="4" xfId="0" applyFont="1" applyBorder="1" applyAlignment="1">
      <alignment wrapText="1" readingOrder="1"/>
    </xf>
    <xf numFmtId="0" fontId="10" fillId="0" borderId="5" xfId="0" applyFont="1" applyBorder="1" applyAlignment="1">
      <alignment readingOrder="1"/>
    </xf>
    <xf numFmtId="0" fontId="10" fillId="0" borderId="6" xfId="0" applyFont="1" applyBorder="1" applyAlignment="1">
      <alignment readingOrder="1"/>
    </xf>
    <xf numFmtId="0" fontId="9" fillId="6" borderId="4" xfId="0" applyFont="1" applyFill="1" applyBorder="1" applyAlignment="1">
      <alignment wrapText="1" readingOrder="1"/>
    </xf>
    <xf numFmtId="0" fontId="10" fillId="6" borderId="5" xfId="0" applyFont="1" applyFill="1" applyBorder="1" applyAlignment="1">
      <alignment readingOrder="1"/>
    </xf>
    <xf numFmtId="0" fontId="10" fillId="6" borderId="6" xfId="0" applyFont="1" applyFill="1" applyBorder="1" applyAlignment="1">
      <alignment readingOrder="1"/>
    </xf>
    <xf numFmtId="0" fontId="9" fillId="7" borderId="7" xfId="0" applyFont="1" applyFill="1" applyBorder="1" applyAlignment="1">
      <alignment readingOrder="1"/>
    </xf>
    <xf numFmtId="0" fontId="9" fillId="7" borderId="8" xfId="0" applyFont="1" applyFill="1" applyBorder="1" applyAlignment="1">
      <alignment readingOrder="1"/>
    </xf>
    <xf numFmtId="0" fontId="10" fillId="0" borderId="9" xfId="0" applyFont="1" applyBorder="1" applyAlignment="1">
      <alignment readingOrder="1"/>
    </xf>
    <xf numFmtId="0" fontId="10" fillId="0" borderId="10" xfId="0" applyFont="1" applyBorder="1" applyAlignment="1">
      <alignment readingOrder="1"/>
    </xf>
    <xf numFmtId="0" fontId="10" fillId="0" borderId="11" xfId="0" applyFont="1" applyBorder="1" applyAlignment="1">
      <alignment readingOrder="1"/>
    </xf>
    <xf numFmtId="0" fontId="10" fillId="0" borderId="12" xfId="0" applyFont="1" applyBorder="1" applyAlignment="1">
      <alignment readingOrder="1"/>
    </xf>
    <xf numFmtId="0" fontId="10" fillId="0" borderId="13" xfId="0" applyFont="1" applyBorder="1" applyAlignment="1">
      <alignment readingOrder="1"/>
    </xf>
    <xf numFmtId="0" fontId="9" fillId="7" borderId="14" xfId="0" applyFont="1" applyFill="1" applyBorder="1" applyAlignment="1">
      <alignment readingOrder="1"/>
    </xf>
    <xf numFmtId="0" fontId="9" fillId="7" borderId="15" xfId="0" applyFont="1" applyFill="1" applyBorder="1" applyAlignment="1">
      <alignment readingOrder="1"/>
    </xf>
    <xf numFmtId="0" fontId="10" fillId="0" borderId="15" xfId="0" applyFont="1" applyBorder="1" applyAlignment="1">
      <alignment readingOrder="1"/>
    </xf>
    <xf numFmtId="2" fontId="0" fillId="0" borderId="0" xfId="0" applyNumberFormat="1"/>
    <xf numFmtId="0" fontId="1" fillId="0" borderId="0" xfId="0" applyFont="1"/>
    <xf numFmtId="0" fontId="0" fillId="6" borderId="0" xfId="0" applyFill="1"/>
    <xf numFmtId="0" fontId="1" fillId="8" borderId="16" xfId="0" applyFont="1" applyFill="1" applyBorder="1"/>
    <xf numFmtId="0" fontId="1" fillId="0" borderId="17" xfId="0" applyFont="1" applyBorder="1"/>
    <xf numFmtId="2" fontId="0" fillId="6" borderId="0" xfId="0" applyNumberFormat="1" applyFill="1"/>
    <xf numFmtId="0" fontId="0" fillId="0" borderId="0" xfId="0" applyAlignment="1">
      <alignment vertical="top" wrapText="1"/>
    </xf>
    <xf numFmtId="0" fontId="0" fillId="0" borderId="4" xfId="0" applyBorder="1"/>
    <xf numFmtId="2" fontId="10" fillId="0" borderId="12" xfId="0" applyNumberFormat="1" applyFont="1" applyBorder="1" applyAlignment="1">
      <alignment readingOrder="1"/>
    </xf>
    <xf numFmtId="2" fontId="0" fillId="9" borderId="0" xfId="0" applyNumberFormat="1" applyFill="1"/>
    <xf numFmtId="0" fontId="0" fillId="10" borderId="18" xfId="0" applyFill="1" applyBorder="1"/>
    <xf numFmtId="1" fontId="0" fillId="10" borderId="19" xfId="0" applyNumberFormat="1" applyFill="1" applyBorder="1"/>
    <xf numFmtId="1" fontId="0" fillId="10" borderId="20" xfId="0" applyNumberFormat="1" applyFill="1" applyBorder="1"/>
    <xf numFmtId="0" fontId="0" fillId="10" borderId="21" xfId="0" applyFill="1" applyBorder="1"/>
    <xf numFmtId="1" fontId="0" fillId="10" borderId="0" xfId="0" applyNumberFormat="1" applyFill="1"/>
    <xf numFmtId="1" fontId="0" fillId="10" borderId="22" xfId="0" applyNumberFormat="1" applyFill="1" applyBorder="1"/>
    <xf numFmtId="2" fontId="0" fillId="10" borderId="22" xfId="0" applyNumberFormat="1" applyFill="1" applyBorder="1"/>
    <xf numFmtId="0" fontId="0" fillId="10" borderId="23" xfId="0" applyFill="1" applyBorder="1"/>
    <xf numFmtId="2" fontId="0" fillId="10" borderId="24" xfId="0" applyNumberFormat="1" applyFill="1" applyBorder="1"/>
    <xf numFmtId="2" fontId="0" fillId="10" borderId="25" xfId="0" applyNumberFormat="1" applyFill="1" applyBorder="1"/>
    <xf numFmtId="0" fontId="0" fillId="10" borderId="20" xfId="0" applyFill="1" applyBorder="1"/>
    <xf numFmtId="0" fontId="0" fillId="10" borderId="22" xfId="0" applyFill="1" applyBorder="1"/>
    <xf numFmtId="0" fontId="0" fillId="10" borderId="25" xfId="0" applyFill="1" applyBorder="1"/>
    <xf numFmtId="14" fontId="0" fillId="0" borderId="0" xfId="0" applyNumberFormat="1"/>
    <xf numFmtId="14" fontId="1" fillId="0" borderId="1" xfId="0" applyNumberFormat="1" applyFont="1" applyBorder="1" applyAlignment="1">
      <alignment horizontal="center" vertical="top" wrapText="1"/>
    </xf>
    <xf numFmtId="0" fontId="1" fillId="11" borderId="0" xfId="0" applyFont="1" applyFill="1"/>
    <xf numFmtId="0" fontId="0" fillId="10" borderId="0" xfId="0" applyFill="1"/>
    <xf numFmtId="0" fontId="1" fillId="0" borderId="4" xfId="0" applyFont="1" applyBorder="1"/>
    <xf numFmtId="0" fontId="1" fillId="0" borderId="4" xfId="0" applyFont="1" applyBorder="1" applyAlignment="1">
      <alignment horizontal="center"/>
    </xf>
    <xf numFmtId="0" fontId="0" fillId="12" borderId="4" xfId="0" applyFill="1" applyBorder="1"/>
    <xf numFmtId="2" fontId="0" fillId="12" borderId="4" xfId="0" applyNumberFormat="1" applyFill="1" applyBorder="1"/>
    <xf numFmtId="1" fontId="0" fillId="12" borderId="4" xfId="0" applyNumberFormat="1" applyFill="1" applyBorder="1"/>
    <xf numFmtId="165" fontId="0" fillId="12" borderId="4" xfId="0" applyNumberFormat="1" applyFill="1" applyBorder="1"/>
    <xf numFmtId="0" fontId="0" fillId="12" borderId="4" xfId="0" applyFill="1" applyBorder="1" applyAlignment="1">
      <alignment horizontal="center"/>
    </xf>
    <xf numFmtId="0" fontId="0" fillId="12" borderId="0" xfId="0" applyFill="1"/>
    <xf numFmtId="0" fontId="11" fillId="0" borderId="0" xfId="0" applyFont="1"/>
    <xf numFmtId="0" fontId="12" fillId="0" borderId="3" xfId="0" applyFont="1" applyBorder="1"/>
    <xf numFmtId="0" fontId="11" fillId="0" borderId="2" xfId="0" applyFont="1" applyBorder="1"/>
    <xf numFmtId="0" fontId="11" fillId="9" borderId="0" xfId="0" applyFont="1" applyFill="1"/>
    <xf numFmtId="0" fontId="12" fillId="0" borderId="1" xfId="0" applyFont="1" applyBorder="1" applyAlignment="1">
      <alignment horizontal="center"/>
    </xf>
    <xf numFmtId="0" fontId="11" fillId="0" borderId="1" xfId="0" applyFont="1" applyBorder="1" applyAlignment="1">
      <alignment horizontal="center"/>
    </xf>
    <xf numFmtId="0" fontId="11" fillId="10" borderId="1" xfId="0" applyFont="1" applyFill="1" applyBorder="1" applyAlignment="1">
      <alignment horizontal="center"/>
    </xf>
    <xf numFmtId="11" fontId="11" fillId="0" borderId="1" xfId="0" applyNumberFormat="1" applyFont="1" applyBorder="1" applyAlignment="1">
      <alignment horizontal="center"/>
    </xf>
    <xf numFmtId="0" fontId="0" fillId="0" borderId="0" xfId="0" applyAlignment="1">
      <alignment horizontal="center"/>
    </xf>
    <xf numFmtId="0" fontId="1" fillId="0" borderId="1" xfId="0" applyFont="1" applyBorder="1" applyAlignment="1">
      <alignment horizontal="center"/>
    </xf>
    <xf numFmtId="0" fontId="0" fillId="12" borderId="1" xfId="0" applyFill="1" applyBorder="1" applyAlignment="1">
      <alignment horizontal="center"/>
    </xf>
    <xf numFmtId="0" fontId="1" fillId="13" borderId="1" xfId="0" applyFont="1" applyFill="1" applyBorder="1" applyAlignment="1">
      <alignment horizontal="center" vertical="top" wrapText="1"/>
    </xf>
    <xf numFmtId="0" fontId="1" fillId="14" borderId="1" xfId="0" applyFont="1" applyFill="1" applyBorder="1" applyAlignment="1">
      <alignment horizontal="center" vertical="top" wrapText="1"/>
    </xf>
    <xf numFmtId="0" fontId="1" fillId="15"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16" borderId="1" xfId="0" applyFont="1" applyFill="1" applyBorder="1" applyAlignment="1">
      <alignment horizontal="center" vertical="top" wrapText="1"/>
    </xf>
    <xf numFmtId="0" fontId="0" fillId="14" borderId="0" xfId="0" applyFill="1"/>
    <xf numFmtId="0" fontId="8" fillId="0" borderId="1" xfId="0" applyFont="1" applyBorder="1" applyAlignment="1">
      <alignment horizontal="centerContinuous"/>
    </xf>
    <xf numFmtId="0" fontId="0" fillId="0" borderId="1" xfId="0" applyBorder="1"/>
    <xf numFmtId="0" fontId="0" fillId="14" borderId="1" xfId="0" applyFill="1" applyBorder="1"/>
    <xf numFmtId="0" fontId="8" fillId="0" borderId="1" xfId="0" applyFont="1" applyBorder="1" applyAlignment="1">
      <alignment horizontal="center"/>
    </xf>
    <xf numFmtId="0" fontId="0" fillId="13" borderId="1" xfId="0" applyFill="1" applyBorder="1"/>
    <xf numFmtId="0" fontId="0" fillId="16" borderId="1" xfId="0" applyFill="1" applyBorder="1"/>
    <xf numFmtId="0" fontId="0" fillId="2" borderId="1" xfId="0" applyFill="1" applyBorder="1"/>
    <xf numFmtId="0" fontId="0" fillId="15" borderId="1" xfId="0" applyFill="1" applyBorder="1"/>
    <xf numFmtId="0" fontId="0" fillId="13" borderId="1" xfId="0" applyFill="1" applyBorder="1" applyAlignment="1">
      <alignment horizontal="center"/>
    </xf>
    <xf numFmtId="0" fontId="0" fillId="2" borderId="1" xfId="0" applyFill="1" applyBorder="1" applyAlignment="1">
      <alignment horizontal="center"/>
    </xf>
    <xf numFmtId="0" fontId="0" fillId="14" borderId="1" xfId="0" applyFill="1" applyBorder="1" applyAlignment="1">
      <alignment horizontal="center"/>
    </xf>
    <xf numFmtId="0" fontId="8" fillId="10" borderId="1" xfId="0" applyFont="1" applyFill="1" applyBorder="1" applyAlignment="1">
      <alignment horizontal="center"/>
    </xf>
    <xf numFmtId="0" fontId="8" fillId="17" borderId="1" xfId="0" applyFont="1" applyFill="1" applyBorder="1" applyAlignment="1">
      <alignment horizontal="center"/>
    </xf>
    <xf numFmtId="0" fontId="0" fillId="17" borderId="1" xfId="0" applyFill="1" applyBorder="1" applyAlignment="1">
      <alignment horizontal="center"/>
    </xf>
    <xf numFmtId="0" fontId="1" fillId="0" borderId="4" xfId="0" applyFont="1" applyBorder="1" applyAlignment="1">
      <alignment horizontal="center"/>
    </xf>
    <xf numFmtId="0" fontId="0" fillId="12" borderId="0" xfId="0" applyFill="1" applyAlignment="1">
      <alignment horizontal="left" vertical="top" wrapText="1"/>
    </xf>
    <xf numFmtId="0" fontId="13" fillId="0" borderId="26" xfId="0" applyFont="1" applyBorder="1" applyAlignment="1">
      <alignment horizontal="center"/>
    </xf>
    <xf numFmtId="0" fontId="13" fillId="0" borderId="27" xfId="0" applyFont="1" applyBorder="1" applyAlignment="1">
      <alignment horizontal="center"/>
    </xf>
  </cellXfs>
  <cellStyles count="1">
    <cellStyle name="Normal" xfId="0" builtinId="0"/>
  </cellStyles>
  <dxfs count="25">
    <dxf>
      <numFmt numFmtId="1" formatCode="0"/>
    </dxf>
    <dxf>
      <numFmt numFmtId="1" formatCode="0"/>
    </dxf>
    <dxf>
      <numFmt numFmtId="1" formatCode="0"/>
    </dxf>
    <dxf>
      <numFmt numFmtId="2" formatCode="0.00"/>
    </dxf>
    <dxf>
      <numFmt numFmtId="2" formatCode="0.00"/>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theme="5" tint="0.59999389629810485"/>
        </patternFill>
      </fill>
    </dxf>
    <dxf>
      <fill>
        <patternFill patternType="solid">
          <fgColor indexed="64"/>
          <bgColor rgb="FFFFFF00"/>
        </patternFill>
      </fill>
    </dxf>
    <dxf>
      <fill>
        <patternFill patternType="solid">
          <fgColor indexed="64"/>
          <bgColor rgb="FFFFFF00"/>
        </patternFill>
      </fill>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6.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pivotCacheDefinition" Target="pivotCache/pivotCacheDefinition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pivotCacheDefinition" Target="pivotCache/pivotCacheDefinition7.xml"/><Relationship Id="rId30" Type="http://schemas.openxmlformats.org/officeDocument/2006/relationships/styles" Target="styles.xml"/><Relationship Id="rId35" Type="http://schemas.openxmlformats.org/officeDocument/2006/relationships/customXml" Target="../customXml/item3.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 Accuracy % Per Team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Field2</c:v>
          </c:tx>
          <c:spPr>
            <a:solidFill>
              <a:srgbClr val="F4B08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'1a_Pass Accuracy '!$T$3:$T$6</c:f>
              <c:strCache>
                <c:ptCount val="4"/>
                <c:pt idx="0">
                  <c:v>Team A</c:v>
                </c:pt>
                <c:pt idx="1">
                  <c:v>Team B</c:v>
                </c:pt>
                <c:pt idx="2">
                  <c:v>Team C</c:v>
                </c:pt>
                <c:pt idx="3">
                  <c:v>Team D</c:v>
                </c:pt>
              </c:strCache>
            </c:strRef>
          </c:cat>
          <c:val>
            <c:numRef>
              <c:f>'1a_Pass Accuracy '!$U$3:$U$6</c:f>
              <c:numCache>
                <c:formatCode>0.00</c:formatCode>
                <c:ptCount val="4"/>
                <c:pt idx="0">
                  <c:v>71.908450704225359</c:v>
                </c:pt>
                <c:pt idx="1">
                  <c:v>72.678030303030312</c:v>
                </c:pt>
                <c:pt idx="2">
                  <c:v>73.332567567567551</c:v>
                </c:pt>
                <c:pt idx="3">
                  <c:v>72.873478260869547</c:v>
                </c:pt>
              </c:numCache>
            </c:numRef>
          </c:val>
          <c:extLst>
            <c:ext xmlns:c16="http://schemas.microsoft.com/office/drawing/2014/chart" uri="{C3380CC4-5D6E-409C-BE32-E72D297353CC}">
              <c16:uniqueId val="{323F863E-E576-4973-9F89-95850A829908}"/>
            </c:ext>
          </c:extLst>
        </c:ser>
        <c:dLbls>
          <c:dLblPos val="outEnd"/>
          <c:showLegendKey val="0"/>
          <c:showVal val="1"/>
          <c:showCatName val="0"/>
          <c:showSerName val="0"/>
          <c:showPercent val="0"/>
          <c:showBubbleSize val="0"/>
        </c:dLbls>
        <c:gapWidth val="33"/>
        <c:overlap val="-30"/>
        <c:axId val="716018184"/>
        <c:axId val="716020744"/>
      </c:barChart>
      <c:catAx>
        <c:axId val="716018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Passing % per Team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020744"/>
        <c:crosses val="autoZero"/>
        <c:auto val="1"/>
        <c:lblAlgn val="ctr"/>
        <c:lblOffset val="100"/>
        <c:noMultiLvlLbl val="0"/>
      </c:catAx>
      <c:valAx>
        <c:axId val="716020744"/>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018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Passing Accuracy % Per Position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FFE699"/>
              </a:solidFill>
              <a:ln w="19050">
                <a:solidFill>
                  <a:schemeClr val="lt1"/>
                </a:solidFill>
              </a:ln>
              <a:effectLst/>
            </c:spPr>
            <c:extLst>
              <c:ext xmlns:c16="http://schemas.microsoft.com/office/drawing/2014/chart" uri="{C3380CC4-5D6E-409C-BE32-E72D297353CC}">
                <c16:uniqueId val="{00000004-AC76-4916-9747-9CEF04E8C90E}"/>
              </c:ext>
            </c:extLst>
          </c:dPt>
          <c:dPt>
            <c:idx val="1"/>
            <c:bubble3D val="0"/>
            <c:spPr>
              <a:solidFill>
                <a:srgbClr val="F8CBAD"/>
              </a:solidFill>
              <a:ln w="19050">
                <a:solidFill>
                  <a:schemeClr val="lt1"/>
                </a:solidFill>
              </a:ln>
              <a:effectLst/>
            </c:spPr>
            <c:extLst>
              <c:ext xmlns:c16="http://schemas.microsoft.com/office/drawing/2014/chart" uri="{C3380CC4-5D6E-409C-BE32-E72D297353CC}">
                <c16:uniqueId val="{00000003-AC76-4916-9747-9CEF04E8C90E}"/>
              </c:ext>
            </c:extLst>
          </c:dPt>
          <c:dPt>
            <c:idx val="2"/>
            <c:bubble3D val="0"/>
            <c:spPr>
              <a:solidFill>
                <a:srgbClr val="B4C6E7"/>
              </a:solidFill>
              <a:ln w="19050">
                <a:solidFill>
                  <a:schemeClr val="lt1"/>
                </a:solidFill>
              </a:ln>
              <a:effectLst/>
            </c:spPr>
            <c:extLst>
              <c:ext xmlns:c16="http://schemas.microsoft.com/office/drawing/2014/chart" uri="{C3380CC4-5D6E-409C-BE32-E72D297353CC}">
                <c16:uniqueId val="{00000006-AC76-4916-9747-9CEF04E8C90E}"/>
              </c:ext>
            </c:extLst>
          </c:dPt>
          <c:dPt>
            <c:idx val="3"/>
            <c:bubble3D val="0"/>
            <c:spPr>
              <a:solidFill>
                <a:srgbClr val="C6E0B4"/>
              </a:solidFill>
              <a:ln w="19050">
                <a:solidFill>
                  <a:schemeClr val="lt1"/>
                </a:solidFill>
              </a:ln>
              <a:effectLst/>
            </c:spPr>
            <c:extLst>
              <c:ext xmlns:c16="http://schemas.microsoft.com/office/drawing/2014/chart" uri="{C3380CC4-5D6E-409C-BE32-E72D297353CC}">
                <c16:uniqueId val="{00000005-AC76-4916-9747-9CEF04E8C9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'1a_Pass Accuracy '!$W$3:$W$6</c:f>
              <c:strCache>
                <c:ptCount val="4"/>
                <c:pt idx="0">
                  <c:v>Defender</c:v>
                </c:pt>
                <c:pt idx="1">
                  <c:v>Midfielder</c:v>
                </c:pt>
                <c:pt idx="2">
                  <c:v>Forward</c:v>
                </c:pt>
                <c:pt idx="3">
                  <c:v>Goalkeeper</c:v>
                </c:pt>
              </c:strCache>
            </c:strRef>
          </c:cat>
          <c:val>
            <c:numRef>
              <c:f>'1a_Pass Accuracy '!$X$3:$X$6</c:f>
              <c:numCache>
                <c:formatCode>0.00</c:formatCode>
                <c:ptCount val="4"/>
                <c:pt idx="0">
                  <c:v>72.886732673267289</c:v>
                </c:pt>
                <c:pt idx="1">
                  <c:v>76.899349593495899</c:v>
                </c:pt>
                <c:pt idx="2">
                  <c:v>64.701250000000002</c:v>
                </c:pt>
                <c:pt idx="3">
                  <c:v>53.911249999999995</c:v>
                </c:pt>
              </c:numCache>
            </c:numRef>
          </c:val>
          <c:extLst>
            <c:ext xmlns:c16="http://schemas.microsoft.com/office/drawing/2014/chart" uri="{C3380CC4-5D6E-409C-BE32-E72D297353CC}">
              <c16:uniqueId val="{00000001-AC76-4916-9747-9CEF04E8C90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7.0061436226288895E-2"/>
          <c:y val="0.16974475088469271"/>
          <c:w val="0.87084345758719217"/>
          <c:h val="0.58410898053813942"/>
        </c:manualLayout>
      </c:layout>
      <c:barChart>
        <c:barDir val="col"/>
        <c:grouping val="clustered"/>
        <c:varyColors val="0"/>
        <c:ser>
          <c:idx val="0"/>
          <c:order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'1a_Injury Type '!$B$32:$B$35</c:f>
              <c:strCache>
                <c:ptCount val="4"/>
                <c:pt idx="0">
                  <c:v>ACL Tear</c:v>
                </c:pt>
                <c:pt idx="1">
                  <c:v>Ankle Sprain</c:v>
                </c:pt>
                <c:pt idx="2">
                  <c:v>Hamstring Strain</c:v>
                </c:pt>
                <c:pt idx="3">
                  <c:v>None</c:v>
                </c:pt>
              </c:strCache>
            </c:strRef>
          </c:cat>
          <c:val>
            <c:numRef>
              <c:f>'1a_Injury Type '!$C$32:$C$35</c:f>
              <c:numCache>
                <c:formatCode>General</c:formatCode>
                <c:ptCount val="4"/>
                <c:pt idx="0">
                  <c:v>72</c:v>
                </c:pt>
                <c:pt idx="1">
                  <c:v>74</c:v>
                </c:pt>
                <c:pt idx="2">
                  <c:v>75</c:v>
                </c:pt>
                <c:pt idx="3">
                  <c:v>59</c:v>
                </c:pt>
              </c:numCache>
            </c:numRef>
          </c:val>
          <c:extLst>
            <c:ext xmlns:c16="http://schemas.microsoft.com/office/drawing/2014/chart" uri="{C3380CC4-5D6E-409C-BE32-E72D297353CC}">
              <c16:uniqueId val="{00000000-7DCD-42C0-9D40-93E27FF4FD0C}"/>
            </c:ext>
          </c:extLst>
        </c:ser>
        <c:dLbls>
          <c:dLblPos val="inEnd"/>
          <c:showLegendKey val="0"/>
          <c:showVal val="1"/>
          <c:showCatName val="0"/>
          <c:showSerName val="0"/>
          <c:showPercent val="0"/>
          <c:showBubbleSize val="0"/>
        </c:dLbls>
        <c:gapWidth val="41"/>
        <c:axId val="89125088"/>
        <c:axId val="89125568"/>
      </c:barChart>
      <c:catAx>
        <c:axId val="89125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9125568"/>
        <c:crosses val="autoZero"/>
        <c:auto val="1"/>
        <c:lblAlgn val="ctr"/>
        <c:lblOffset val="100"/>
        <c:noMultiLvlLbl val="0"/>
      </c:catAx>
      <c:valAx>
        <c:axId val="89125568"/>
        <c:scaling>
          <c:orientation val="minMax"/>
        </c:scaling>
        <c:delete val="1"/>
        <c:axPos val="l"/>
        <c:numFmt formatCode="General" sourceLinked="1"/>
        <c:majorTickMark val="none"/>
        <c:minorTickMark val="none"/>
        <c:tickLblPos val="nextTo"/>
        <c:crossAx val="89125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Frequency Distribution of Goals Scored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v>Frequency</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3"/>
              <c:layout>
                <c:manualLayout>
                  <c:x val="0"/>
                  <c:y val="0.1232381889763778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B2-4C1C-B6A8-1AFB5FB3DB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'1b_Analyze the Metric'!$A$43:$A$48</c:f>
              <c:strCache>
                <c:ptCount val="6"/>
                <c:pt idx="0">
                  <c:v>0</c:v>
                </c:pt>
                <c:pt idx="1">
                  <c:v>1</c:v>
                </c:pt>
                <c:pt idx="2">
                  <c:v>2</c:v>
                </c:pt>
                <c:pt idx="3">
                  <c:v>3</c:v>
                </c:pt>
                <c:pt idx="4">
                  <c:v>4</c:v>
                </c:pt>
                <c:pt idx="5">
                  <c:v>More</c:v>
                </c:pt>
              </c:strCache>
            </c:strRef>
          </c:cat>
          <c:val>
            <c:numRef>
              <c:f>'1b_Analyze the Metric'!$B$43:$B$48</c:f>
              <c:numCache>
                <c:formatCode>General</c:formatCode>
                <c:ptCount val="6"/>
                <c:pt idx="0">
                  <c:v>68</c:v>
                </c:pt>
                <c:pt idx="1">
                  <c:v>59</c:v>
                </c:pt>
                <c:pt idx="2">
                  <c:v>58</c:v>
                </c:pt>
                <c:pt idx="3">
                  <c:v>41</c:v>
                </c:pt>
                <c:pt idx="4">
                  <c:v>54</c:v>
                </c:pt>
                <c:pt idx="5">
                  <c:v>0</c:v>
                </c:pt>
              </c:numCache>
            </c:numRef>
          </c:val>
          <c:extLst>
            <c:ext xmlns:c16="http://schemas.microsoft.com/office/drawing/2014/chart" uri="{C3380CC4-5D6E-409C-BE32-E72D297353CC}">
              <c16:uniqueId val="{00000001-6CB2-4C1C-B6A8-1AFB5FB3DBFA}"/>
            </c:ext>
          </c:extLst>
        </c:ser>
        <c:dLbls>
          <c:dLblPos val="inEnd"/>
          <c:showLegendKey val="0"/>
          <c:showVal val="1"/>
          <c:showCatName val="0"/>
          <c:showSerName val="0"/>
          <c:showPercent val="0"/>
          <c:showBubbleSize val="0"/>
        </c:dLbls>
        <c:gapWidth val="100"/>
        <c:overlap val="-24"/>
        <c:axId val="1530074415"/>
        <c:axId val="1530067215"/>
      </c:barChart>
      <c:catAx>
        <c:axId val="15300744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Goals Scored Bins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0067215"/>
        <c:crosses val="autoZero"/>
        <c:auto val="1"/>
        <c:lblAlgn val="ctr"/>
        <c:lblOffset val="100"/>
        <c:noMultiLvlLbl val="0"/>
      </c:catAx>
      <c:valAx>
        <c:axId val="1530067215"/>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00744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Frequency Distribution of Pass Accuracy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v>Frequency</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dLbl>
              <c:idx val="5"/>
              <c:layout>
                <c:manualLayout>
                  <c:x val="-1.4978040480023522E-16"/>
                  <c:y val="0.1088599081364828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272-4536-B05A-C59804E2EA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'1b_Analyze the Metric'!$C$33:$C$38</c:f>
              <c:numCache>
                <c:formatCode>General</c:formatCode>
                <c:ptCount val="6"/>
                <c:pt idx="0">
                  <c:v>50</c:v>
                </c:pt>
                <c:pt idx="1">
                  <c:v>60</c:v>
                </c:pt>
                <c:pt idx="2">
                  <c:v>70</c:v>
                </c:pt>
                <c:pt idx="3">
                  <c:v>80</c:v>
                </c:pt>
                <c:pt idx="4">
                  <c:v>90</c:v>
                </c:pt>
                <c:pt idx="5">
                  <c:v>100</c:v>
                </c:pt>
              </c:numCache>
            </c:numRef>
          </c:cat>
          <c:val>
            <c:numRef>
              <c:f>'1b_Analyze the Metric'!$B$54:$B$59</c:f>
              <c:numCache>
                <c:formatCode>General</c:formatCode>
                <c:ptCount val="6"/>
                <c:pt idx="0">
                  <c:v>0</c:v>
                </c:pt>
                <c:pt idx="1">
                  <c:v>65</c:v>
                </c:pt>
                <c:pt idx="2">
                  <c:v>54</c:v>
                </c:pt>
                <c:pt idx="3">
                  <c:v>63</c:v>
                </c:pt>
                <c:pt idx="4">
                  <c:v>65</c:v>
                </c:pt>
                <c:pt idx="5">
                  <c:v>33</c:v>
                </c:pt>
              </c:numCache>
            </c:numRef>
          </c:val>
          <c:extLst>
            <c:ext xmlns:c16="http://schemas.microsoft.com/office/drawing/2014/chart" uri="{C3380CC4-5D6E-409C-BE32-E72D297353CC}">
              <c16:uniqueId val="{00000001-3272-4536-B05A-C59804E2EAF5}"/>
            </c:ext>
          </c:extLst>
        </c:ser>
        <c:dLbls>
          <c:dLblPos val="inEnd"/>
          <c:showLegendKey val="0"/>
          <c:showVal val="1"/>
          <c:showCatName val="0"/>
          <c:showSerName val="0"/>
          <c:showPercent val="0"/>
          <c:showBubbleSize val="0"/>
        </c:dLbls>
        <c:gapWidth val="100"/>
        <c:overlap val="-24"/>
        <c:axId val="680209119"/>
        <c:axId val="680208639"/>
      </c:barChart>
      <c:catAx>
        <c:axId val="6802091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Pass Accuracy (%) Bins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0208639"/>
        <c:crosses val="autoZero"/>
        <c:auto val="1"/>
        <c:lblAlgn val="ctr"/>
        <c:lblOffset val="100"/>
        <c:noMultiLvlLbl val="0"/>
      </c:catAx>
      <c:valAx>
        <c:axId val="6802086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0209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 6860 Data Analytics Final Project Excel File.xlsx]1b_Analyze the Metric!PivotTable13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Frequency Distribution of Injury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'1b_Analyze the Metric'!$H$22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'1b_Analyze the Metric'!$G$23:$G$27</c:f>
              <c:strCache>
                <c:ptCount val="4"/>
                <c:pt idx="0">
                  <c:v>ACL Tear</c:v>
                </c:pt>
                <c:pt idx="1">
                  <c:v>Ankle Sprain</c:v>
                </c:pt>
                <c:pt idx="2">
                  <c:v>Hamstring Strain</c:v>
                </c:pt>
                <c:pt idx="3">
                  <c:v>None</c:v>
                </c:pt>
              </c:strCache>
            </c:strRef>
          </c:cat>
          <c:val>
            <c:numRef>
              <c:f>'1b_Analyze the Metric'!$H$23:$H$27</c:f>
              <c:numCache>
                <c:formatCode>General</c:formatCode>
                <c:ptCount val="4"/>
                <c:pt idx="0">
                  <c:v>72</c:v>
                </c:pt>
                <c:pt idx="1">
                  <c:v>74</c:v>
                </c:pt>
                <c:pt idx="2">
                  <c:v>75</c:v>
                </c:pt>
                <c:pt idx="3">
                  <c:v>59</c:v>
                </c:pt>
              </c:numCache>
            </c:numRef>
          </c:val>
          <c:extLst>
            <c:ext xmlns:c16="http://schemas.microsoft.com/office/drawing/2014/chart" uri="{C3380CC4-5D6E-409C-BE32-E72D297353CC}">
              <c16:uniqueId val="{00000000-F01A-41BA-B023-7BC7EFDB0957}"/>
            </c:ext>
          </c:extLst>
        </c:ser>
        <c:dLbls>
          <c:dLblPos val="ctr"/>
          <c:showLegendKey val="0"/>
          <c:showVal val="1"/>
          <c:showCatName val="0"/>
          <c:showSerName val="0"/>
          <c:showPercent val="0"/>
          <c:showBubbleSize val="0"/>
        </c:dLbls>
        <c:gapWidth val="150"/>
        <c:overlap val="100"/>
        <c:axId val="23390063"/>
        <c:axId val="23392943"/>
      </c:barChart>
      <c:catAx>
        <c:axId val="233900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392943"/>
        <c:crosses val="autoZero"/>
        <c:auto val="1"/>
        <c:lblAlgn val="ctr"/>
        <c:lblOffset val="100"/>
        <c:noMultiLvlLbl val="0"/>
      </c:catAx>
      <c:valAx>
        <c:axId val="233929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39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[BUS 6860 Data Analytics Final Project Excel File.xlsx]1b_Analyze the Metric!PivotTable14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Frequency Distribution of Nationality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'1b_Analyze the Metric'!$H$29</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'1b_Analyze the Metric'!$G$30:$G$36</c:f>
              <c:strCache>
                <c:ptCount val="6"/>
                <c:pt idx="0">
                  <c:v>Argentina</c:v>
                </c:pt>
                <c:pt idx="1">
                  <c:v>Brazil</c:v>
                </c:pt>
                <c:pt idx="2">
                  <c:v>Germany</c:v>
                </c:pt>
                <c:pt idx="3">
                  <c:v>Spain</c:v>
                </c:pt>
                <c:pt idx="4">
                  <c:v>UK</c:v>
                </c:pt>
                <c:pt idx="5">
                  <c:v>USA</c:v>
                </c:pt>
              </c:strCache>
            </c:strRef>
          </c:cat>
          <c:val>
            <c:numRef>
              <c:f>'1b_Analyze the Metric'!$H$30:$H$36</c:f>
              <c:numCache>
                <c:formatCode>General</c:formatCode>
                <c:ptCount val="6"/>
                <c:pt idx="0">
                  <c:v>33</c:v>
                </c:pt>
                <c:pt idx="1">
                  <c:v>59</c:v>
                </c:pt>
                <c:pt idx="2">
                  <c:v>59</c:v>
                </c:pt>
                <c:pt idx="3">
                  <c:v>51</c:v>
                </c:pt>
                <c:pt idx="4">
                  <c:v>42</c:v>
                </c:pt>
                <c:pt idx="5">
                  <c:v>36</c:v>
                </c:pt>
              </c:numCache>
            </c:numRef>
          </c:val>
          <c:extLst>
            <c:ext xmlns:c16="http://schemas.microsoft.com/office/drawing/2014/chart" uri="{C3380CC4-5D6E-409C-BE32-E72D297353CC}">
              <c16:uniqueId val="{00000000-B2A3-4260-886E-658615F7E8D8}"/>
            </c:ext>
          </c:extLst>
        </c:ser>
        <c:dLbls>
          <c:dLblPos val="inEnd"/>
          <c:showLegendKey val="0"/>
          <c:showVal val="1"/>
          <c:showCatName val="0"/>
          <c:showSerName val="0"/>
          <c:showPercent val="0"/>
          <c:showBubbleSize val="0"/>
        </c:dLbls>
        <c:gapWidth val="115"/>
        <c:overlap val="-20"/>
        <c:axId val="785711679"/>
        <c:axId val="785712159"/>
      </c:barChart>
      <c:catAx>
        <c:axId val="78571167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5712159"/>
        <c:crosses val="autoZero"/>
        <c:auto val="1"/>
        <c:lblAlgn val="ctr"/>
        <c:lblOffset val="100"/>
        <c:noMultiLvlLbl val="0"/>
      </c:catAx>
      <c:valAx>
        <c:axId val="78571215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85711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 6860 Data Analytics Final Project Excel File.xlsx]2a_Match and Opponent Analysis !PivotTable1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Match dates on Day of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'2a_Match and Opponent Analysis '!$L$7</c:f>
              <c:strCache>
                <c:ptCount val="1"/>
                <c:pt idx="0">
                  <c:v>Total</c:v>
                </c:pt>
              </c:strCache>
            </c:strRef>
          </c:tx>
          <c:spPr>
            <a:solidFill>
              <a:schemeClr val="accent1"/>
            </a:solidFill>
            <a:ln>
              <a:noFill/>
            </a:ln>
            <a:effectLst/>
          </c:spPr>
          <c:invertIfNegative val="0"/>
          <c:cat>
            <c:strRef>
              <c:f>'2a_Match and Opponent Analysis '!$K$8:$K$15</c:f>
              <c:strCache>
                <c:ptCount val="7"/>
                <c:pt idx="0">
                  <c:v>Sunday</c:v>
                </c:pt>
                <c:pt idx="1">
                  <c:v>Monday</c:v>
                </c:pt>
                <c:pt idx="2">
                  <c:v>Tuesday</c:v>
                </c:pt>
                <c:pt idx="3">
                  <c:v>Wednesday</c:v>
                </c:pt>
                <c:pt idx="4">
                  <c:v>Thursday</c:v>
                </c:pt>
                <c:pt idx="5">
                  <c:v>Friday</c:v>
                </c:pt>
                <c:pt idx="6">
                  <c:v>Saturday</c:v>
                </c:pt>
              </c:strCache>
            </c:strRef>
          </c:cat>
          <c:val>
            <c:numRef>
              <c:f>'2a_Match and Opponent Analysis '!$L$8:$L$15</c:f>
              <c:numCache>
                <c:formatCode>General</c:formatCode>
                <c:ptCount val="7"/>
                <c:pt idx="0">
                  <c:v>42</c:v>
                </c:pt>
                <c:pt idx="1">
                  <c:v>41</c:v>
                </c:pt>
                <c:pt idx="2">
                  <c:v>37</c:v>
                </c:pt>
                <c:pt idx="3">
                  <c:v>44</c:v>
                </c:pt>
                <c:pt idx="4">
                  <c:v>34</c:v>
                </c:pt>
                <c:pt idx="5">
                  <c:v>42</c:v>
                </c:pt>
                <c:pt idx="6">
                  <c:v>40</c:v>
                </c:pt>
              </c:numCache>
            </c:numRef>
          </c:val>
          <c:extLst>
            <c:ext xmlns:c16="http://schemas.microsoft.com/office/drawing/2014/chart" uri="{C3380CC4-5D6E-409C-BE32-E72D297353CC}">
              <c16:uniqueId val="{00000001-F273-4842-9739-8ADA21E2465A}"/>
            </c:ext>
          </c:extLst>
        </c:ser>
        <c:dLbls>
          <c:showLegendKey val="0"/>
          <c:showVal val="0"/>
          <c:showCatName val="0"/>
          <c:showSerName val="0"/>
          <c:showPercent val="0"/>
          <c:showBubbleSize val="0"/>
        </c:dLbls>
        <c:gapWidth val="219"/>
        <c:overlap val="-27"/>
        <c:axId val="1817408520"/>
        <c:axId val="1817410568"/>
      </c:barChart>
      <c:catAx>
        <c:axId val="1817408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410568"/>
        <c:crosses val="autoZero"/>
        <c:auto val="1"/>
        <c:lblAlgn val="ctr"/>
        <c:lblOffset val="100"/>
        <c:noMultiLvlLbl val="0"/>
      </c:catAx>
      <c:valAx>
        <c:axId val="1817410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408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 6860 Data Analytics Final Project Excel File.xlsx]2a_Match and Opponent Analysis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Assists and Goals on Day of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'2a_Match and Opponent Analysis '!$L$17</c:f>
              <c:strCache>
                <c:ptCount val="1"/>
                <c:pt idx="0">
                  <c:v>Sum of Assists</c:v>
                </c:pt>
              </c:strCache>
            </c:strRef>
          </c:tx>
          <c:spPr>
            <a:solidFill>
              <a:schemeClr val="accent1"/>
            </a:solidFill>
            <a:ln>
              <a:noFill/>
            </a:ln>
            <a:effectLst/>
          </c:spPr>
          <c:invertIfNegative val="0"/>
          <c:cat>
            <c:strRef>
              <c:f>'2a_Match and Opponent Analysis '!$K$18:$K$25</c:f>
              <c:strCache>
                <c:ptCount val="7"/>
                <c:pt idx="0">
                  <c:v>Sunday</c:v>
                </c:pt>
                <c:pt idx="1">
                  <c:v>Monday</c:v>
                </c:pt>
                <c:pt idx="2">
                  <c:v>Tuesday</c:v>
                </c:pt>
                <c:pt idx="3">
                  <c:v>Wednesday</c:v>
                </c:pt>
                <c:pt idx="4">
                  <c:v>Thursday</c:v>
                </c:pt>
                <c:pt idx="5">
                  <c:v>Friday</c:v>
                </c:pt>
                <c:pt idx="6">
                  <c:v>Saturday</c:v>
                </c:pt>
              </c:strCache>
            </c:strRef>
          </c:cat>
          <c:val>
            <c:numRef>
              <c:f>'2a_Match and Opponent Analysis '!$L$18:$L$25</c:f>
              <c:numCache>
                <c:formatCode>General</c:formatCode>
                <c:ptCount val="7"/>
                <c:pt idx="0">
                  <c:v>120</c:v>
                </c:pt>
                <c:pt idx="1">
                  <c:v>133</c:v>
                </c:pt>
                <c:pt idx="2">
                  <c:v>122</c:v>
                </c:pt>
                <c:pt idx="3">
                  <c:v>117</c:v>
                </c:pt>
                <c:pt idx="4">
                  <c:v>105</c:v>
                </c:pt>
                <c:pt idx="5">
                  <c:v>139</c:v>
                </c:pt>
                <c:pt idx="6">
                  <c:v>139</c:v>
                </c:pt>
              </c:numCache>
            </c:numRef>
          </c:val>
          <c:extLst>
            <c:ext xmlns:c16="http://schemas.microsoft.com/office/drawing/2014/chart" uri="{C3380CC4-5D6E-409C-BE32-E72D297353CC}">
              <c16:uniqueId val="{00000001-2B59-4F8B-8CFA-1448DF301B28}"/>
            </c:ext>
          </c:extLst>
        </c:ser>
        <c:ser>
          <c:idx val="1"/>
          <c:order val="1"/>
          <c:tx>
            <c:strRef>
              <c:f>'2a_Match and Opponent Analysis '!$M$17</c:f>
              <c:strCache>
                <c:ptCount val="1"/>
                <c:pt idx="0">
                  <c:v>Sum of Goals Scored</c:v>
                </c:pt>
              </c:strCache>
            </c:strRef>
          </c:tx>
          <c:spPr>
            <a:solidFill>
              <a:schemeClr val="accent2"/>
            </a:solidFill>
            <a:ln>
              <a:noFill/>
            </a:ln>
            <a:effectLst/>
          </c:spPr>
          <c:invertIfNegative val="0"/>
          <c:cat>
            <c:strRef>
              <c:f>'2a_Match and Opponent Analysis '!$K$18:$K$25</c:f>
              <c:strCache>
                <c:ptCount val="7"/>
                <c:pt idx="0">
                  <c:v>Sunday</c:v>
                </c:pt>
                <c:pt idx="1">
                  <c:v>Monday</c:v>
                </c:pt>
                <c:pt idx="2">
                  <c:v>Tuesday</c:v>
                </c:pt>
                <c:pt idx="3">
                  <c:v>Wednesday</c:v>
                </c:pt>
                <c:pt idx="4">
                  <c:v>Thursday</c:v>
                </c:pt>
                <c:pt idx="5">
                  <c:v>Friday</c:v>
                </c:pt>
                <c:pt idx="6">
                  <c:v>Saturday</c:v>
                </c:pt>
              </c:strCache>
            </c:strRef>
          </c:cat>
          <c:val>
            <c:numRef>
              <c:f>'2a_Match and Opponent Analysis '!$M$18:$M$25</c:f>
              <c:numCache>
                <c:formatCode>General</c:formatCode>
                <c:ptCount val="7"/>
                <c:pt idx="0">
                  <c:v>70</c:v>
                </c:pt>
                <c:pt idx="1">
                  <c:v>68</c:v>
                </c:pt>
                <c:pt idx="2">
                  <c:v>78</c:v>
                </c:pt>
                <c:pt idx="3">
                  <c:v>82</c:v>
                </c:pt>
                <c:pt idx="4">
                  <c:v>56</c:v>
                </c:pt>
                <c:pt idx="5">
                  <c:v>83</c:v>
                </c:pt>
                <c:pt idx="6">
                  <c:v>77</c:v>
                </c:pt>
              </c:numCache>
            </c:numRef>
          </c:val>
          <c:extLst>
            <c:ext xmlns:c16="http://schemas.microsoft.com/office/drawing/2014/chart" uri="{C3380CC4-5D6E-409C-BE32-E72D297353CC}">
              <c16:uniqueId val="{00000003-2B59-4F8B-8CFA-1448DF301B28}"/>
            </c:ext>
          </c:extLst>
        </c:ser>
        <c:dLbls>
          <c:showLegendKey val="0"/>
          <c:showVal val="0"/>
          <c:showCatName val="0"/>
          <c:showSerName val="0"/>
          <c:showPercent val="0"/>
          <c:showBubbleSize val="0"/>
        </c:dLbls>
        <c:gapWidth val="219"/>
        <c:overlap val="-27"/>
        <c:axId val="1424480776"/>
        <c:axId val="1424975880"/>
      </c:barChart>
      <c:catAx>
        <c:axId val="1424480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975880"/>
        <c:crosses val="autoZero"/>
        <c:auto val="1"/>
        <c:lblAlgn val="ctr"/>
        <c:lblOffset val="100"/>
        <c:noMultiLvlLbl val="0"/>
      </c:catAx>
      <c:valAx>
        <c:axId val="1424975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480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 6860 Data Analytics Final Project Excel File.xlsx]2a_Match and Opponent Analysis !PivotTable3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Pass Accuracy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'2a_Match and Opponent Analysis '!$L$33</c:f>
              <c:strCache>
                <c:ptCount val="1"/>
                <c:pt idx="0">
                  <c:v>Total</c:v>
                </c:pt>
              </c:strCache>
            </c:strRef>
          </c:tx>
          <c:spPr>
            <a:solidFill>
              <a:schemeClr val="accent1"/>
            </a:solidFill>
            <a:ln>
              <a:noFill/>
            </a:ln>
            <a:effectLst/>
          </c:spPr>
          <c:invertIfNegative val="0"/>
          <c:cat>
            <c:strRef>
              <c:f>'2a_Match and Opponent Analysis '!$K$34:$K$41</c:f>
              <c:strCache>
                <c:ptCount val="7"/>
                <c:pt idx="0">
                  <c:v>Sunday</c:v>
                </c:pt>
                <c:pt idx="1">
                  <c:v>Monday</c:v>
                </c:pt>
                <c:pt idx="2">
                  <c:v>Tuesday</c:v>
                </c:pt>
                <c:pt idx="3">
                  <c:v>Wednesday</c:v>
                </c:pt>
                <c:pt idx="4">
                  <c:v>Thursday</c:v>
                </c:pt>
                <c:pt idx="5">
                  <c:v>Friday</c:v>
                </c:pt>
                <c:pt idx="6">
                  <c:v>Saturday</c:v>
                </c:pt>
              </c:strCache>
            </c:strRef>
          </c:cat>
          <c:val>
            <c:numRef>
              <c:f>'2a_Match and Opponent Analysis '!$L$34:$L$41</c:f>
              <c:numCache>
                <c:formatCode>General</c:formatCode>
                <c:ptCount val="7"/>
                <c:pt idx="0">
                  <c:v>71.023095238095237</c:v>
                </c:pt>
                <c:pt idx="1">
                  <c:v>73.34</c:v>
                </c:pt>
                <c:pt idx="2">
                  <c:v>73.602432432432437</c:v>
                </c:pt>
                <c:pt idx="3">
                  <c:v>70.172954545454544</c:v>
                </c:pt>
                <c:pt idx="4">
                  <c:v>72.784705882352952</c:v>
                </c:pt>
                <c:pt idx="5">
                  <c:v>73.764523809523837</c:v>
                </c:pt>
                <c:pt idx="6">
                  <c:v>74.588249999999988</c:v>
                </c:pt>
              </c:numCache>
            </c:numRef>
          </c:val>
          <c:extLst>
            <c:ext xmlns:c16="http://schemas.microsoft.com/office/drawing/2014/chart" uri="{C3380CC4-5D6E-409C-BE32-E72D297353CC}">
              <c16:uniqueId val="{00000001-AFF9-4906-B09A-0985638D285B}"/>
            </c:ext>
          </c:extLst>
        </c:ser>
        <c:dLbls>
          <c:showLegendKey val="0"/>
          <c:showVal val="0"/>
          <c:showCatName val="0"/>
          <c:showSerName val="0"/>
          <c:showPercent val="0"/>
          <c:showBubbleSize val="0"/>
        </c:dLbls>
        <c:gapWidth val="219"/>
        <c:overlap val="-27"/>
        <c:axId val="1249716744"/>
        <c:axId val="1249718792"/>
      </c:barChart>
      <c:catAx>
        <c:axId val="1249716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718792"/>
        <c:crosses val="autoZero"/>
        <c:auto val="1"/>
        <c:lblAlgn val="ctr"/>
        <c:lblOffset val="100"/>
        <c:noMultiLvlLbl val="0"/>
      </c:catAx>
      <c:valAx>
        <c:axId val="1249718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716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 6860 Data Analytics Final Project Excel File.xlsx]2b_Location Based Trends!PivotTable1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Team Performance by Match Location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'2b_Location Based Trends'!$AO$3</c:f>
              <c:strCache>
                <c:ptCount val="1"/>
                <c:pt idx="0">
                  <c:v>Sum of Goals Scored</c:v>
                </c:pt>
              </c:strCache>
            </c:strRef>
          </c:tx>
          <c:spPr>
            <a:solidFill>
              <a:schemeClr val="accent1"/>
            </a:solidFill>
            <a:ln>
              <a:noFill/>
            </a:ln>
            <a:effectLst/>
          </c:spPr>
          <c:invertIfNegative val="0"/>
          <c:cat>
            <c:multiLvlStrRef>
              <c:f>'2b_Location Based Trends'!$AM$4:$AN$14</c:f>
              <c:multiLvlStrCache>
                <c:ptCount val="8"/>
                <c:lvl>
                  <c:pt idx="0">
                    <c:v>Team A</c:v>
                  </c:pt>
                  <c:pt idx="1">
                    <c:v>Team B</c:v>
                  </c:pt>
                  <c:pt idx="2">
                    <c:v>Team C</c:v>
                  </c:pt>
                  <c:pt idx="3">
                    <c:v>Team D</c:v>
                  </c:pt>
                  <c:pt idx="4">
                    <c:v>Team A</c:v>
                  </c:pt>
                  <c:pt idx="5">
                    <c:v>Team B</c:v>
                  </c:pt>
                  <c:pt idx="6">
                    <c:v>Team C</c:v>
                  </c:pt>
                  <c:pt idx="7">
                    <c:v>Team D</c:v>
                  </c:pt>
                </c:lvl>
                <c:lvl>
                  <c:pt idx="0">
                    <c:v>Away</c:v>
                  </c:pt>
                  <c:pt idx="4">
                    <c:v>Home</c:v>
                  </c:pt>
                </c:lvl>
              </c:multiLvlStrCache>
            </c:multiLvlStrRef>
          </c:cat>
          <c:val>
            <c:numRef>
              <c:f>'2b_Location Based Trends'!$AO$4:$AO$14</c:f>
              <c:numCache>
                <c:formatCode>General</c:formatCode>
                <c:ptCount val="8"/>
                <c:pt idx="0">
                  <c:v>75</c:v>
                </c:pt>
                <c:pt idx="1">
                  <c:v>56</c:v>
                </c:pt>
                <c:pt idx="2">
                  <c:v>56</c:v>
                </c:pt>
                <c:pt idx="3">
                  <c:v>76</c:v>
                </c:pt>
                <c:pt idx="4">
                  <c:v>54</c:v>
                </c:pt>
                <c:pt idx="5">
                  <c:v>53</c:v>
                </c:pt>
                <c:pt idx="6">
                  <c:v>75</c:v>
                </c:pt>
                <c:pt idx="7">
                  <c:v>69</c:v>
                </c:pt>
              </c:numCache>
            </c:numRef>
          </c:val>
          <c:extLst>
            <c:ext xmlns:c16="http://schemas.microsoft.com/office/drawing/2014/chart" uri="{C3380CC4-5D6E-409C-BE32-E72D297353CC}">
              <c16:uniqueId val="{00000001-808D-451E-A502-BAAD3DB706E1}"/>
            </c:ext>
          </c:extLst>
        </c:ser>
        <c:ser>
          <c:idx val="1"/>
          <c:order val="1"/>
          <c:tx>
            <c:strRef>
              <c:f>'2b_Location Based Trends'!$AP$3</c:f>
              <c:strCache>
                <c:ptCount val="1"/>
                <c:pt idx="0">
                  <c:v>Sum of Assists</c:v>
                </c:pt>
              </c:strCache>
            </c:strRef>
          </c:tx>
          <c:spPr>
            <a:solidFill>
              <a:schemeClr val="accent2"/>
            </a:solidFill>
            <a:ln>
              <a:noFill/>
            </a:ln>
            <a:effectLst/>
          </c:spPr>
          <c:invertIfNegative val="0"/>
          <c:cat>
            <c:multiLvlStrRef>
              <c:f>'2b_Location Based Trends'!$AM$4:$AN$14</c:f>
              <c:multiLvlStrCache>
                <c:ptCount val="8"/>
                <c:lvl>
                  <c:pt idx="0">
                    <c:v>Team A</c:v>
                  </c:pt>
                  <c:pt idx="1">
                    <c:v>Team B</c:v>
                  </c:pt>
                  <c:pt idx="2">
                    <c:v>Team C</c:v>
                  </c:pt>
                  <c:pt idx="3">
                    <c:v>Team D</c:v>
                  </c:pt>
                  <c:pt idx="4">
                    <c:v>Team A</c:v>
                  </c:pt>
                  <c:pt idx="5">
                    <c:v>Team B</c:v>
                  </c:pt>
                  <c:pt idx="6">
                    <c:v>Team C</c:v>
                  </c:pt>
                  <c:pt idx="7">
                    <c:v>Team D</c:v>
                  </c:pt>
                </c:lvl>
                <c:lvl>
                  <c:pt idx="0">
                    <c:v>Away</c:v>
                  </c:pt>
                  <c:pt idx="4">
                    <c:v>Home</c:v>
                  </c:pt>
                </c:lvl>
              </c:multiLvlStrCache>
            </c:multiLvlStrRef>
          </c:cat>
          <c:val>
            <c:numRef>
              <c:f>'2b_Location Based Trends'!$AP$4:$AP$14</c:f>
              <c:numCache>
                <c:formatCode>General</c:formatCode>
                <c:ptCount val="8"/>
                <c:pt idx="0">
                  <c:v>100</c:v>
                </c:pt>
                <c:pt idx="1">
                  <c:v>117</c:v>
                </c:pt>
                <c:pt idx="2">
                  <c:v>109</c:v>
                </c:pt>
                <c:pt idx="3">
                  <c:v>110</c:v>
                </c:pt>
                <c:pt idx="4">
                  <c:v>112</c:v>
                </c:pt>
                <c:pt idx="5">
                  <c:v>87</c:v>
                </c:pt>
                <c:pt idx="6">
                  <c:v>133</c:v>
                </c:pt>
                <c:pt idx="7">
                  <c:v>107</c:v>
                </c:pt>
              </c:numCache>
            </c:numRef>
          </c:val>
          <c:extLst>
            <c:ext xmlns:c16="http://schemas.microsoft.com/office/drawing/2014/chart" uri="{C3380CC4-5D6E-409C-BE32-E72D297353CC}">
              <c16:uniqueId val="{00000003-808D-451E-A502-BAAD3DB706E1}"/>
            </c:ext>
          </c:extLst>
        </c:ser>
        <c:dLbls>
          <c:showLegendKey val="0"/>
          <c:showVal val="0"/>
          <c:showCatName val="0"/>
          <c:showSerName val="0"/>
          <c:showPercent val="0"/>
          <c:showBubbleSize val="0"/>
        </c:dLbls>
        <c:gapWidth val="219"/>
        <c:overlap val="-27"/>
        <c:axId val="1673515016"/>
        <c:axId val="1758664200"/>
      </c:barChart>
      <c:catAx>
        <c:axId val="1673515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64200"/>
        <c:crosses val="autoZero"/>
        <c:auto val="1"/>
        <c:lblAlgn val="ctr"/>
        <c:lblOffset val="100"/>
        <c:noMultiLvlLbl val="0"/>
      </c:catAx>
      <c:valAx>
        <c:axId val="1758664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5150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Goals Per Match (90 Minutes) by Position and Match Location</a:t>
            </a:r>
          </a:p>
        </c:rich>
      </c:tx>
      <c:layout>
        <c:manualLayout>
          <c:xMode val="edge"/>
          <c:yMode val="edge"/>
          <c:x val="0.141281130699875"/>
          <c:y val="3.19277635261193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'2b_Location Based Trends'!$AO$37</c:f>
              <c:strCache>
                <c:ptCount val="1"/>
                <c:pt idx="0">
                  <c:v>Goals per 90 </c:v>
                </c:pt>
              </c:strCache>
            </c:strRef>
          </c:tx>
          <c:spPr>
            <a:solidFill>
              <a:schemeClr val="accent1"/>
            </a:solidFill>
            <a:ln>
              <a:noFill/>
            </a:ln>
            <a:effectLst/>
          </c:spPr>
          <c:invertIfNegative val="0"/>
          <c:cat>
            <c:multiLvlStrRef>
              <c:f>'2b_Location Based Trends'!$AM$38:$AN$46</c:f>
              <c:multiLvlStrCache>
                <c:ptCount val="9"/>
                <c:lvl>
                  <c:pt idx="0">
                    <c:v>Defender</c:v>
                  </c:pt>
                  <c:pt idx="1">
                    <c:v>Forward</c:v>
                  </c:pt>
                  <c:pt idx="2">
                    <c:v>Goalkeeper</c:v>
                  </c:pt>
                  <c:pt idx="3">
                    <c:v>Midfielder</c:v>
                  </c:pt>
                  <c:pt idx="5">
                    <c:v>Defender</c:v>
                  </c:pt>
                  <c:pt idx="6">
                    <c:v>Forward</c:v>
                  </c:pt>
                  <c:pt idx="7">
                    <c:v>Goalkeeper</c:v>
                  </c:pt>
                  <c:pt idx="8">
                    <c:v>Midfielder</c:v>
                  </c:pt>
                </c:lvl>
                <c:lvl>
                  <c:pt idx="0">
                    <c:v>Away Total</c:v>
                  </c:pt>
                  <c:pt idx="5">
                    <c:v>Home Total</c:v>
                  </c:pt>
                </c:lvl>
              </c:multiLvlStrCache>
            </c:multiLvlStrRef>
          </c:cat>
          <c:val>
            <c:numRef>
              <c:f>'2b_Location Based Trends'!$AO$38:$AO$46</c:f>
              <c:numCache>
                <c:formatCode>0.00</c:formatCode>
                <c:ptCount val="9"/>
                <c:pt idx="0">
                  <c:v>3.08</c:v>
                </c:pt>
                <c:pt idx="1">
                  <c:v>2.98</c:v>
                </c:pt>
                <c:pt idx="2">
                  <c:v>0</c:v>
                </c:pt>
                <c:pt idx="3">
                  <c:v>3.29</c:v>
                </c:pt>
                <c:pt idx="5">
                  <c:v>2.3199999999999998</c:v>
                </c:pt>
                <c:pt idx="6">
                  <c:v>3.29</c:v>
                </c:pt>
                <c:pt idx="7">
                  <c:v>1</c:v>
                </c:pt>
                <c:pt idx="8">
                  <c:v>3.39</c:v>
                </c:pt>
              </c:numCache>
            </c:numRef>
          </c:val>
          <c:extLst>
            <c:ext xmlns:c16="http://schemas.microsoft.com/office/drawing/2014/chart" uri="{C3380CC4-5D6E-409C-BE32-E72D297353CC}">
              <c16:uniqueId val="{00000001-AECD-4AB3-81D9-B1C1BBC862E7}"/>
            </c:ext>
          </c:extLst>
        </c:ser>
        <c:dLbls>
          <c:showLegendKey val="0"/>
          <c:showVal val="0"/>
          <c:showCatName val="0"/>
          <c:showSerName val="0"/>
          <c:showPercent val="0"/>
          <c:showBubbleSize val="0"/>
        </c:dLbls>
        <c:gapWidth val="219"/>
        <c:overlap val="-27"/>
        <c:axId val="83631623"/>
        <c:axId val="688986631"/>
      </c:barChart>
      <c:catAx>
        <c:axId val="83631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986631"/>
        <c:crosses val="autoZero"/>
        <c:auto val="1"/>
        <c:lblAlgn val="ctr"/>
        <c:lblOffset val="100"/>
        <c:noMultiLvlLbl val="0"/>
      </c:catAx>
      <c:valAx>
        <c:axId val="6889866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31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 6860 Data Analytics Final Project Excel File.xlsx]2b_Location Based Trends!PivotTable4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Goals and Assists by Position: Home vs. Away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'2b_Location Based Trends'!$AO$54</c:f>
              <c:strCache>
                <c:ptCount val="1"/>
                <c:pt idx="0">
                  <c:v>Sum of Goals Scored</c:v>
                </c:pt>
              </c:strCache>
            </c:strRef>
          </c:tx>
          <c:spPr>
            <a:solidFill>
              <a:schemeClr val="accent1"/>
            </a:solidFill>
            <a:ln>
              <a:noFill/>
            </a:ln>
            <a:effectLst/>
          </c:spPr>
          <c:invertIfNegative val="0"/>
          <c:cat>
            <c:multiLvlStrRef>
              <c:f>'2b_Location Based Trends'!$AM$55:$AN$65</c:f>
              <c:multiLvlStrCache>
                <c:ptCount val="8"/>
                <c:lvl>
                  <c:pt idx="0">
                    <c:v>Defender</c:v>
                  </c:pt>
                  <c:pt idx="1">
                    <c:v>Forward</c:v>
                  </c:pt>
                  <c:pt idx="2">
                    <c:v>Goalkeeper</c:v>
                  </c:pt>
                  <c:pt idx="3">
                    <c:v>Midfielder</c:v>
                  </c:pt>
                  <c:pt idx="4">
                    <c:v>Defender</c:v>
                  </c:pt>
                  <c:pt idx="5">
                    <c:v>Forward</c:v>
                  </c:pt>
                  <c:pt idx="6">
                    <c:v>Goalkeeper</c:v>
                  </c:pt>
                  <c:pt idx="7">
                    <c:v>Midfielder</c:v>
                  </c:pt>
                </c:lvl>
                <c:lvl>
                  <c:pt idx="0">
                    <c:v>Away</c:v>
                  </c:pt>
                  <c:pt idx="4">
                    <c:v>Home</c:v>
                  </c:pt>
                </c:lvl>
              </c:multiLvlStrCache>
            </c:multiLvlStrRef>
          </c:cat>
          <c:val>
            <c:numRef>
              <c:f>'2b_Location Based Trends'!$AO$55:$AO$65</c:f>
              <c:numCache>
                <c:formatCode>General</c:formatCode>
                <c:ptCount val="8"/>
                <c:pt idx="0">
                  <c:v>84</c:v>
                </c:pt>
                <c:pt idx="1">
                  <c:v>53</c:v>
                </c:pt>
                <c:pt idx="2">
                  <c:v>0</c:v>
                </c:pt>
                <c:pt idx="3">
                  <c:v>126</c:v>
                </c:pt>
                <c:pt idx="4">
                  <c:v>87</c:v>
                </c:pt>
                <c:pt idx="5">
                  <c:v>39</c:v>
                </c:pt>
                <c:pt idx="6">
                  <c:v>2</c:v>
                </c:pt>
                <c:pt idx="7">
                  <c:v>123</c:v>
                </c:pt>
              </c:numCache>
            </c:numRef>
          </c:val>
          <c:extLst>
            <c:ext xmlns:c16="http://schemas.microsoft.com/office/drawing/2014/chart" uri="{C3380CC4-5D6E-409C-BE32-E72D297353CC}">
              <c16:uniqueId val="{00000001-66E8-4EE4-BA34-0008D52D5066}"/>
            </c:ext>
          </c:extLst>
        </c:ser>
        <c:ser>
          <c:idx val="1"/>
          <c:order val="1"/>
          <c:tx>
            <c:strRef>
              <c:f>'2b_Location Based Trends'!$AP$54</c:f>
              <c:strCache>
                <c:ptCount val="1"/>
                <c:pt idx="0">
                  <c:v>Sum of Assists</c:v>
                </c:pt>
              </c:strCache>
            </c:strRef>
          </c:tx>
          <c:spPr>
            <a:solidFill>
              <a:schemeClr val="accent2"/>
            </a:solidFill>
            <a:ln>
              <a:noFill/>
            </a:ln>
            <a:effectLst/>
          </c:spPr>
          <c:invertIfNegative val="0"/>
          <c:cat>
            <c:multiLvlStrRef>
              <c:f>'2b_Location Based Trends'!$AM$55:$AN$65</c:f>
              <c:multiLvlStrCache>
                <c:ptCount val="8"/>
                <c:lvl>
                  <c:pt idx="0">
                    <c:v>Defender</c:v>
                  </c:pt>
                  <c:pt idx="1">
                    <c:v>Forward</c:v>
                  </c:pt>
                  <c:pt idx="2">
                    <c:v>Goalkeeper</c:v>
                  </c:pt>
                  <c:pt idx="3">
                    <c:v>Midfielder</c:v>
                  </c:pt>
                  <c:pt idx="4">
                    <c:v>Defender</c:v>
                  </c:pt>
                  <c:pt idx="5">
                    <c:v>Forward</c:v>
                  </c:pt>
                  <c:pt idx="6">
                    <c:v>Goalkeeper</c:v>
                  </c:pt>
                  <c:pt idx="7">
                    <c:v>Midfielder</c:v>
                  </c:pt>
                </c:lvl>
                <c:lvl>
                  <c:pt idx="0">
                    <c:v>Away</c:v>
                  </c:pt>
                  <c:pt idx="4">
                    <c:v>Home</c:v>
                  </c:pt>
                </c:lvl>
              </c:multiLvlStrCache>
            </c:multiLvlStrRef>
          </c:cat>
          <c:val>
            <c:numRef>
              <c:f>'2b_Location Based Trends'!$AP$55:$AP$65</c:f>
              <c:numCache>
                <c:formatCode>General</c:formatCode>
                <c:ptCount val="8"/>
                <c:pt idx="0">
                  <c:v>135</c:v>
                </c:pt>
                <c:pt idx="1">
                  <c:v>53</c:v>
                </c:pt>
                <c:pt idx="2">
                  <c:v>1</c:v>
                </c:pt>
                <c:pt idx="3">
                  <c:v>247</c:v>
                </c:pt>
                <c:pt idx="4">
                  <c:v>183</c:v>
                </c:pt>
                <c:pt idx="5">
                  <c:v>37</c:v>
                </c:pt>
                <c:pt idx="6">
                  <c:v>2</c:v>
                </c:pt>
                <c:pt idx="7">
                  <c:v>217</c:v>
                </c:pt>
              </c:numCache>
            </c:numRef>
          </c:val>
          <c:extLst>
            <c:ext xmlns:c16="http://schemas.microsoft.com/office/drawing/2014/chart" uri="{C3380CC4-5D6E-409C-BE32-E72D297353CC}">
              <c16:uniqueId val="{00000003-66E8-4EE4-BA34-0008D52D5066}"/>
            </c:ext>
          </c:extLst>
        </c:ser>
        <c:dLbls>
          <c:showLegendKey val="0"/>
          <c:showVal val="0"/>
          <c:showCatName val="0"/>
          <c:showSerName val="0"/>
          <c:showPercent val="0"/>
          <c:showBubbleSize val="0"/>
        </c:dLbls>
        <c:gapWidth val="219"/>
        <c:overlap val="-27"/>
        <c:axId val="1758661128"/>
        <c:axId val="1758671880"/>
      </c:barChart>
      <c:catAx>
        <c:axId val="1758661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71880"/>
        <c:crosses val="autoZero"/>
        <c:auto val="1"/>
        <c:lblAlgn val="ctr"/>
        <c:lblOffset val="100"/>
        <c:noMultiLvlLbl val="0"/>
      </c:catAx>
      <c:valAx>
        <c:axId val="1758671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661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Injury Types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F8CBAD"/>
            </a:solidFill>
            <a:ln>
              <a:solidFill>
                <a:srgbClr val="FFFFFF"/>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Hamstring Strain</c:v>
              </c:pt>
              <c:pt idx="1">
                <c:v>Ankle Sprain</c:v>
              </c:pt>
              <c:pt idx="2">
                <c:v>ACL Tear</c:v>
              </c:pt>
              <c:pt idx="3">
                <c:v>None</c:v>
              </c:pt>
            </c:strLit>
          </c:cat>
          <c:val>
            <c:numLit>
              <c:formatCode>General</c:formatCode>
              <c:ptCount val="4"/>
              <c:pt idx="0">
                <c:v>75</c:v>
              </c:pt>
              <c:pt idx="1">
                <c:v>74</c:v>
              </c:pt>
              <c:pt idx="2">
                <c:v>71</c:v>
              </c:pt>
              <c:pt idx="3">
                <c:v>59</c:v>
              </c:pt>
            </c:numLit>
          </c:val>
          <c:extLst>
            <c:ext xmlns:c16="http://schemas.microsoft.com/office/drawing/2014/chart" uri="{C3380CC4-5D6E-409C-BE32-E72D297353CC}">
              <c16:uniqueId val="{00000001-8FE2-4199-90AF-FE2E4282AF60}"/>
            </c:ext>
          </c:extLst>
        </c:ser>
        <c:dLbls>
          <c:dLblPos val="outEnd"/>
          <c:showLegendKey val="0"/>
          <c:showVal val="1"/>
          <c:showCatName val="0"/>
          <c:showSerName val="0"/>
          <c:showPercent val="0"/>
          <c:showBubbleSize val="0"/>
        </c:dLbls>
        <c:gapWidth val="219"/>
        <c:overlap val="-27"/>
        <c:axId val="1217490439"/>
        <c:axId val="1217505287"/>
      </c:barChart>
      <c:catAx>
        <c:axId val="1217490439"/>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505287"/>
        <c:crosses val="autoZero"/>
        <c:auto val="1"/>
        <c:lblAlgn val="ctr"/>
        <c:lblOffset val="100"/>
        <c:noMultiLvlLbl val="0"/>
      </c:catAx>
      <c:valAx>
        <c:axId val="1217505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solidFill>
            <a:srgbClr val="FFFFFF"/>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490439"/>
        <c:crosses val="autoZero"/>
        <c:crossBetween val="between"/>
      </c:valAx>
      <c:spPr>
        <a:noFill/>
        <a:ln>
          <a:noFill/>
        </a:ln>
        <a:effectLst/>
      </c:spPr>
    </c:plotArea>
    <c:legend>
      <c:legendPos val="b"/>
      <c:overlay val="0"/>
      <c:spPr>
        <a:solidFill>
          <a:srgbClr val="FFFFFF"/>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 6860 Data Analytics Final Project Excel File.xlsx]3b_Health and Fitness!PivotTable1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'3b_Health and Fitness'!$M$5</c:f>
              <c:strCache>
                <c:ptCount val="1"/>
                <c:pt idx="0">
                  <c:v>Average of VO2 Max</c:v>
                </c:pt>
              </c:strCache>
            </c:strRef>
          </c:tx>
          <c:spPr>
            <a:solidFill>
              <a:schemeClr val="accent1"/>
            </a:solidFill>
            <a:ln>
              <a:noFill/>
            </a:ln>
            <a:effectLst/>
          </c:spPr>
          <c:invertIfNegative val="0"/>
          <c:cat>
            <c:strRef>
              <c:f>'3b_Health and Fitness'!$L$6:$L$10</c:f>
              <c:strCache>
                <c:ptCount val="4"/>
                <c:pt idx="0">
                  <c:v>ACL Tear</c:v>
                </c:pt>
                <c:pt idx="1">
                  <c:v>Ankle Sprain</c:v>
                </c:pt>
                <c:pt idx="2">
                  <c:v>Hamstring Strain</c:v>
                </c:pt>
                <c:pt idx="3">
                  <c:v>None</c:v>
                </c:pt>
              </c:strCache>
            </c:strRef>
          </c:cat>
          <c:val>
            <c:numRef>
              <c:f>'3b_Health and Fitness'!$M$6:$M$10</c:f>
              <c:numCache>
                <c:formatCode>0.00</c:formatCode>
                <c:ptCount val="4"/>
                <c:pt idx="0">
                  <c:v>53.54444444444443</c:v>
                </c:pt>
                <c:pt idx="1">
                  <c:v>55.06216216216216</c:v>
                </c:pt>
                <c:pt idx="2">
                  <c:v>55.251999999999995</c:v>
                </c:pt>
                <c:pt idx="3">
                  <c:v>54.635593220338976</c:v>
                </c:pt>
              </c:numCache>
            </c:numRef>
          </c:val>
          <c:extLst>
            <c:ext xmlns:c16="http://schemas.microsoft.com/office/drawing/2014/chart" uri="{C3380CC4-5D6E-409C-BE32-E72D297353CC}">
              <c16:uniqueId val="{00000000-D988-42F0-B2DD-C7BCEB7E6338}"/>
            </c:ext>
          </c:extLst>
        </c:ser>
        <c:ser>
          <c:idx val="1"/>
          <c:order val="1"/>
          <c:tx>
            <c:strRef>
              <c:f>'3b_Health and Fitness'!$N$5</c:f>
              <c:strCache>
                <c:ptCount val="1"/>
                <c:pt idx="0">
                  <c:v>Average of Fatigue Index</c:v>
                </c:pt>
              </c:strCache>
            </c:strRef>
          </c:tx>
          <c:spPr>
            <a:solidFill>
              <a:schemeClr val="accent2"/>
            </a:solidFill>
            <a:ln>
              <a:noFill/>
            </a:ln>
            <a:effectLst/>
          </c:spPr>
          <c:invertIfNegative val="0"/>
          <c:cat>
            <c:strRef>
              <c:f>'3b_Health and Fitness'!$L$6:$L$10</c:f>
              <c:strCache>
                <c:ptCount val="4"/>
                <c:pt idx="0">
                  <c:v>ACL Tear</c:v>
                </c:pt>
                <c:pt idx="1">
                  <c:v>Ankle Sprain</c:v>
                </c:pt>
                <c:pt idx="2">
                  <c:v>Hamstring Strain</c:v>
                </c:pt>
                <c:pt idx="3">
                  <c:v>None</c:v>
                </c:pt>
              </c:strCache>
            </c:strRef>
          </c:cat>
          <c:val>
            <c:numRef>
              <c:f>'3b_Health and Fitness'!$N$6:$N$10</c:f>
              <c:numCache>
                <c:formatCode>0.00</c:formatCode>
                <c:ptCount val="4"/>
                <c:pt idx="0">
                  <c:v>1.0291666666666663</c:v>
                </c:pt>
                <c:pt idx="1">
                  <c:v>1.0160810810810812</c:v>
                </c:pt>
                <c:pt idx="2">
                  <c:v>1.0080000000000007</c:v>
                </c:pt>
                <c:pt idx="3">
                  <c:v>1.0003389830508471</c:v>
                </c:pt>
              </c:numCache>
            </c:numRef>
          </c:val>
          <c:extLst>
            <c:ext xmlns:c16="http://schemas.microsoft.com/office/drawing/2014/chart" uri="{C3380CC4-5D6E-409C-BE32-E72D297353CC}">
              <c16:uniqueId val="{00000001-D988-42F0-B2DD-C7BCEB7E6338}"/>
            </c:ext>
          </c:extLst>
        </c:ser>
        <c:ser>
          <c:idx val="2"/>
          <c:order val="2"/>
          <c:tx>
            <c:strRef>
              <c:f>'3b_Health and Fitness'!$O$5</c:f>
              <c:strCache>
                <c:ptCount val="1"/>
                <c:pt idx="0">
                  <c:v>Average of Muscle Strength Score</c:v>
                </c:pt>
              </c:strCache>
            </c:strRef>
          </c:tx>
          <c:spPr>
            <a:solidFill>
              <a:schemeClr val="accent3"/>
            </a:solidFill>
            <a:ln>
              <a:noFill/>
            </a:ln>
            <a:effectLst/>
          </c:spPr>
          <c:invertIfNegative val="0"/>
          <c:cat>
            <c:strRef>
              <c:f>'3b_Health and Fitness'!$L$6:$L$10</c:f>
              <c:strCache>
                <c:ptCount val="4"/>
                <c:pt idx="0">
                  <c:v>ACL Tear</c:v>
                </c:pt>
                <c:pt idx="1">
                  <c:v>Ankle Sprain</c:v>
                </c:pt>
                <c:pt idx="2">
                  <c:v>Hamstring Strain</c:v>
                </c:pt>
                <c:pt idx="3">
                  <c:v>None</c:v>
                </c:pt>
              </c:strCache>
            </c:strRef>
          </c:cat>
          <c:val>
            <c:numRef>
              <c:f>'3b_Health and Fitness'!$O$6:$O$10</c:f>
              <c:numCache>
                <c:formatCode>0.00</c:formatCode>
                <c:ptCount val="4"/>
                <c:pt idx="0">
                  <c:v>84.904861111111117</c:v>
                </c:pt>
                <c:pt idx="1">
                  <c:v>83.951891891891876</c:v>
                </c:pt>
                <c:pt idx="2">
                  <c:v>84.54346666666666</c:v>
                </c:pt>
                <c:pt idx="3">
                  <c:v>84.39084745762716</c:v>
                </c:pt>
              </c:numCache>
            </c:numRef>
          </c:val>
          <c:extLst>
            <c:ext xmlns:c16="http://schemas.microsoft.com/office/drawing/2014/chart" uri="{C3380CC4-5D6E-409C-BE32-E72D297353CC}">
              <c16:uniqueId val="{00000002-D988-42F0-B2DD-C7BCEB7E6338}"/>
            </c:ext>
          </c:extLst>
        </c:ser>
        <c:dLbls>
          <c:showLegendKey val="0"/>
          <c:showVal val="0"/>
          <c:showCatName val="0"/>
          <c:showSerName val="0"/>
          <c:showPercent val="0"/>
          <c:showBubbleSize val="0"/>
        </c:dLbls>
        <c:gapWidth val="219"/>
        <c:overlap val="-27"/>
        <c:axId val="453759984"/>
        <c:axId val="453761424"/>
      </c:barChart>
      <c:catAx>
        <c:axId val="45375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761424"/>
        <c:crosses val="autoZero"/>
        <c:auto val="1"/>
        <c:lblAlgn val="ctr"/>
        <c:lblOffset val="100"/>
        <c:noMultiLvlLbl val="0"/>
      </c:catAx>
      <c:valAx>
        <c:axId val="4537614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75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Distance Covered by Training Hours</a:t>
            </a:r>
          </a:p>
        </c:rich>
      </c:tx>
      <c:layout>
        <c:manualLayout>
          <c:xMode val="edge"/>
          <c:yMode val="edge"/>
          <c:x val="1.6090113735783028E-2"/>
          <c:y val="2.777777777777777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'4b_Workload Analysis'!$B$2</c:f>
              <c:strCache>
                <c:ptCount val="1"/>
                <c:pt idx="0">
                  <c:v>Distance Covered (km)</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1"/>
            <c:dispEq val="1"/>
            <c:trendlineLbl>
              <c:layout>
                <c:manualLayout>
                  <c:x val="0.11389785651793526"/>
                  <c:y val="-0.30819553805774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'4b_Workload Analysis'!$A$3:$A$282</c:f>
              <c:numCache>
                <c:formatCode>General</c:formatCode>
                <c:ptCount val="280"/>
                <c:pt idx="0">
                  <c:v>11.7</c:v>
                </c:pt>
                <c:pt idx="1">
                  <c:v>19.899999999999999</c:v>
                </c:pt>
                <c:pt idx="2">
                  <c:v>11.6</c:v>
                </c:pt>
                <c:pt idx="3">
                  <c:v>17.899999999999999</c:v>
                </c:pt>
                <c:pt idx="4">
                  <c:v>17.8</c:v>
                </c:pt>
                <c:pt idx="5">
                  <c:v>11.6</c:v>
                </c:pt>
                <c:pt idx="6">
                  <c:v>19.899999999999999</c:v>
                </c:pt>
                <c:pt idx="7">
                  <c:v>11.5</c:v>
                </c:pt>
                <c:pt idx="8">
                  <c:v>9.3000000000000007</c:v>
                </c:pt>
                <c:pt idx="9">
                  <c:v>13.8</c:v>
                </c:pt>
                <c:pt idx="10">
                  <c:v>19.899999999999999</c:v>
                </c:pt>
                <c:pt idx="11">
                  <c:v>19.8</c:v>
                </c:pt>
                <c:pt idx="12">
                  <c:v>15.7</c:v>
                </c:pt>
                <c:pt idx="13">
                  <c:v>6.5</c:v>
                </c:pt>
                <c:pt idx="14">
                  <c:v>13.8</c:v>
                </c:pt>
                <c:pt idx="15">
                  <c:v>17.8</c:v>
                </c:pt>
                <c:pt idx="16">
                  <c:v>19.8</c:v>
                </c:pt>
                <c:pt idx="17">
                  <c:v>11.4</c:v>
                </c:pt>
                <c:pt idx="18">
                  <c:v>13.7</c:v>
                </c:pt>
                <c:pt idx="19">
                  <c:v>15.6</c:v>
                </c:pt>
                <c:pt idx="20">
                  <c:v>17.8</c:v>
                </c:pt>
                <c:pt idx="21">
                  <c:v>6.4</c:v>
                </c:pt>
                <c:pt idx="22">
                  <c:v>6.4</c:v>
                </c:pt>
                <c:pt idx="23">
                  <c:v>15.6</c:v>
                </c:pt>
                <c:pt idx="24">
                  <c:v>15.5</c:v>
                </c:pt>
                <c:pt idx="25">
                  <c:v>11.4</c:v>
                </c:pt>
                <c:pt idx="26">
                  <c:v>19.8</c:v>
                </c:pt>
                <c:pt idx="27">
                  <c:v>6.4</c:v>
                </c:pt>
                <c:pt idx="28">
                  <c:v>17.8</c:v>
                </c:pt>
                <c:pt idx="29">
                  <c:v>13.6</c:v>
                </c:pt>
                <c:pt idx="30">
                  <c:v>17.7</c:v>
                </c:pt>
                <c:pt idx="31">
                  <c:v>9.1999999999999993</c:v>
                </c:pt>
                <c:pt idx="32">
                  <c:v>9.1999999999999993</c:v>
                </c:pt>
                <c:pt idx="33">
                  <c:v>15.5</c:v>
                </c:pt>
                <c:pt idx="34">
                  <c:v>11.4</c:v>
                </c:pt>
                <c:pt idx="35">
                  <c:v>9.1999999999999993</c:v>
                </c:pt>
                <c:pt idx="36">
                  <c:v>6.4</c:v>
                </c:pt>
                <c:pt idx="37">
                  <c:v>17.5</c:v>
                </c:pt>
                <c:pt idx="38">
                  <c:v>17.399999999999999</c:v>
                </c:pt>
                <c:pt idx="39">
                  <c:v>15.5</c:v>
                </c:pt>
                <c:pt idx="40">
                  <c:v>19.8</c:v>
                </c:pt>
                <c:pt idx="41">
                  <c:v>19.600000000000001</c:v>
                </c:pt>
                <c:pt idx="42">
                  <c:v>13.6</c:v>
                </c:pt>
                <c:pt idx="43">
                  <c:v>15.5</c:v>
                </c:pt>
                <c:pt idx="44">
                  <c:v>13.6</c:v>
                </c:pt>
                <c:pt idx="45">
                  <c:v>19.600000000000001</c:v>
                </c:pt>
                <c:pt idx="46">
                  <c:v>15.5</c:v>
                </c:pt>
                <c:pt idx="47">
                  <c:v>15.5</c:v>
                </c:pt>
                <c:pt idx="48">
                  <c:v>15.4</c:v>
                </c:pt>
                <c:pt idx="49">
                  <c:v>19.5</c:v>
                </c:pt>
                <c:pt idx="50">
                  <c:v>13.4</c:v>
                </c:pt>
                <c:pt idx="51">
                  <c:v>13.4</c:v>
                </c:pt>
                <c:pt idx="52">
                  <c:v>15.4</c:v>
                </c:pt>
                <c:pt idx="53">
                  <c:v>9.1999999999999993</c:v>
                </c:pt>
                <c:pt idx="54">
                  <c:v>11.3</c:v>
                </c:pt>
                <c:pt idx="55">
                  <c:v>19.5</c:v>
                </c:pt>
                <c:pt idx="56">
                  <c:v>11.3</c:v>
                </c:pt>
                <c:pt idx="57">
                  <c:v>11.2</c:v>
                </c:pt>
                <c:pt idx="58">
                  <c:v>13.3</c:v>
                </c:pt>
                <c:pt idx="59">
                  <c:v>13.3</c:v>
                </c:pt>
                <c:pt idx="60">
                  <c:v>9.1999999999999993</c:v>
                </c:pt>
                <c:pt idx="61">
                  <c:v>11.1</c:v>
                </c:pt>
                <c:pt idx="62">
                  <c:v>11</c:v>
                </c:pt>
                <c:pt idx="63">
                  <c:v>15.4</c:v>
                </c:pt>
                <c:pt idx="64">
                  <c:v>13.2</c:v>
                </c:pt>
                <c:pt idx="65">
                  <c:v>10.8</c:v>
                </c:pt>
                <c:pt idx="66">
                  <c:v>17.3</c:v>
                </c:pt>
                <c:pt idx="67">
                  <c:v>9.1</c:v>
                </c:pt>
                <c:pt idx="68">
                  <c:v>17.3</c:v>
                </c:pt>
                <c:pt idx="69">
                  <c:v>17.3</c:v>
                </c:pt>
                <c:pt idx="70">
                  <c:v>19.5</c:v>
                </c:pt>
                <c:pt idx="71">
                  <c:v>19.5</c:v>
                </c:pt>
                <c:pt idx="72">
                  <c:v>8.8000000000000007</c:v>
                </c:pt>
                <c:pt idx="73">
                  <c:v>17.2</c:v>
                </c:pt>
                <c:pt idx="74">
                  <c:v>10.8</c:v>
                </c:pt>
                <c:pt idx="75">
                  <c:v>13.2</c:v>
                </c:pt>
                <c:pt idx="76">
                  <c:v>8.6999999999999993</c:v>
                </c:pt>
                <c:pt idx="77">
                  <c:v>15.3</c:v>
                </c:pt>
                <c:pt idx="78">
                  <c:v>17.2</c:v>
                </c:pt>
                <c:pt idx="79">
                  <c:v>8.4</c:v>
                </c:pt>
                <c:pt idx="80">
                  <c:v>6.3</c:v>
                </c:pt>
                <c:pt idx="81">
                  <c:v>6.3</c:v>
                </c:pt>
                <c:pt idx="82">
                  <c:v>19.399999999999999</c:v>
                </c:pt>
                <c:pt idx="83">
                  <c:v>13.2</c:v>
                </c:pt>
                <c:pt idx="84">
                  <c:v>10.8</c:v>
                </c:pt>
                <c:pt idx="85">
                  <c:v>13.1</c:v>
                </c:pt>
                <c:pt idx="86">
                  <c:v>13.1</c:v>
                </c:pt>
                <c:pt idx="87">
                  <c:v>13</c:v>
                </c:pt>
                <c:pt idx="88">
                  <c:v>13</c:v>
                </c:pt>
                <c:pt idx="89">
                  <c:v>15.2</c:v>
                </c:pt>
                <c:pt idx="90">
                  <c:v>15.1</c:v>
                </c:pt>
                <c:pt idx="91">
                  <c:v>19.399999999999999</c:v>
                </c:pt>
                <c:pt idx="92">
                  <c:v>8.1999999999999993</c:v>
                </c:pt>
                <c:pt idx="93">
                  <c:v>6.3</c:v>
                </c:pt>
                <c:pt idx="94">
                  <c:v>12.9</c:v>
                </c:pt>
                <c:pt idx="95">
                  <c:v>19.399999999999999</c:v>
                </c:pt>
                <c:pt idx="96">
                  <c:v>7.9</c:v>
                </c:pt>
                <c:pt idx="97">
                  <c:v>6.3</c:v>
                </c:pt>
                <c:pt idx="98">
                  <c:v>17.2</c:v>
                </c:pt>
                <c:pt idx="99">
                  <c:v>10.8</c:v>
                </c:pt>
                <c:pt idx="100">
                  <c:v>14.9</c:v>
                </c:pt>
                <c:pt idx="101">
                  <c:v>17.2</c:v>
                </c:pt>
                <c:pt idx="102">
                  <c:v>6.2</c:v>
                </c:pt>
                <c:pt idx="103">
                  <c:v>17.2</c:v>
                </c:pt>
                <c:pt idx="104">
                  <c:v>10.6</c:v>
                </c:pt>
                <c:pt idx="105">
                  <c:v>19.399999999999999</c:v>
                </c:pt>
                <c:pt idx="106">
                  <c:v>6.2</c:v>
                </c:pt>
                <c:pt idx="107">
                  <c:v>17.100000000000001</c:v>
                </c:pt>
                <c:pt idx="108">
                  <c:v>14.9</c:v>
                </c:pt>
                <c:pt idx="109">
                  <c:v>14.7</c:v>
                </c:pt>
                <c:pt idx="110">
                  <c:v>7.8</c:v>
                </c:pt>
                <c:pt idx="111">
                  <c:v>17.100000000000001</c:v>
                </c:pt>
                <c:pt idx="112">
                  <c:v>12.8</c:v>
                </c:pt>
                <c:pt idx="113">
                  <c:v>17.100000000000001</c:v>
                </c:pt>
                <c:pt idx="114">
                  <c:v>19.3</c:v>
                </c:pt>
                <c:pt idx="115">
                  <c:v>6.2</c:v>
                </c:pt>
                <c:pt idx="116">
                  <c:v>6.1</c:v>
                </c:pt>
                <c:pt idx="117">
                  <c:v>19.3</c:v>
                </c:pt>
                <c:pt idx="118">
                  <c:v>17</c:v>
                </c:pt>
                <c:pt idx="119">
                  <c:v>19.3</c:v>
                </c:pt>
                <c:pt idx="120">
                  <c:v>10.6</c:v>
                </c:pt>
                <c:pt idx="121">
                  <c:v>19.3</c:v>
                </c:pt>
                <c:pt idx="122">
                  <c:v>14.7</c:v>
                </c:pt>
                <c:pt idx="123">
                  <c:v>19.3</c:v>
                </c:pt>
                <c:pt idx="124">
                  <c:v>6.1</c:v>
                </c:pt>
                <c:pt idx="125">
                  <c:v>14.6</c:v>
                </c:pt>
                <c:pt idx="126">
                  <c:v>6.1</c:v>
                </c:pt>
                <c:pt idx="127">
                  <c:v>7.7</c:v>
                </c:pt>
                <c:pt idx="128">
                  <c:v>12.8</c:v>
                </c:pt>
                <c:pt idx="129">
                  <c:v>6.1</c:v>
                </c:pt>
                <c:pt idx="130">
                  <c:v>14.6</c:v>
                </c:pt>
                <c:pt idx="131">
                  <c:v>7.6</c:v>
                </c:pt>
                <c:pt idx="132">
                  <c:v>6</c:v>
                </c:pt>
                <c:pt idx="133">
                  <c:v>10.6</c:v>
                </c:pt>
                <c:pt idx="134">
                  <c:v>19.2</c:v>
                </c:pt>
                <c:pt idx="135">
                  <c:v>12.8</c:v>
                </c:pt>
                <c:pt idx="136">
                  <c:v>5.9</c:v>
                </c:pt>
                <c:pt idx="137">
                  <c:v>7.6</c:v>
                </c:pt>
                <c:pt idx="138">
                  <c:v>10.6</c:v>
                </c:pt>
                <c:pt idx="139">
                  <c:v>16.899999999999999</c:v>
                </c:pt>
                <c:pt idx="140">
                  <c:v>7.5</c:v>
                </c:pt>
                <c:pt idx="141">
                  <c:v>19.2</c:v>
                </c:pt>
                <c:pt idx="142">
                  <c:v>7.4</c:v>
                </c:pt>
                <c:pt idx="143">
                  <c:v>10.6</c:v>
                </c:pt>
                <c:pt idx="144">
                  <c:v>7.4</c:v>
                </c:pt>
                <c:pt idx="145">
                  <c:v>10.6</c:v>
                </c:pt>
                <c:pt idx="146">
                  <c:v>5.8</c:v>
                </c:pt>
                <c:pt idx="147">
                  <c:v>10.6</c:v>
                </c:pt>
                <c:pt idx="148">
                  <c:v>10.6</c:v>
                </c:pt>
                <c:pt idx="149">
                  <c:v>12.7</c:v>
                </c:pt>
                <c:pt idx="150">
                  <c:v>10.6</c:v>
                </c:pt>
                <c:pt idx="151">
                  <c:v>10.4</c:v>
                </c:pt>
                <c:pt idx="152">
                  <c:v>16.899999999999999</c:v>
                </c:pt>
                <c:pt idx="153">
                  <c:v>5.8</c:v>
                </c:pt>
                <c:pt idx="154">
                  <c:v>19.100000000000001</c:v>
                </c:pt>
                <c:pt idx="155">
                  <c:v>12.7</c:v>
                </c:pt>
                <c:pt idx="156">
                  <c:v>16.899999999999999</c:v>
                </c:pt>
                <c:pt idx="157">
                  <c:v>14.6</c:v>
                </c:pt>
                <c:pt idx="158">
                  <c:v>5.7</c:v>
                </c:pt>
                <c:pt idx="159">
                  <c:v>5.7</c:v>
                </c:pt>
                <c:pt idx="160">
                  <c:v>14.5</c:v>
                </c:pt>
                <c:pt idx="161">
                  <c:v>19.100000000000001</c:v>
                </c:pt>
                <c:pt idx="162">
                  <c:v>10.4</c:v>
                </c:pt>
                <c:pt idx="163">
                  <c:v>16.8</c:v>
                </c:pt>
                <c:pt idx="164">
                  <c:v>7.3</c:v>
                </c:pt>
                <c:pt idx="165">
                  <c:v>12.6</c:v>
                </c:pt>
                <c:pt idx="166">
                  <c:v>7.3</c:v>
                </c:pt>
                <c:pt idx="167">
                  <c:v>14.5</c:v>
                </c:pt>
                <c:pt idx="168">
                  <c:v>5.7</c:v>
                </c:pt>
                <c:pt idx="169">
                  <c:v>19</c:v>
                </c:pt>
                <c:pt idx="170">
                  <c:v>5.7</c:v>
                </c:pt>
                <c:pt idx="171">
                  <c:v>12.5</c:v>
                </c:pt>
                <c:pt idx="172">
                  <c:v>5.6</c:v>
                </c:pt>
                <c:pt idx="173">
                  <c:v>5.6</c:v>
                </c:pt>
                <c:pt idx="174">
                  <c:v>12.5</c:v>
                </c:pt>
                <c:pt idx="175">
                  <c:v>16.7</c:v>
                </c:pt>
                <c:pt idx="176">
                  <c:v>16.600000000000001</c:v>
                </c:pt>
                <c:pt idx="177">
                  <c:v>12.4</c:v>
                </c:pt>
                <c:pt idx="178">
                  <c:v>19</c:v>
                </c:pt>
                <c:pt idx="179">
                  <c:v>14.4</c:v>
                </c:pt>
                <c:pt idx="180">
                  <c:v>5.6</c:v>
                </c:pt>
                <c:pt idx="181">
                  <c:v>19</c:v>
                </c:pt>
                <c:pt idx="182">
                  <c:v>5.5</c:v>
                </c:pt>
                <c:pt idx="183">
                  <c:v>14.4</c:v>
                </c:pt>
                <c:pt idx="184">
                  <c:v>16.5</c:v>
                </c:pt>
                <c:pt idx="185">
                  <c:v>18.899999999999999</c:v>
                </c:pt>
                <c:pt idx="186">
                  <c:v>10.3</c:v>
                </c:pt>
                <c:pt idx="187">
                  <c:v>10.3</c:v>
                </c:pt>
                <c:pt idx="188">
                  <c:v>10.3</c:v>
                </c:pt>
                <c:pt idx="189">
                  <c:v>16.399999999999999</c:v>
                </c:pt>
                <c:pt idx="190">
                  <c:v>16.399999999999999</c:v>
                </c:pt>
                <c:pt idx="191">
                  <c:v>14.4</c:v>
                </c:pt>
                <c:pt idx="192">
                  <c:v>5.5</c:v>
                </c:pt>
                <c:pt idx="193">
                  <c:v>14.4</c:v>
                </c:pt>
                <c:pt idx="194">
                  <c:v>14.3</c:v>
                </c:pt>
                <c:pt idx="195">
                  <c:v>16.3</c:v>
                </c:pt>
                <c:pt idx="196">
                  <c:v>10.1</c:v>
                </c:pt>
                <c:pt idx="197">
                  <c:v>7.1</c:v>
                </c:pt>
                <c:pt idx="198">
                  <c:v>5.4</c:v>
                </c:pt>
                <c:pt idx="199">
                  <c:v>16.3</c:v>
                </c:pt>
                <c:pt idx="200">
                  <c:v>10.1</c:v>
                </c:pt>
                <c:pt idx="201">
                  <c:v>18.7</c:v>
                </c:pt>
                <c:pt idx="202">
                  <c:v>7.1</c:v>
                </c:pt>
                <c:pt idx="203">
                  <c:v>6.9</c:v>
                </c:pt>
                <c:pt idx="204">
                  <c:v>16.3</c:v>
                </c:pt>
                <c:pt idx="205">
                  <c:v>12.4</c:v>
                </c:pt>
                <c:pt idx="206">
                  <c:v>5.4</c:v>
                </c:pt>
                <c:pt idx="207">
                  <c:v>6.8</c:v>
                </c:pt>
                <c:pt idx="208">
                  <c:v>16.3</c:v>
                </c:pt>
                <c:pt idx="209">
                  <c:v>16.3</c:v>
                </c:pt>
                <c:pt idx="210">
                  <c:v>9.9</c:v>
                </c:pt>
                <c:pt idx="211">
                  <c:v>18.7</c:v>
                </c:pt>
                <c:pt idx="212">
                  <c:v>12.4</c:v>
                </c:pt>
                <c:pt idx="213">
                  <c:v>5.4</c:v>
                </c:pt>
                <c:pt idx="214">
                  <c:v>14.3</c:v>
                </c:pt>
                <c:pt idx="215">
                  <c:v>18.7</c:v>
                </c:pt>
                <c:pt idx="216">
                  <c:v>18.600000000000001</c:v>
                </c:pt>
                <c:pt idx="217">
                  <c:v>9.8000000000000007</c:v>
                </c:pt>
                <c:pt idx="218">
                  <c:v>6.8</c:v>
                </c:pt>
                <c:pt idx="219">
                  <c:v>6.8</c:v>
                </c:pt>
                <c:pt idx="220">
                  <c:v>9.8000000000000007</c:v>
                </c:pt>
                <c:pt idx="221">
                  <c:v>16.2</c:v>
                </c:pt>
                <c:pt idx="222">
                  <c:v>6.8</c:v>
                </c:pt>
                <c:pt idx="223">
                  <c:v>12.1</c:v>
                </c:pt>
                <c:pt idx="224">
                  <c:v>5.3</c:v>
                </c:pt>
                <c:pt idx="225">
                  <c:v>18.600000000000001</c:v>
                </c:pt>
                <c:pt idx="226">
                  <c:v>18.600000000000001</c:v>
                </c:pt>
                <c:pt idx="227">
                  <c:v>12.1</c:v>
                </c:pt>
                <c:pt idx="228">
                  <c:v>6.7</c:v>
                </c:pt>
                <c:pt idx="229">
                  <c:v>18.5</c:v>
                </c:pt>
                <c:pt idx="230">
                  <c:v>14.3</c:v>
                </c:pt>
                <c:pt idx="231">
                  <c:v>5.3</c:v>
                </c:pt>
                <c:pt idx="232">
                  <c:v>5.2</c:v>
                </c:pt>
                <c:pt idx="233">
                  <c:v>18.5</c:v>
                </c:pt>
                <c:pt idx="234">
                  <c:v>9.8000000000000007</c:v>
                </c:pt>
                <c:pt idx="235">
                  <c:v>18.399999999999999</c:v>
                </c:pt>
                <c:pt idx="236">
                  <c:v>9.8000000000000007</c:v>
                </c:pt>
                <c:pt idx="237">
                  <c:v>18.399999999999999</c:v>
                </c:pt>
                <c:pt idx="238">
                  <c:v>14.2</c:v>
                </c:pt>
                <c:pt idx="239">
                  <c:v>16.100000000000001</c:v>
                </c:pt>
                <c:pt idx="240">
                  <c:v>5.2</c:v>
                </c:pt>
                <c:pt idx="241">
                  <c:v>18.399999999999999</c:v>
                </c:pt>
                <c:pt idx="242">
                  <c:v>14.2</c:v>
                </c:pt>
                <c:pt idx="243">
                  <c:v>9.8000000000000007</c:v>
                </c:pt>
                <c:pt idx="244">
                  <c:v>9.6</c:v>
                </c:pt>
                <c:pt idx="245">
                  <c:v>5.2</c:v>
                </c:pt>
                <c:pt idx="246">
                  <c:v>12</c:v>
                </c:pt>
                <c:pt idx="247">
                  <c:v>18.399999999999999</c:v>
                </c:pt>
                <c:pt idx="248">
                  <c:v>6.7</c:v>
                </c:pt>
                <c:pt idx="249">
                  <c:v>9.4</c:v>
                </c:pt>
                <c:pt idx="250">
                  <c:v>16.100000000000001</c:v>
                </c:pt>
                <c:pt idx="251">
                  <c:v>16</c:v>
                </c:pt>
                <c:pt idx="252">
                  <c:v>9.4</c:v>
                </c:pt>
                <c:pt idx="253">
                  <c:v>12</c:v>
                </c:pt>
                <c:pt idx="254">
                  <c:v>12</c:v>
                </c:pt>
                <c:pt idx="255">
                  <c:v>14.2</c:v>
                </c:pt>
                <c:pt idx="256">
                  <c:v>15.9</c:v>
                </c:pt>
                <c:pt idx="257">
                  <c:v>14.2</c:v>
                </c:pt>
                <c:pt idx="258">
                  <c:v>15.9</c:v>
                </c:pt>
                <c:pt idx="259">
                  <c:v>18.3</c:v>
                </c:pt>
                <c:pt idx="260">
                  <c:v>18.2</c:v>
                </c:pt>
                <c:pt idx="261">
                  <c:v>6.5</c:v>
                </c:pt>
                <c:pt idx="262">
                  <c:v>18.2</c:v>
                </c:pt>
                <c:pt idx="263">
                  <c:v>6.5</c:v>
                </c:pt>
                <c:pt idx="264">
                  <c:v>18</c:v>
                </c:pt>
                <c:pt idx="265">
                  <c:v>5.2</c:v>
                </c:pt>
                <c:pt idx="266">
                  <c:v>18</c:v>
                </c:pt>
                <c:pt idx="267">
                  <c:v>13.9</c:v>
                </c:pt>
                <c:pt idx="268">
                  <c:v>9.4</c:v>
                </c:pt>
                <c:pt idx="269">
                  <c:v>13.9</c:v>
                </c:pt>
                <c:pt idx="270">
                  <c:v>9.3000000000000007</c:v>
                </c:pt>
                <c:pt idx="271">
                  <c:v>11.9</c:v>
                </c:pt>
                <c:pt idx="272">
                  <c:v>13.8</c:v>
                </c:pt>
                <c:pt idx="273">
                  <c:v>11.8</c:v>
                </c:pt>
                <c:pt idx="274">
                  <c:v>6.5</c:v>
                </c:pt>
                <c:pt idx="275">
                  <c:v>6.5</c:v>
                </c:pt>
                <c:pt idx="276">
                  <c:v>5.2</c:v>
                </c:pt>
                <c:pt idx="277">
                  <c:v>18</c:v>
                </c:pt>
                <c:pt idx="278">
                  <c:v>13.8</c:v>
                </c:pt>
                <c:pt idx="279">
                  <c:v>11.8</c:v>
                </c:pt>
              </c:numCache>
            </c:numRef>
          </c:xVal>
          <c:yVal>
            <c:numRef>
              <c:f>'4b_Workload Analysis'!$B$3:$B$282</c:f>
              <c:numCache>
                <c:formatCode>General</c:formatCode>
                <c:ptCount val="280"/>
                <c:pt idx="0">
                  <c:v>14.47</c:v>
                </c:pt>
                <c:pt idx="1">
                  <c:v>6.66</c:v>
                </c:pt>
                <c:pt idx="2">
                  <c:v>12.71</c:v>
                </c:pt>
                <c:pt idx="3">
                  <c:v>12.09</c:v>
                </c:pt>
                <c:pt idx="4">
                  <c:v>9.74</c:v>
                </c:pt>
                <c:pt idx="5">
                  <c:v>5.58</c:v>
                </c:pt>
                <c:pt idx="6">
                  <c:v>5.75</c:v>
                </c:pt>
                <c:pt idx="7">
                  <c:v>13.52</c:v>
                </c:pt>
                <c:pt idx="8">
                  <c:v>14.9</c:v>
                </c:pt>
                <c:pt idx="9">
                  <c:v>11.76</c:v>
                </c:pt>
                <c:pt idx="10">
                  <c:v>9.4600000000000009</c:v>
                </c:pt>
                <c:pt idx="11">
                  <c:v>11.48</c:v>
                </c:pt>
                <c:pt idx="12">
                  <c:v>10.94</c:v>
                </c:pt>
                <c:pt idx="13">
                  <c:v>8.84</c:v>
                </c:pt>
                <c:pt idx="14">
                  <c:v>5.66</c:v>
                </c:pt>
                <c:pt idx="15">
                  <c:v>13.22</c:v>
                </c:pt>
                <c:pt idx="16">
                  <c:v>8.7200000000000006</c:v>
                </c:pt>
                <c:pt idx="17">
                  <c:v>13.19</c:v>
                </c:pt>
                <c:pt idx="18">
                  <c:v>7.53</c:v>
                </c:pt>
                <c:pt idx="19">
                  <c:v>5.01</c:v>
                </c:pt>
                <c:pt idx="20">
                  <c:v>6.59</c:v>
                </c:pt>
                <c:pt idx="21">
                  <c:v>9.69</c:v>
                </c:pt>
                <c:pt idx="22">
                  <c:v>14.44</c:v>
                </c:pt>
                <c:pt idx="23">
                  <c:v>6.02</c:v>
                </c:pt>
                <c:pt idx="24">
                  <c:v>13.54</c:v>
                </c:pt>
                <c:pt idx="25">
                  <c:v>10.27</c:v>
                </c:pt>
                <c:pt idx="26">
                  <c:v>13.26</c:v>
                </c:pt>
                <c:pt idx="27">
                  <c:v>7.98</c:v>
                </c:pt>
                <c:pt idx="28">
                  <c:v>13.4</c:v>
                </c:pt>
                <c:pt idx="29">
                  <c:v>12.73</c:v>
                </c:pt>
                <c:pt idx="30">
                  <c:v>7.3</c:v>
                </c:pt>
                <c:pt idx="31">
                  <c:v>6.31</c:v>
                </c:pt>
                <c:pt idx="32">
                  <c:v>13.68</c:v>
                </c:pt>
                <c:pt idx="33">
                  <c:v>14.63</c:v>
                </c:pt>
                <c:pt idx="34">
                  <c:v>5.31</c:v>
                </c:pt>
                <c:pt idx="35">
                  <c:v>12.31</c:v>
                </c:pt>
                <c:pt idx="36">
                  <c:v>14.1</c:v>
                </c:pt>
                <c:pt idx="37">
                  <c:v>13.57</c:v>
                </c:pt>
                <c:pt idx="38">
                  <c:v>14.65</c:v>
                </c:pt>
                <c:pt idx="39">
                  <c:v>12.6</c:v>
                </c:pt>
                <c:pt idx="40">
                  <c:v>9.42</c:v>
                </c:pt>
                <c:pt idx="41">
                  <c:v>8.1199999999999992</c:v>
                </c:pt>
                <c:pt idx="42">
                  <c:v>8.2100000000000009</c:v>
                </c:pt>
                <c:pt idx="43">
                  <c:v>12.24</c:v>
                </c:pt>
                <c:pt idx="44">
                  <c:v>12.46</c:v>
                </c:pt>
                <c:pt idx="45">
                  <c:v>7</c:v>
                </c:pt>
                <c:pt idx="46">
                  <c:v>13.68</c:v>
                </c:pt>
                <c:pt idx="47">
                  <c:v>12.15</c:v>
                </c:pt>
                <c:pt idx="48">
                  <c:v>10.63</c:v>
                </c:pt>
                <c:pt idx="49">
                  <c:v>9.7200000000000006</c:v>
                </c:pt>
                <c:pt idx="50">
                  <c:v>10.43</c:v>
                </c:pt>
                <c:pt idx="51">
                  <c:v>6.59</c:v>
                </c:pt>
                <c:pt idx="52">
                  <c:v>7.04</c:v>
                </c:pt>
                <c:pt idx="53">
                  <c:v>5.91</c:v>
                </c:pt>
                <c:pt idx="54">
                  <c:v>6.54</c:v>
                </c:pt>
                <c:pt idx="55">
                  <c:v>9.5399999999999991</c:v>
                </c:pt>
                <c:pt idx="56">
                  <c:v>10.3</c:v>
                </c:pt>
                <c:pt idx="57">
                  <c:v>5.18</c:v>
                </c:pt>
                <c:pt idx="58">
                  <c:v>12.97</c:v>
                </c:pt>
                <c:pt idx="59">
                  <c:v>7.94</c:v>
                </c:pt>
                <c:pt idx="60">
                  <c:v>14.12</c:v>
                </c:pt>
                <c:pt idx="61">
                  <c:v>14.68</c:v>
                </c:pt>
                <c:pt idx="62">
                  <c:v>6.85</c:v>
                </c:pt>
                <c:pt idx="63">
                  <c:v>9.6199999999999992</c:v>
                </c:pt>
                <c:pt idx="64">
                  <c:v>5.01</c:v>
                </c:pt>
                <c:pt idx="65">
                  <c:v>10.98</c:v>
                </c:pt>
                <c:pt idx="66">
                  <c:v>11.07</c:v>
                </c:pt>
                <c:pt idx="67">
                  <c:v>7.48</c:v>
                </c:pt>
                <c:pt idx="68">
                  <c:v>10.58</c:v>
                </c:pt>
                <c:pt idx="69">
                  <c:v>7.26</c:v>
                </c:pt>
                <c:pt idx="70">
                  <c:v>6.61</c:v>
                </c:pt>
                <c:pt idx="71">
                  <c:v>11.52</c:v>
                </c:pt>
                <c:pt idx="72">
                  <c:v>8.26</c:v>
                </c:pt>
                <c:pt idx="73">
                  <c:v>10.9</c:v>
                </c:pt>
                <c:pt idx="74">
                  <c:v>9.33</c:v>
                </c:pt>
                <c:pt idx="75">
                  <c:v>14.84</c:v>
                </c:pt>
                <c:pt idx="76">
                  <c:v>6.5</c:v>
                </c:pt>
                <c:pt idx="77">
                  <c:v>9.65</c:v>
                </c:pt>
                <c:pt idx="78">
                  <c:v>11.8</c:v>
                </c:pt>
                <c:pt idx="79">
                  <c:v>8.9600000000000009</c:v>
                </c:pt>
                <c:pt idx="80">
                  <c:v>14.75</c:v>
                </c:pt>
                <c:pt idx="81">
                  <c:v>12.22</c:v>
                </c:pt>
                <c:pt idx="82">
                  <c:v>11.57</c:v>
                </c:pt>
                <c:pt idx="83">
                  <c:v>12.57</c:v>
                </c:pt>
                <c:pt idx="84">
                  <c:v>14.53</c:v>
                </c:pt>
                <c:pt idx="85">
                  <c:v>14.08</c:v>
                </c:pt>
                <c:pt idx="86">
                  <c:v>12.24</c:v>
                </c:pt>
                <c:pt idx="87">
                  <c:v>12.49</c:v>
                </c:pt>
                <c:pt idx="88">
                  <c:v>6.46</c:v>
                </c:pt>
                <c:pt idx="89">
                  <c:v>6.03</c:v>
                </c:pt>
                <c:pt idx="90">
                  <c:v>10.71</c:v>
                </c:pt>
                <c:pt idx="91">
                  <c:v>5.18</c:v>
                </c:pt>
                <c:pt idx="92">
                  <c:v>9.82</c:v>
                </c:pt>
                <c:pt idx="93">
                  <c:v>7.1</c:v>
                </c:pt>
                <c:pt idx="94">
                  <c:v>8.4600000000000009</c:v>
                </c:pt>
                <c:pt idx="95">
                  <c:v>12.76</c:v>
                </c:pt>
                <c:pt idx="96">
                  <c:v>14.41</c:v>
                </c:pt>
                <c:pt idx="97">
                  <c:v>5.72</c:v>
                </c:pt>
                <c:pt idx="98">
                  <c:v>10.34</c:v>
                </c:pt>
                <c:pt idx="99">
                  <c:v>13.83</c:v>
                </c:pt>
                <c:pt idx="100">
                  <c:v>5.83</c:v>
                </c:pt>
                <c:pt idx="101">
                  <c:v>13.25</c:v>
                </c:pt>
                <c:pt idx="102">
                  <c:v>8.58</c:v>
                </c:pt>
                <c:pt idx="103">
                  <c:v>8.2200000000000006</c:v>
                </c:pt>
                <c:pt idx="104">
                  <c:v>14.77</c:v>
                </c:pt>
                <c:pt idx="105">
                  <c:v>7.01</c:v>
                </c:pt>
                <c:pt idx="106">
                  <c:v>11.93</c:v>
                </c:pt>
                <c:pt idx="107">
                  <c:v>13.21</c:v>
                </c:pt>
                <c:pt idx="108">
                  <c:v>5.41</c:v>
                </c:pt>
                <c:pt idx="109">
                  <c:v>11.7</c:v>
                </c:pt>
                <c:pt idx="110">
                  <c:v>14.52</c:v>
                </c:pt>
                <c:pt idx="111">
                  <c:v>6.24</c:v>
                </c:pt>
                <c:pt idx="112">
                  <c:v>13.96</c:v>
                </c:pt>
                <c:pt idx="113">
                  <c:v>10.95</c:v>
                </c:pt>
                <c:pt idx="114">
                  <c:v>11.17</c:v>
                </c:pt>
                <c:pt idx="115">
                  <c:v>11.13</c:v>
                </c:pt>
                <c:pt idx="116">
                  <c:v>7.99</c:v>
                </c:pt>
                <c:pt idx="117">
                  <c:v>14.35</c:v>
                </c:pt>
                <c:pt idx="118">
                  <c:v>14.47</c:v>
                </c:pt>
                <c:pt idx="119">
                  <c:v>11.25</c:v>
                </c:pt>
                <c:pt idx="120">
                  <c:v>12.83</c:v>
                </c:pt>
                <c:pt idx="121">
                  <c:v>11.12</c:v>
                </c:pt>
                <c:pt idx="122">
                  <c:v>9.84</c:v>
                </c:pt>
                <c:pt idx="123">
                  <c:v>11.61</c:v>
                </c:pt>
                <c:pt idx="124">
                  <c:v>10.53</c:v>
                </c:pt>
                <c:pt idx="125">
                  <c:v>10.97</c:v>
                </c:pt>
                <c:pt idx="126">
                  <c:v>12.84</c:v>
                </c:pt>
                <c:pt idx="127">
                  <c:v>9.81</c:v>
                </c:pt>
                <c:pt idx="128">
                  <c:v>5.41</c:v>
                </c:pt>
                <c:pt idx="129">
                  <c:v>6.64</c:v>
                </c:pt>
                <c:pt idx="130">
                  <c:v>9.39</c:v>
                </c:pt>
                <c:pt idx="131">
                  <c:v>12.25</c:v>
                </c:pt>
                <c:pt idx="132">
                  <c:v>10.93</c:v>
                </c:pt>
                <c:pt idx="133">
                  <c:v>11.5</c:v>
                </c:pt>
                <c:pt idx="134">
                  <c:v>9.7899999999999991</c:v>
                </c:pt>
                <c:pt idx="135">
                  <c:v>11.16</c:v>
                </c:pt>
                <c:pt idx="136">
                  <c:v>8.2899999999999991</c:v>
                </c:pt>
                <c:pt idx="137">
                  <c:v>9.6999999999999993</c:v>
                </c:pt>
                <c:pt idx="138">
                  <c:v>12.44</c:v>
                </c:pt>
                <c:pt idx="139">
                  <c:v>13.72</c:v>
                </c:pt>
                <c:pt idx="140">
                  <c:v>9.34</c:v>
                </c:pt>
                <c:pt idx="141">
                  <c:v>5.44</c:v>
                </c:pt>
                <c:pt idx="142">
                  <c:v>6.62</c:v>
                </c:pt>
                <c:pt idx="143">
                  <c:v>5.21</c:v>
                </c:pt>
                <c:pt idx="144">
                  <c:v>11.53</c:v>
                </c:pt>
                <c:pt idx="145">
                  <c:v>8.32</c:v>
                </c:pt>
                <c:pt idx="146">
                  <c:v>10.42</c:v>
                </c:pt>
                <c:pt idx="147">
                  <c:v>9.93</c:v>
                </c:pt>
                <c:pt idx="148">
                  <c:v>5.82</c:v>
                </c:pt>
                <c:pt idx="149">
                  <c:v>9.0299999999999994</c:v>
                </c:pt>
                <c:pt idx="150">
                  <c:v>7.21</c:v>
                </c:pt>
                <c:pt idx="151">
                  <c:v>9.18</c:v>
                </c:pt>
                <c:pt idx="152">
                  <c:v>7.04</c:v>
                </c:pt>
                <c:pt idx="153">
                  <c:v>13.4</c:v>
                </c:pt>
                <c:pt idx="154">
                  <c:v>6.74</c:v>
                </c:pt>
                <c:pt idx="155">
                  <c:v>14.61</c:v>
                </c:pt>
                <c:pt idx="156">
                  <c:v>9.16</c:v>
                </c:pt>
                <c:pt idx="157">
                  <c:v>13.46</c:v>
                </c:pt>
                <c:pt idx="158">
                  <c:v>11.29</c:v>
                </c:pt>
                <c:pt idx="159">
                  <c:v>12.35</c:v>
                </c:pt>
                <c:pt idx="160">
                  <c:v>12.68</c:v>
                </c:pt>
                <c:pt idx="161">
                  <c:v>10.050000000000001</c:v>
                </c:pt>
                <c:pt idx="162">
                  <c:v>10.43</c:v>
                </c:pt>
                <c:pt idx="163">
                  <c:v>10.14</c:v>
                </c:pt>
                <c:pt idx="164">
                  <c:v>10.88</c:v>
                </c:pt>
                <c:pt idx="165">
                  <c:v>5.29</c:v>
                </c:pt>
                <c:pt idx="166">
                  <c:v>8.9600000000000009</c:v>
                </c:pt>
                <c:pt idx="167">
                  <c:v>11.06</c:v>
                </c:pt>
                <c:pt idx="168">
                  <c:v>10.98</c:v>
                </c:pt>
                <c:pt idx="169">
                  <c:v>12.93</c:v>
                </c:pt>
                <c:pt idx="170">
                  <c:v>11.55</c:v>
                </c:pt>
                <c:pt idx="171">
                  <c:v>14.92</c:v>
                </c:pt>
                <c:pt idx="172">
                  <c:v>7.84</c:v>
                </c:pt>
                <c:pt idx="173">
                  <c:v>8.59</c:v>
                </c:pt>
                <c:pt idx="174">
                  <c:v>8.84</c:v>
                </c:pt>
                <c:pt idx="175">
                  <c:v>9.66</c:v>
                </c:pt>
                <c:pt idx="176">
                  <c:v>13.36</c:v>
                </c:pt>
                <c:pt idx="177">
                  <c:v>7.36</c:v>
                </c:pt>
                <c:pt idx="178">
                  <c:v>12.76</c:v>
                </c:pt>
                <c:pt idx="179">
                  <c:v>9.0500000000000007</c:v>
                </c:pt>
                <c:pt idx="180">
                  <c:v>11.02</c:v>
                </c:pt>
                <c:pt idx="181">
                  <c:v>11.33</c:v>
                </c:pt>
                <c:pt idx="182">
                  <c:v>8.73</c:v>
                </c:pt>
                <c:pt idx="183">
                  <c:v>10.130000000000001</c:v>
                </c:pt>
                <c:pt idx="184">
                  <c:v>9.1300000000000008</c:v>
                </c:pt>
                <c:pt idx="185">
                  <c:v>5.69</c:v>
                </c:pt>
                <c:pt idx="186">
                  <c:v>9.3699999999999992</c:v>
                </c:pt>
                <c:pt idx="187">
                  <c:v>5.97</c:v>
                </c:pt>
                <c:pt idx="188">
                  <c:v>9.0500000000000007</c:v>
                </c:pt>
                <c:pt idx="189">
                  <c:v>10.93</c:v>
                </c:pt>
                <c:pt idx="190">
                  <c:v>10.79</c:v>
                </c:pt>
                <c:pt idx="191">
                  <c:v>11.63</c:v>
                </c:pt>
                <c:pt idx="192">
                  <c:v>5.95</c:v>
                </c:pt>
                <c:pt idx="193">
                  <c:v>11.52</c:v>
                </c:pt>
                <c:pt idx="194">
                  <c:v>8.1199999999999992</c:v>
                </c:pt>
                <c:pt idx="195">
                  <c:v>8.99</c:v>
                </c:pt>
                <c:pt idx="196">
                  <c:v>13.58</c:v>
                </c:pt>
                <c:pt idx="197">
                  <c:v>5.09</c:v>
                </c:pt>
                <c:pt idx="198">
                  <c:v>10.88</c:v>
                </c:pt>
                <c:pt idx="199">
                  <c:v>10.99</c:v>
                </c:pt>
                <c:pt idx="200">
                  <c:v>8.9700000000000006</c:v>
                </c:pt>
                <c:pt idx="201">
                  <c:v>7.37</c:v>
                </c:pt>
                <c:pt idx="202">
                  <c:v>7.35</c:v>
                </c:pt>
                <c:pt idx="203">
                  <c:v>13.84</c:v>
                </c:pt>
                <c:pt idx="204">
                  <c:v>9.42</c:v>
                </c:pt>
                <c:pt idx="205">
                  <c:v>8.31</c:v>
                </c:pt>
                <c:pt idx="206">
                  <c:v>9.49</c:v>
                </c:pt>
                <c:pt idx="207">
                  <c:v>11.69</c:v>
                </c:pt>
                <c:pt idx="208">
                  <c:v>6.46</c:v>
                </c:pt>
                <c:pt idx="209">
                  <c:v>9.49</c:v>
                </c:pt>
                <c:pt idx="210">
                  <c:v>10.88</c:v>
                </c:pt>
                <c:pt idx="211">
                  <c:v>14.49</c:v>
                </c:pt>
                <c:pt idx="212">
                  <c:v>7.53</c:v>
                </c:pt>
                <c:pt idx="213">
                  <c:v>8.59</c:v>
                </c:pt>
                <c:pt idx="214">
                  <c:v>8.7899999999999991</c:v>
                </c:pt>
                <c:pt idx="215">
                  <c:v>11.06</c:v>
                </c:pt>
                <c:pt idx="216">
                  <c:v>8.57</c:v>
                </c:pt>
                <c:pt idx="217">
                  <c:v>10.34</c:v>
                </c:pt>
                <c:pt idx="218">
                  <c:v>12.82</c:v>
                </c:pt>
                <c:pt idx="219">
                  <c:v>12.05</c:v>
                </c:pt>
                <c:pt idx="220">
                  <c:v>9.4600000000000009</c:v>
                </c:pt>
                <c:pt idx="221">
                  <c:v>13.64</c:v>
                </c:pt>
                <c:pt idx="222">
                  <c:v>10.58</c:v>
                </c:pt>
                <c:pt idx="223">
                  <c:v>10.4</c:v>
                </c:pt>
                <c:pt idx="224">
                  <c:v>5.34</c:v>
                </c:pt>
                <c:pt idx="225">
                  <c:v>14.87</c:v>
                </c:pt>
                <c:pt idx="226">
                  <c:v>6.23</c:v>
                </c:pt>
                <c:pt idx="227">
                  <c:v>7.31</c:v>
                </c:pt>
                <c:pt idx="228">
                  <c:v>5.52</c:v>
                </c:pt>
                <c:pt idx="229">
                  <c:v>11.4</c:v>
                </c:pt>
                <c:pt idx="230">
                  <c:v>7.25</c:v>
                </c:pt>
                <c:pt idx="231">
                  <c:v>6.8</c:v>
                </c:pt>
                <c:pt idx="232">
                  <c:v>5.89</c:v>
                </c:pt>
                <c:pt idx="233">
                  <c:v>6.03</c:v>
                </c:pt>
                <c:pt idx="234">
                  <c:v>10.85</c:v>
                </c:pt>
                <c:pt idx="235">
                  <c:v>11.88</c:v>
                </c:pt>
                <c:pt idx="236">
                  <c:v>8.9700000000000006</c:v>
                </c:pt>
                <c:pt idx="237">
                  <c:v>9.8000000000000007</c:v>
                </c:pt>
                <c:pt idx="238">
                  <c:v>11.86</c:v>
                </c:pt>
                <c:pt idx="239">
                  <c:v>5.17</c:v>
                </c:pt>
                <c:pt idx="240">
                  <c:v>8.23</c:v>
                </c:pt>
                <c:pt idx="241">
                  <c:v>14.73</c:v>
                </c:pt>
                <c:pt idx="242">
                  <c:v>10.8</c:v>
                </c:pt>
                <c:pt idx="243">
                  <c:v>7.54</c:v>
                </c:pt>
                <c:pt idx="244">
                  <c:v>10.220000000000001</c:v>
                </c:pt>
                <c:pt idx="245">
                  <c:v>8.43</c:v>
                </c:pt>
                <c:pt idx="246">
                  <c:v>10.32</c:v>
                </c:pt>
                <c:pt idx="247">
                  <c:v>6.26</c:v>
                </c:pt>
                <c:pt idx="248">
                  <c:v>6.33</c:v>
                </c:pt>
                <c:pt idx="249">
                  <c:v>6.44</c:v>
                </c:pt>
                <c:pt idx="250">
                  <c:v>14.4</c:v>
                </c:pt>
                <c:pt idx="251">
                  <c:v>12.33</c:v>
                </c:pt>
                <c:pt idx="252">
                  <c:v>6.62</c:v>
                </c:pt>
                <c:pt idx="253">
                  <c:v>6.88</c:v>
                </c:pt>
                <c:pt idx="254">
                  <c:v>12.31</c:v>
                </c:pt>
                <c:pt idx="255">
                  <c:v>6.56</c:v>
                </c:pt>
                <c:pt idx="256">
                  <c:v>7.35</c:v>
                </c:pt>
                <c:pt idx="257">
                  <c:v>14.63</c:v>
                </c:pt>
                <c:pt idx="258">
                  <c:v>7.55</c:v>
                </c:pt>
                <c:pt idx="259">
                  <c:v>11.62</c:v>
                </c:pt>
                <c:pt idx="260">
                  <c:v>14.79</c:v>
                </c:pt>
                <c:pt idx="261">
                  <c:v>8.74</c:v>
                </c:pt>
                <c:pt idx="262">
                  <c:v>5.18</c:v>
                </c:pt>
                <c:pt idx="263">
                  <c:v>7.44</c:v>
                </c:pt>
                <c:pt idx="264">
                  <c:v>13.31</c:v>
                </c:pt>
                <c:pt idx="265">
                  <c:v>13.65</c:v>
                </c:pt>
                <c:pt idx="266">
                  <c:v>12.69</c:v>
                </c:pt>
                <c:pt idx="267">
                  <c:v>6.13</c:v>
                </c:pt>
                <c:pt idx="268">
                  <c:v>12.96</c:v>
                </c:pt>
                <c:pt idx="269">
                  <c:v>14.19</c:v>
                </c:pt>
                <c:pt idx="270">
                  <c:v>11.01</c:v>
                </c:pt>
                <c:pt idx="271">
                  <c:v>14.41</c:v>
                </c:pt>
                <c:pt idx="272">
                  <c:v>13.27</c:v>
                </c:pt>
                <c:pt idx="273">
                  <c:v>11.67</c:v>
                </c:pt>
                <c:pt idx="274">
                  <c:v>10.77</c:v>
                </c:pt>
                <c:pt idx="275">
                  <c:v>8.49</c:v>
                </c:pt>
                <c:pt idx="276">
                  <c:v>6.59</c:v>
                </c:pt>
                <c:pt idx="277">
                  <c:v>11.05</c:v>
                </c:pt>
                <c:pt idx="278">
                  <c:v>8.18</c:v>
                </c:pt>
                <c:pt idx="279">
                  <c:v>13.66</c:v>
                </c:pt>
              </c:numCache>
            </c:numRef>
          </c:yVal>
          <c:smooth val="0"/>
          <c:extLst>
            <c:ext xmlns:c16="http://schemas.microsoft.com/office/drawing/2014/chart" uri="{C3380CC4-5D6E-409C-BE32-E72D297353CC}">
              <c16:uniqueId val="{00000000-DBE0-4E31-A73A-F81E2D16D69D}"/>
            </c:ext>
          </c:extLst>
        </c:ser>
        <c:dLbls>
          <c:showLegendKey val="0"/>
          <c:showVal val="0"/>
          <c:showCatName val="0"/>
          <c:showSerName val="0"/>
          <c:showPercent val="0"/>
          <c:showBubbleSize val="0"/>
        </c:dLbls>
        <c:axId val="1549115056"/>
        <c:axId val="1549117456"/>
      </c:scatterChart>
      <c:valAx>
        <c:axId val="1549115056"/>
        <c:scaling>
          <c:orientation val="minMax"/>
          <c:max val="21"/>
          <c:min val="4"/>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Training Hours Per Week</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9117456"/>
        <c:crosses val="autoZero"/>
        <c:crossBetween val="midCat"/>
      </c:valAx>
      <c:valAx>
        <c:axId val="154911745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Distance Covered (km)</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491150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Speed vs Age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'5a_Age vs Speed'!$C$1</c:f>
              <c:strCache>
                <c:ptCount val="1"/>
                <c:pt idx="0">
                  <c:v>Sprint Speed (m/s)</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trendline>
            <c:spPr>
              <a:ln w="19050" cap="rnd">
                <a:solidFill>
                  <a:schemeClr val="accent2"/>
                </a:solidFill>
                <a:prstDash val="sysDash"/>
              </a:ln>
              <a:effectLst/>
            </c:spPr>
            <c:trendlineType val="linear"/>
            <c:dispRSqr val="0"/>
            <c:dispEq val="0"/>
          </c:trendline>
          <c:trendline>
            <c:spPr>
              <a:ln w="19050" cap="rnd">
                <a:solidFill>
                  <a:schemeClr val="accent2"/>
                </a:solidFill>
                <a:prstDash val="sysDash"/>
              </a:ln>
              <a:effectLst/>
            </c:spPr>
            <c:trendlineType val="linear"/>
            <c:dispRSqr val="1"/>
            <c:dispEq val="1"/>
            <c:trendlineLbl>
              <c:layout>
                <c:manualLayout>
                  <c:x val="1.1626640419947506E-2"/>
                  <c:y val="-0.2854417944866718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'5a_Age vs Speed'!$B$2:$B$281</c:f>
              <c:numCache>
                <c:formatCode>General</c:formatCode>
                <c:ptCount val="280"/>
                <c:pt idx="0">
                  <c:v>29</c:v>
                </c:pt>
                <c:pt idx="1">
                  <c:v>27</c:v>
                </c:pt>
                <c:pt idx="2">
                  <c:v>24</c:v>
                </c:pt>
                <c:pt idx="3">
                  <c:v>30</c:v>
                </c:pt>
                <c:pt idx="4">
                  <c:v>24</c:v>
                </c:pt>
                <c:pt idx="5">
                  <c:v>34</c:v>
                </c:pt>
                <c:pt idx="6">
                  <c:v>27</c:v>
                </c:pt>
                <c:pt idx="7">
                  <c:v>27</c:v>
                </c:pt>
                <c:pt idx="8">
                  <c:v>21</c:v>
                </c:pt>
                <c:pt idx="9">
                  <c:v>37</c:v>
                </c:pt>
                <c:pt idx="10">
                  <c:v>21</c:v>
                </c:pt>
                <c:pt idx="11">
                  <c:v>39</c:v>
                </c:pt>
                <c:pt idx="12">
                  <c:v>24</c:v>
                </c:pt>
                <c:pt idx="13">
                  <c:v>39</c:v>
                </c:pt>
                <c:pt idx="14">
                  <c:v>18</c:v>
                </c:pt>
                <c:pt idx="15">
                  <c:v>29</c:v>
                </c:pt>
                <c:pt idx="16">
                  <c:v>30</c:v>
                </c:pt>
                <c:pt idx="17">
                  <c:v>27</c:v>
                </c:pt>
                <c:pt idx="18">
                  <c:v>32</c:v>
                </c:pt>
                <c:pt idx="19">
                  <c:v>30</c:v>
                </c:pt>
                <c:pt idx="20">
                  <c:v>39</c:v>
                </c:pt>
                <c:pt idx="21">
                  <c:v>39</c:v>
                </c:pt>
                <c:pt idx="22">
                  <c:v>38</c:v>
                </c:pt>
                <c:pt idx="23">
                  <c:v>39</c:v>
                </c:pt>
                <c:pt idx="24">
                  <c:v>26</c:v>
                </c:pt>
                <c:pt idx="25">
                  <c:v>26</c:v>
                </c:pt>
                <c:pt idx="26">
                  <c:v>32</c:v>
                </c:pt>
                <c:pt idx="27">
                  <c:v>27</c:v>
                </c:pt>
                <c:pt idx="28">
                  <c:v>27</c:v>
                </c:pt>
                <c:pt idx="29">
                  <c:v>25</c:v>
                </c:pt>
                <c:pt idx="30">
                  <c:v>33</c:v>
                </c:pt>
                <c:pt idx="31">
                  <c:v>34</c:v>
                </c:pt>
                <c:pt idx="32">
                  <c:v>22</c:v>
                </c:pt>
                <c:pt idx="33">
                  <c:v>21</c:v>
                </c:pt>
                <c:pt idx="34">
                  <c:v>35</c:v>
                </c:pt>
                <c:pt idx="35">
                  <c:v>36</c:v>
                </c:pt>
                <c:pt idx="36">
                  <c:v>21</c:v>
                </c:pt>
                <c:pt idx="37">
                  <c:v>24</c:v>
                </c:pt>
                <c:pt idx="38">
                  <c:v>27</c:v>
                </c:pt>
                <c:pt idx="39">
                  <c:v>35</c:v>
                </c:pt>
                <c:pt idx="40">
                  <c:v>36</c:v>
                </c:pt>
                <c:pt idx="41">
                  <c:v>21</c:v>
                </c:pt>
                <c:pt idx="42">
                  <c:v>27</c:v>
                </c:pt>
                <c:pt idx="43">
                  <c:v>18</c:v>
                </c:pt>
                <c:pt idx="44">
                  <c:v>35</c:v>
                </c:pt>
                <c:pt idx="45">
                  <c:v>22</c:v>
                </c:pt>
                <c:pt idx="46">
                  <c:v>32</c:v>
                </c:pt>
                <c:pt idx="47">
                  <c:v>34</c:v>
                </c:pt>
                <c:pt idx="48">
                  <c:v>20</c:v>
                </c:pt>
                <c:pt idx="49">
                  <c:v>29</c:v>
                </c:pt>
                <c:pt idx="50">
                  <c:v>19</c:v>
                </c:pt>
                <c:pt idx="51">
                  <c:v>18</c:v>
                </c:pt>
                <c:pt idx="52">
                  <c:v>38</c:v>
                </c:pt>
                <c:pt idx="53">
                  <c:v>34</c:v>
                </c:pt>
                <c:pt idx="54">
                  <c:v>39</c:v>
                </c:pt>
                <c:pt idx="55">
                  <c:v>33</c:v>
                </c:pt>
                <c:pt idx="56">
                  <c:v>22</c:v>
                </c:pt>
                <c:pt idx="57">
                  <c:v>32</c:v>
                </c:pt>
                <c:pt idx="58">
                  <c:v>20</c:v>
                </c:pt>
                <c:pt idx="59">
                  <c:v>24</c:v>
                </c:pt>
                <c:pt idx="60">
                  <c:v>28</c:v>
                </c:pt>
                <c:pt idx="61">
                  <c:v>27</c:v>
                </c:pt>
                <c:pt idx="62">
                  <c:v>26</c:v>
                </c:pt>
                <c:pt idx="63">
                  <c:v>31</c:v>
                </c:pt>
                <c:pt idx="64">
                  <c:v>30</c:v>
                </c:pt>
                <c:pt idx="65">
                  <c:v>19</c:v>
                </c:pt>
                <c:pt idx="66">
                  <c:v>20</c:v>
                </c:pt>
                <c:pt idx="67">
                  <c:v>24</c:v>
                </c:pt>
                <c:pt idx="68">
                  <c:v>38</c:v>
                </c:pt>
                <c:pt idx="69">
                  <c:v>35</c:v>
                </c:pt>
                <c:pt idx="70">
                  <c:v>20</c:v>
                </c:pt>
                <c:pt idx="71">
                  <c:v>27</c:v>
                </c:pt>
                <c:pt idx="72">
                  <c:v>39</c:v>
                </c:pt>
                <c:pt idx="73">
                  <c:v>24</c:v>
                </c:pt>
                <c:pt idx="74">
                  <c:v>26</c:v>
                </c:pt>
                <c:pt idx="75">
                  <c:v>34</c:v>
                </c:pt>
                <c:pt idx="76">
                  <c:v>28</c:v>
                </c:pt>
                <c:pt idx="77">
                  <c:v>24</c:v>
                </c:pt>
                <c:pt idx="78">
                  <c:v>31</c:v>
                </c:pt>
                <c:pt idx="79">
                  <c:v>36</c:v>
                </c:pt>
                <c:pt idx="80">
                  <c:v>21</c:v>
                </c:pt>
                <c:pt idx="81">
                  <c:v>23</c:v>
                </c:pt>
                <c:pt idx="82">
                  <c:v>27</c:v>
                </c:pt>
                <c:pt idx="83">
                  <c:v>24</c:v>
                </c:pt>
                <c:pt idx="84">
                  <c:v>30</c:v>
                </c:pt>
                <c:pt idx="85">
                  <c:v>31</c:v>
                </c:pt>
                <c:pt idx="86">
                  <c:v>21</c:v>
                </c:pt>
                <c:pt idx="87">
                  <c:v>25</c:v>
                </c:pt>
                <c:pt idx="88">
                  <c:v>22</c:v>
                </c:pt>
                <c:pt idx="89">
                  <c:v>18</c:v>
                </c:pt>
                <c:pt idx="90">
                  <c:v>21</c:v>
                </c:pt>
                <c:pt idx="91">
                  <c:v>20</c:v>
                </c:pt>
                <c:pt idx="92">
                  <c:v>26</c:v>
                </c:pt>
                <c:pt idx="93">
                  <c:v>25</c:v>
                </c:pt>
                <c:pt idx="94">
                  <c:v>18</c:v>
                </c:pt>
                <c:pt idx="95">
                  <c:v>23</c:v>
                </c:pt>
                <c:pt idx="96">
                  <c:v>26</c:v>
                </c:pt>
                <c:pt idx="97">
                  <c:v>24</c:v>
                </c:pt>
                <c:pt idx="98">
                  <c:v>21</c:v>
                </c:pt>
                <c:pt idx="99">
                  <c:v>30</c:v>
                </c:pt>
                <c:pt idx="100">
                  <c:v>34</c:v>
                </c:pt>
                <c:pt idx="101">
                  <c:v>19</c:v>
                </c:pt>
                <c:pt idx="102">
                  <c:v>22</c:v>
                </c:pt>
                <c:pt idx="103">
                  <c:v>29</c:v>
                </c:pt>
                <c:pt idx="104">
                  <c:v>38</c:v>
                </c:pt>
                <c:pt idx="105">
                  <c:v>25</c:v>
                </c:pt>
                <c:pt idx="106">
                  <c:v>23</c:v>
                </c:pt>
                <c:pt idx="107">
                  <c:v>25</c:v>
                </c:pt>
                <c:pt idx="108">
                  <c:v>35</c:v>
                </c:pt>
                <c:pt idx="109">
                  <c:v>20</c:v>
                </c:pt>
                <c:pt idx="110">
                  <c:v>39</c:v>
                </c:pt>
                <c:pt idx="111">
                  <c:v>29</c:v>
                </c:pt>
                <c:pt idx="112">
                  <c:v>20</c:v>
                </c:pt>
                <c:pt idx="113">
                  <c:v>39</c:v>
                </c:pt>
                <c:pt idx="114">
                  <c:v>23</c:v>
                </c:pt>
                <c:pt idx="115">
                  <c:v>19</c:v>
                </c:pt>
                <c:pt idx="116">
                  <c:v>29</c:v>
                </c:pt>
                <c:pt idx="117">
                  <c:v>19</c:v>
                </c:pt>
                <c:pt idx="118">
                  <c:v>23</c:v>
                </c:pt>
                <c:pt idx="119">
                  <c:v>34</c:v>
                </c:pt>
                <c:pt idx="120">
                  <c:v>20</c:v>
                </c:pt>
                <c:pt idx="121">
                  <c:v>19</c:v>
                </c:pt>
                <c:pt idx="122">
                  <c:v>37</c:v>
                </c:pt>
                <c:pt idx="123">
                  <c:v>25</c:v>
                </c:pt>
                <c:pt idx="124">
                  <c:v>39</c:v>
                </c:pt>
                <c:pt idx="125">
                  <c:v>29</c:v>
                </c:pt>
                <c:pt idx="126">
                  <c:v>21</c:v>
                </c:pt>
                <c:pt idx="127">
                  <c:v>22</c:v>
                </c:pt>
                <c:pt idx="128">
                  <c:v>30</c:v>
                </c:pt>
                <c:pt idx="129">
                  <c:v>32</c:v>
                </c:pt>
                <c:pt idx="130">
                  <c:v>33</c:v>
                </c:pt>
                <c:pt idx="131">
                  <c:v>27</c:v>
                </c:pt>
                <c:pt idx="132">
                  <c:v>33</c:v>
                </c:pt>
                <c:pt idx="133">
                  <c:v>29</c:v>
                </c:pt>
                <c:pt idx="134">
                  <c:v>34</c:v>
                </c:pt>
                <c:pt idx="135">
                  <c:v>33</c:v>
                </c:pt>
                <c:pt idx="136">
                  <c:v>29</c:v>
                </c:pt>
                <c:pt idx="137">
                  <c:v>25</c:v>
                </c:pt>
                <c:pt idx="138">
                  <c:v>37</c:v>
                </c:pt>
                <c:pt idx="139">
                  <c:v>20</c:v>
                </c:pt>
                <c:pt idx="140">
                  <c:v>33</c:v>
                </c:pt>
                <c:pt idx="141">
                  <c:v>30</c:v>
                </c:pt>
                <c:pt idx="142">
                  <c:v>36</c:v>
                </c:pt>
                <c:pt idx="143">
                  <c:v>25</c:v>
                </c:pt>
                <c:pt idx="144">
                  <c:v>39</c:v>
                </c:pt>
                <c:pt idx="145">
                  <c:v>22</c:v>
                </c:pt>
                <c:pt idx="146">
                  <c:v>37</c:v>
                </c:pt>
                <c:pt idx="147">
                  <c:v>25</c:v>
                </c:pt>
                <c:pt idx="148">
                  <c:v>29</c:v>
                </c:pt>
                <c:pt idx="149">
                  <c:v>18</c:v>
                </c:pt>
                <c:pt idx="150">
                  <c:v>38</c:v>
                </c:pt>
                <c:pt idx="151">
                  <c:v>37</c:v>
                </c:pt>
                <c:pt idx="152">
                  <c:v>23</c:v>
                </c:pt>
                <c:pt idx="153">
                  <c:v>39</c:v>
                </c:pt>
                <c:pt idx="154">
                  <c:v>35</c:v>
                </c:pt>
                <c:pt idx="155">
                  <c:v>25</c:v>
                </c:pt>
                <c:pt idx="156">
                  <c:v>24</c:v>
                </c:pt>
                <c:pt idx="157">
                  <c:v>18</c:v>
                </c:pt>
                <c:pt idx="158">
                  <c:v>38</c:v>
                </c:pt>
                <c:pt idx="159">
                  <c:v>33</c:v>
                </c:pt>
                <c:pt idx="160">
                  <c:v>29</c:v>
                </c:pt>
                <c:pt idx="161">
                  <c:v>23</c:v>
                </c:pt>
                <c:pt idx="162">
                  <c:v>37</c:v>
                </c:pt>
                <c:pt idx="163">
                  <c:v>19</c:v>
                </c:pt>
                <c:pt idx="164">
                  <c:v>31</c:v>
                </c:pt>
                <c:pt idx="165">
                  <c:v>21</c:v>
                </c:pt>
                <c:pt idx="166">
                  <c:v>18</c:v>
                </c:pt>
                <c:pt idx="167">
                  <c:v>35</c:v>
                </c:pt>
                <c:pt idx="168">
                  <c:v>30</c:v>
                </c:pt>
                <c:pt idx="169">
                  <c:v>19</c:v>
                </c:pt>
                <c:pt idx="170">
                  <c:v>26</c:v>
                </c:pt>
                <c:pt idx="171">
                  <c:v>38</c:v>
                </c:pt>
                <c:pt idx="172">
                  <c:v>19</c:v>
                </c:pt>
                <c:pt idx="173">
                  <c:v>26</c:v>
                </c:pt>
                <c:pt idx="174">
                  <c:v>18</c:v>
                </c:pt>
                <c:pt idx="175">
                  <c:v>28</c:v>
                </c:pt>
                <c:pt idx="176">
                  <c:v>20</c:v>
                </c:pt>
                <c:pt idx="177">
                  <c:v>37</c:v>
                </c:pt>
                <c:pt idx="178">
                  <c:v>21</c:v>
                </c:pt>
                <c:pt idx="179">
                  <c:v>35</c:v>
                </c:pt>
                <c:pt idx="180">
                  <c:v>23</c:v>
                </c:pt>
                <c:pt idx="181">
                  <c:v>20</c:v>
                </c:pt>
                <c:pt idx="182">
                  <c:v>39</c:v>
                </c:pt>
                <c:pt idx="183">
                  <c:v>28</c:v>
                </c:pt>
                <c:pt idx="184">
                  <c:v>32</c:v>
                </c:pt>
                <c:pt idx="185">
                  <c:v>39</c:v>
                </c:pt>
                <c:pt idx="186">
                  <c:v>22</c:v>
                </c:pt>
                <c:pt idx="187">
                  <c:v>37</c:v>
                </c:pt>
                <c:pt idx="188">
                  <c:v>27</c:v>
                </c:pt>
                <c:pt idx="189">
                  <c:v>29</c:v>
                </c:pt>
                <c:pt idx="190">
                  <c:v>32</c:v>
                </c:pt>
                <c:pt idx="191">
                  <c:v>34</c:v>
                </c:pt>
                <c:pt idx="192">
                  <c:v>27</c:v>
                </c:pt>
                <c:pt idx="193">
                  <c:v>23</c:v>
                </c:pt>
                <c:pt idx="194">
                  <c:v>35</c:v>
                </c:pt>
                <c:pt idx="195">
                  <c:v>30</c:v>
                </c:pt>
                <c:pt idx="196">
                  <c:v>20</c:v>
                </c:pt>
                <c:pt idx="197">
                  <c:v>27</c:v>
                </c:pt>
                <c:pt idx="198">
                  <c:v>31</c:v>
                </c:pt>
                <c:pt idx="199">
                  <c:v>23</c:v>
                </c:pt>
                <c:pt idx="200">
                  <c:v>20</c:v>
                </c:pt>
                <c:pt idx="201">
                  <c:v>33</c:v>
                </c:pt>
                <c:pt idx="202">
                  <c:v>24</c:v>
                </c:pt>
                <c:pt idx="203">
                  <c:v>37</c:v>
                </c:pt>
                <c:pt idx="204">
                  <c:v>31</c:v>
                </c:pt>
                <c:pt idx="205">
                  <c:v>26</c:v>
                </c:pt>
                <c:pt idx="206">
                  <c:v>32</c:v>
                </c:pt>
                <c:pt idx="207">
                  <c:v>38</c:v>
                </c:pt>
                <c:pt idx="208">
                  <c:v>20</c:v>
                </c:pt>
                <c:pt idx="209">
                  <c:v>19</c:v>
                </c:pt>
                <c:pt idx="210">
                  <c:v>19</c:v>
                </c:pt>
                <c:pt idx="211">
                  <c:v>20</c:v>
                </c:pt>
                <c:pt idx="212">
                  <c:v>35</c:v>
                </c:pt>
                <c:pt idx="213">
                  <c:v>31</c:v>
                </c:pt>
                <c:pt idx="214">
                  <c:v>37</c:v>
                </c:pt>
                <c:pt idx="215">
                  <c:v>35</c:v>
                </c:pt>
                <c:pt idx="216">
                  <c:v>27</c:v>
                </c:pt>
                <c:pt idx="217">
                  <c:v>19</c:v>
                </c:pt>
                <c:pt idx="218">
                  <c:v>39</c:v>
                </c:pt>
                <c:pt idx="219">
                  <c:v>18</c:v>
                </c:pt>
                <c:pt idx="220">
                  <c:v>21</c:v>
                </c:pt>
                <c:pt idx="221">
                  <c:v>31</c:v>
                </c:pt>
                <c:pt idx="222">
                  <c:v>18</c:v>
                </c:pt>
                <c:pt idx="223">
                  <c:v>31</c:v>
                </c:pt>
                <c:pt idx="224">
                  <c:v>33</c:v>
                </c:pt>
                <c:pt idx="225">
                  <c:v>39</c:v>
                </c:pt>
                <c:pt idx="226">
                  <c:v>31</c:v>
                </c:pt>
                <c:pt idx="227">
                  <c:v>37</c:v>
                </c:pt>
                <c:pt idx="228">
                  <c:v>20</c:v>
                </c:pt>
                <c:pt idx="229">
                  <c:v>20</c:v>
                </c:pt>
                <c:pt idx="230">
                  <c:v>26</c:v>
                </c:pt>
                <c:pt idx="231">
                  <c:v>23</c:v>
                </c:pt>
                <c:pt idx="232">
                  <c:v>30</c:v>
                </c:pt>
                <c:pt idx="233">
                  <c:v>38</c:v>
                </c:pt>
                <c:pt idx="234">
                  <c:v>19</c:v>
                </c:pt>
                <c:pt idx="235">
                  <c:v>25</c:v>
                </c:pt>
                <c:pt idx="236">
                  <c:v>38</c:v>
                </c:pt>
                <c:pt idx="237">
                  <c:v>19</c:v>
                </c:pt>
                <c:pt idx="238">
                  <c:v>21</c:v>
                </c:pt>
                <c:pt idx="239">
                  <c:v>32</c:v>
                </c:pt>
                <c:pt idx="240">
                  <c:v>21</c:v>
                </c:pt>
                <c:pt idx="241">
                  <c:v>30</c:v>
                </c:pt>
                <c:pt idx="242">
                  <c:v>29</c:v>
                </c:pt>
                <c:pt idx="243">
                  <c:v>30</c:v>
                </c:pt>
                <c:pt idx="244">
                  <c:v>31</c:v>
                </c:pt>
                <c:pt idx="245">
                  <c:v>37</c:v>
                </c:pt>
                <c:pt idx="246">
                  <c:v>35</c:v>
                </c:pt>
                <c:pt idx="247">
                  <c:v>23</c:v>
                </c:pt>
                <c:pt idx="248">
                  <c:v>28</c:v>
                </c:pt>
                <c:pt idx="249">
                  <c:v>19</c:v>
                </c:pt>
                <c:pt idx="250">
                  <c:v>36</c:v>
                </c:pt>
                <c:pt idx="251">
                  <c:v>36</c:v>
                </c:pt>
                <c:pt idx="252">
                  <c:v>22</c:v>
                </c:pt>
                <c:pt idx="253">
                  <c:v>36</c:v>
                </c:pt>
                <c:pt idx="254">
                  <c:v>19</c:v>
                </c:pt>
                <c:pt idx="255">
                  <c:v>27</c:v>
                </c:pt>
                <c:pt idx="256">
                  <c:v>19</c:v>
                </c:pt>
                <c:pt idx="257">
                  <c:v>28</c:v>
                </c:pt>
                <c:pt idx="258">
                  <c:v>35</c:v>
                </c:pt>
                <c:pt idx="259">
                  <c:v>32</c:v>
                </c:pt>
                <c:pt idx="260">
                  <c:v>26</c:v>
                </c:pt>
                <c:pt idx="261">
                  <c:v>36</c:v>
                </c:pt>
                <c:pt idx="262">
                  <c:v>26</c:v>
                </c:pt>
                <c:pt idx="263">
                  <c:v>20</c:v>
                </c:pt>
                <c:pt idx="264">
                  <c:v>38</c:v>
                </c:pt>
                <c:pt idx="265">
                  <c:v>26</c:v>
                </c:pt>
                <c:pt idx="266">
                  <c:v>31</c:v>
                </c:pt>
                <c:pt idx="267">
                  <c:v>36</c:v>
                </c:pt>
                <c:pt idx="268">
                  <c:v>24</c:v>
                </c:pt>
                <c:pt idx="269">
                  <c:v>33</c:v>
                </c:pt>
                <c:pt idx="270">
                  <c:v>33</c:v>
                </c:pt>
                <c:pt idx="271">
                  <c:v>18</c:v>
                </c:pt>
                <c:pt idx="272">
                  <c:v>21</c:v>
                </c:pt>
                <c:pt idx="273">
                  <c:v>21</c:v>
                </c:pt>
                <c:pt idx="274">
                  <c:v>24</c:v>
                </c:pt>
                <c:pt idx="275">
                  <c:v>25</c:v>
                </c:pt>
                <c:pt idx="276">
                  <c:v>34</c:v>
                </c:pt>
                <c:pt idx="277">
                  <c:v>22</c:v>
                </c:pt>
                <c:pt idx="278">
                  <c:v>24</c:v>
                </c:pt>
                <c:pt idx="279">
                  <c:v>37</c:v>
                </c:pt>
              </c:numCache>
            </c:numRef>
          </c:xVal>
          <c:yVal>
            <c:numRef>
              <c:f>'5a_Age vs Speed'!$C$2:$C$281</c:f>
              <c:numCache>
                <c:formatCode>General</c:formatCode>
                <c:ptCount val="280"/>
                <c:pt idx="0">
                  <c:v>7.58</c:v>
                </c:pt>
                <c:pt idx="1">
                  <c:v>6.16</c:v>
                </c:pt>
                <c:pt idx="2">
                  <c:v>7.9</c:v>
                </c:pt>
                <c:pt idx="3">
                  <c:v>8.17</c:v>
                </c:pt>
                <c:pt idx="4">
                  <c:v>6.91</c:v>
                </c:pt>
                <c:pt idx="5">
                  <c:v>9.86</c:v>
                </c:pt>
                <c:pt idx="6">
                  <c:v>9.64</c:v>
                </c:pt>
                <c:pt idx="7">
                  <c:v>8.89</c:v>
                </c:pt>
                <c:pt idx="8">
                  <c:v>8.1300000000000008</c:v>
                </c:pt>
                <c:pt idx="9">
                  <c:v>9.48</c:v>
                </c:pt>
                <c:pt idx="10">
                  <c:v>6.52</c:v>
                </c:pt>
                <c:pt idx="11">
                  <c:v>9.16</c:v>
                </c:pt>
                <c:pt idx="12">
                  <c:v>6.5</c:v>
                </c:pt>
                <c:pt idx="13">
                  <c:v>9.18</c:v>
                </c:pt>
                <c:pt idx="14">
                  <c:v>7.1</c:v>
                </c:pt>
                <c:pt idx="15">
                  <c:v>9.51</c:v>
                </c:pt>
                <c:pt idx="16">
                  <c:v>9.7799999999999994</c:v>
                </c:pt>
                <c:pt idx="17">
                  <c:v>6.6</c:v>
                </c:pt>
                <c:pt idx="18">
                  <c:v>7.85</c:v>
                </c:pt>
                <c:pt idx="19">
                  <c:v>9.92</c:v>
                </c:pt>
                <c:pt idx="20">
                  <c:v>7.93</c:v>
                </c:pt>
                <c:pt idx="21">
                  <c:v>9.4499999999999993</c:v>
                </c:pt>
                <c:pt idx="22">
                  <c:v>8.35</c:v>
                </c:pt>
                <c:pt idx="23">
                  <c:v>7.5</c:v>
                </c:pt>
                <c:pt idx="24">
                  <c:v>7.14</c:v>
                </c:pt>
                <c:pt idx="25">
                  <c:v>6.81</c:v>
                </c:pt>
                <c:pt idx="26">
                  <c:v>9.0500000000000007</c:v>
                </c:pt>
                <c:pt idx="27">
                  <c:v>7.55</c:v>
                </c:pt>
                <c:pt idx="28">
                  <c:v>8.0500000000000007</c:v>
                </c:pt>
                <c:pt idx="29">
                  <c:v>7.97</c:v>
                </c:pt>
                <c:pt idx="30">
                  <c:v>8.31</c:v>
                </c:pt>
                <c:pt idx="31">
                  <c:v>9.4600000000000009</c:v>
                </c:pt>
                <c:pt idx="32">
                  <c:v>9.92</c:v>
                </c:pt>
                <c:pt idx="33">
                  <c:v>7.63</c:v>
                </c:pt>
                <c:pt idx="34">
                  <c:v>9.31</c:v>
                </c:pt>
                <c:pt idx="35">
                  <c:v>9.06</c:v>
                </c:pt>
                <c:pt idx="36">
                  <c:v>8.2899999999999991</c:v>
                </c:pt>
                <c:pt idx="37">
                  <c:v>9.82</c:v>
                </c:pt>
                <c:pt idx="38">
                  <c:v>6.8</c:v>
                </c:pt>
                <c:pt idx="39">
                  <c:v>6.44</c:v>
                </c:pt>
                <c:pt idx="40">
                  <c:v>9.42</c:v>
                </c:pt>
                <c:pt idx="41">
                  <c:v>7.76</c:v>
                </c:pt>
                <c:pt idx="42">
                  <c:v>9.39</c:v>
                </c:pt>
                <c:pt idx="43">
                  <c:v>9.57</c:v>
                </c:pt>
                <c:pt idx="44">
                  <c:v>6.25</c:v>
                </c:pt>
                <c:pt idx="45">
                  <c:v>9.5299999999999994</c:v>
                </c:pt>
                <c:pt idx="46">
                  <c:v>7.79</c:v>
                </c:pt>
                <c:pt idx="47">
                  <c:v>8.0399999999999991</c:v>
                </c:pt>
                <c:pt idx="48">
                  <c:v>8.51</c:v>
                </c:pt>
                <c:pt idx="49">
                  <c:v>9.7100000000000009</c:v>
                </c:pt>
                <c:pt idx="50">
                  <c:v>6.08</c:v>
                </c:pt>
                <c:pt idx="51">
                  <c:v>7.91</c:v>
                </c:pt>
                <c:pt idx="52">
                  <c:v>8.75</c:v>
                </c:pt>
                <c:pt idx="53">
                  <c:v>8.89</c:v>
                </c:pt>
                <c:pt idx="54">
                  <c:v>8.77</c:v>
                </c:pt>
                <c:pt idx="55">
                  <c:v>6.54</c:v>
                </c:pt>
                <c:pt idx="56">
                  <c:v>7.2</c:v>
                </c:pt>
                <c:pt idx="57">
                  <c:v>7.43</c:v>
                </c:pt>
                <c:pt idx="58">
                  <c:v>9.2200000000000006</c:v>
                </c:pt>
                <c:pt idx="59">
                  <c:v>7.12</c:v>
                </c:pt>
                <c:pt idx="60">
                  <c:v>6.84</c:v>
                </c:pt>
                <c:pt idx="61">
                  <c:v>9.83</c:v>
                </c:pt>
                <c:pt idx="62">
                  <c:v>6.04</c:v>
                </c:pt>
                <c:pt idx="63">
                  <c:v>9.99</c:v>
                </c:pt>
                <c:pt idx="64">
                  <c:v>8.7100000000000009</c:v>
                </c:pt>
                <c:pt idx="65">
                  <c:v>9.31</c:v>
                </c:pt>
                <c:pt idx="66">
                  <c:v>7.18</c:v>
                </c:pt>
                <c:pt idx="67">
                  <c:v>6.06</c:v>
                </c:pt>
                <c:pt idx="68">
                  <c:v>8.9499999999999993</c:v>
                </c:pt>
                <c:pt idx="69">
                  <c:v>9.34</c:v>
                </c:pt>
                <c:pt idx="70">
                  <c:v>8.9600000000000009</c:v>
                </c:pt>
                <c:pt idx="71">
                  <c:v>6.57</c:v>
                </c:pt>
                <c:pt idx="72">
                  <c:v>9.01</c:v>
                </c:pt>
                <c:pt idx="73">
                  <c:v>9.08</c:v>
                </c:pt>
                <c:pt idx="74">
                  <c:v>8.6300000000000008</c:v>
                </c:pt>
                <c:pt idx="75">
                  <c:v>9.06</c:v>
                </c:pt>
                <c:pt idx="76">
                  <c:v>9.3800000000000008</c:v>
                </c:pt>
                <c:pt idx="77">
                  <c:v>8.4499999999999993</c:v>
                </c:pt>
                <c:pt idx="78">
                  <c:v>6.35</c:v>
                </c:pt>
                <c:pt idx="79">
                  <c:v>7.95</c:v>
                </c:pt>
                <c:pt idx="80">
                  <c:v>6.31</c:v>
                </c:pt>
                <c:pt idx="81">
                  <c:v>7.63</c:v>
                </c:pt>
                <c:pt idx="82">
                  <c:v>7.63</c:v>
                </c:pt>
                <c:pt idx="83">
                  <c:v>6.26</c:v>
                </c:pt>
                <c:pt idx="84">
                  <c:v>7.4</c:v>
                </c:pt>
                <c:pt idx="85">
                  <c:v>6.44</c:v>
                </c:pt>
                <c:pt idx="86">
                  <c:v>9.23</c:v>
                </c:pt>
                <c:pt idx="87">
                  <c:v>9.7899999999999991</c:v>
                </c:pt>
                <c:pt idx="88">
                  <c:v>6.29</c:v>
                </c:pt>
                <c:pt idx="89">
                  <c:v>9.82</c:v>
                </c:pt>
                <c:pt idx="90">
                  <c:v>8.09</c:v>
                </c:pt>
                <c:pt idx="91">
                  <c:v>7.2</c:v>
                </c:pt>
                <c:pt idx="92">
                  <c:v>6.31</c:v>
                </c:pt>
                <c:pt idx="93">
                  <c:v>8</c:v>
                </c:pt>
                <c:pt idx="94">
                  <c:v>9.18</c:v>
                </c:pt>
                <c:pt idx="95">
                  <c:v>8.83</c:v>
                </c:pt>
                <c:pt idx="96">
                  <c:v>6.2</c:v>
                </c:pt>
                <c:pt idx="97">
                  <c:v>6.29</c:v>
                </c:pt>
                <c:pt idx="98">
                  <c:v>7.61</c:v>
                </c:pt>
                <c:pt idx="99">
                  <c:v>7.18</c:v>
                </c:pt>
                <c:pt idx="100">
                  <c:v>6.93</c:v>
                </c:pt>
                <c:pt idx="101">
                  <c:v>7.12</c:v>
                </c:pt>
                <c:pt idx="102">
                  <c:v>9.2100000000000009</c:v>
                </c:pt>
                <c:pt idx="103">
                  <c:v>9.7200000000000006</c:v>
                </c:pt>
                <c:pt idx="104">
                  <c:v>7.62</c:v>
                </c:pt>
                <c:pt idx="105">
                  <c:v>9.6199999999999992</c:v>
                </c:pt>
                <c:pt idx="106">
                  <c:v>7.29</c:v>
                </c:pt>
                <c:pt idx="107">
                  <c:v>7.91</c:v>
                </c:pt>
                <c:pt idx="108">
                  <c:v>6.9</c:v>
                </c:pt>
                <c:pt idx="109">
                  <c:v>8.56</c:v>
                </c:pt>
                <c:pt idx="110">
                  <c:v>9.92</c:v>
                </c:pt>
                <c:pt idx="111">
                  <c:v>8.41</c:v>
                </c:pt>
                <c:pt idx="112">
                  <c:v>7.43</c:v>
                </c:pt>
                <c:pt idx="113">
                  <c:v>8.59</c:v>
                </c:pt>
                <c:pt idx="114">
                  <c:v>6.49</c:v>
                </c:pt>
                <c:pt idx="115">
                  <c:v>9.5500000000000007</c:v>
                </c:pt>
                <c:pt idx="116">
                  <c:v>8.01</c:v>
                </c:pt>
                <c:pt idx="117">
                  <c:v>7.8</c:v>
                </c:pt>
                <c:pt idx="118">
                  <c:v>8.34</c:v>
                </c:pt>
                <c:pt idx="119">
                  <c:v>8.5</c:v>
                </c:pt>
                <c:pt idx="120">
                  <c:v>6.29</c:v>
                </c:pt>
                <c:pt idx="121">
                  <c:v>8.73</c:v>
                </c:pt>
                <c:pt idx="122">
                  <c:v>6.97</c:v>
                </c:pt>
                <c:pt idx="123">
                  <c:v>8.86</c:v>
                </c:pt>
                <c:pt idx="124">
                  <c:v>9.2899999999999991</c:v>
                </c:pt>
                <c:pt idx="125">
                  <c:v>9.2200000000000006</c:v>
                </c:pt>
                <c:pt idx="126">
                  <c:v>8.2100000000000009</c:v>
                </c:pt>
                <c:pt idx="127">
                  <c:v>8.08</c:v>
                </c:pt>
                <c:pt idx="128">
                  <c:v>6.57</c:v>
                </c:pt>
                <c:pt idx="129">
                  <c:v>9.1</c:v>
                </c:pt>
                <c:pt idx="130">
                  <c:v>7.09</c:v>
                </c:pt>
                <c:pt idx="131">
                  <c:v>7.99</c:v>
                </c:pt>
                <c:pt idx="132">
                  <c:v>7.14</c:v>
                </c:pt>
                <c:pt idx="133">
                  <c:v>6.54</c:v>
                </c:pt>
                <c:pt idx="134">
                  <c:v>8.52</c:v>
                </c:pt>
                <c:pt idx="135">
                  <c:v>6.22</c:v>
                </c:pt>
                <c:pt idx="136">
                  <c:v>8.99</c:v>
                </c:pt>
                <c:pt idx="137">
                  <c:v>7.27</c:v>
                </c:pt>
                <c:pt idx="138">
                  <c:v>6</c:v>
                </c:pt>
                <c:pt idx="139">
                  <c:v>8.0399999999999991</c:v>
                </c:pt>
                <c:pt idx="140">
                  <c:v>6.19</c:v>
                </c:pt>
                <c:pt idx="141">
                  <c:v>7.1</c:v>
                </c:pt>
                <c:pt idx="142">
                  <c:v>8.83</c:v>
                </c:pt>
                <c:pt idx="143">
                  <c:v>6.25</c:v>
                </c:pt>
                <c:pt idx="144">
                  <c:v>9.36</c:v>
                </c:pt>
                <c:pt idx="145">
                  <c:v>6.02</c:v>
                </c:pt>
                <c:pt idx="146">
                  <c:v>6.99</c:v>
                </c:pt>
                <c:pt idx="147">
                  <c:v>8.9600000000000009</c:v>
                </c:pt>
                <c:pt idx="148">
                  <c:v>7.27</c:v>
                </c:pt>
                <c:pt idx="149">
                  <c:v>6.41</c:v>
                </c:pt>
                <c:pt idx="150">
                  <c:v>7.44</c:v>
                </c:pt>
                <c:pt idx="151">
                  <c:v>7.08</c:v>
                </c:pt>
                <c:pt idx="152">
                  <c:v>9.3699999999999992</c:v>
                </c:pt>
                <c:pt idx="153">
                  <c:v>7.25</c:v>
                </c:pt>
                <c:pt idx="154">
                  <c:v>9.16</c:v>
                </c:pt>
                <c:pt idx="155">
                  <c:v>9.57</c:v>
                </c:pt>
                <c:pt idx="156">
                  <c:v>7.74</c:v>
                </c:pt>
                <c:pt idx="157">
                  <c:v>9.64</c:v>
                </c:pt>
                <c:pt idx="158">
                  <c:v>7.51</c:v>
                </c:pt>
                <c:pt idx="159">
                  <c:v>9.86</c:v>
                </c:pt>
                <c:pt idx="160">
                  <c:v>6.36</c:v>
                </c:pt>
                <c:pt idx="161">
                  <c:v>8.75</c:v>
                </c:pt>
                <c:pt idx="162">
                  <c:v>7.98</c:v>
                </c:pt>
                <c:pt idx="163">
                  <c:v>7.55</c:v>
                </c:pt>
                <c:pt idx="164">
                  <c:v>8.5299999999999994</c:v>
                </c:pt>
                <c:pt idx="165">
                  <c:v>8.82</c:v>
                </c:pt>
                <c:pt idx="166">
                  <c:v>6.02</c:v>
                </c:pt>
                <c:pt idx="167">
                  <c:v>6.67</c:v>
                </c:pt>
                <c:pt idx="168">
                  <c:v>8.85</c:v>
                </c:pt>
                <c:pt idx="169">
                  <c:v>8.67</c:v>
                </c:pt>
                <c:pt idx="170">
                  <c:v>9.86</c:v>
                </c:pt>
                <c:pt idx="171">
                  <c:v>9.0399999999999991</c:v>
                </c:pt>
                <c:pt idx="172">
                  <c:v>9.8000000000000007</c:v>
                </c:pt>
                <c:pt idx="173">
                  <c:v>8.81</c:v>
                </c:pt>
                <c:pt idx="174">
                  <c:v>7.19</c:v>
                </c:pt>
                <c:pt idx="175">
                  <c:v>6.42</c:v>
                </c:pt>
                <c:pt idx="176">
                  <c:v>9.1300000000000008</c:v>
                </c:pt>
                <c:pt idx="177">
                  <c:v>8.58</c:v>
                </c:pt>
                <c:pt idx="178">
                  <c:v>6.19</c:v>
                </c:pt>
                <c:pt idx="179">
                  <c:v>7.44</c:v>
                </c:pt>
                <c:pt idx="180">
                  <c:v>9.83</c:v>
                </c:pt>
                <c:pt idx="181">
                  <c:v>8</c:v>
                </c:pt>
                <c:pt idx="182">
                  <c:v>7.73</c:v>
                </c:pt>
                <c:pt idx="183">
                  <c:v>7.83</c:v>
                </c:pt>
                <c:pt idx="184">
                  <c:v>6.84</c:v>
                </c:pt>
                <c:pt idx="185">
                  <c:v>7.47</c:v>
                </c:pt>
                <c:pt idx="186">
                  <c:v>7.48</c:v>
                </c:pt>
                <c:pt idx="187">
                  <c:v>6.21</c:v>
                </c:pt>
                <c:pt idx="188">
                  <c:v>9.07</c:v>
                </c:pt>
                <c:pt idx="189">
                  <c:v>7.67</c:v>
                </c:pt>
                <c:pt idx="190">
                  <c:v>9.2899999999999991</c:v>
                </c:pt>
                <c:pt idx="191">
                  <c:v>9.4</c:v>
                </c:pt>
                <c:pt idx="192">
                  <c:v>6.85</c:v>
                </c:pt>
                <c:pt idx="193">
                  <c:v>8.6300000000000008</c:v>
                </c:pt>
                <c:pt idx="194">
                  <c:v>7.89</c:v>
                </c:pt>
                <c:pt idx="195">
                  <c:v>9.52</c:v>
                </c:pt>
                <c:pt idx="196">
                  <c:v>6.86</c:v>
                </c:pt>
                <c:pt idx="197">
                  <c:v>8.7100000000000009</c:v>
                </c:pt>
                <c:pt idx="198">
                  <c:v>8.43</c:v>
                </c:pt>
                <c:pt idx="199">
                  <c:v>7.18</c:v>
                </c:pt>
                <c:pt idx="200">
                  <c:v>6.55</c:v>
                </c:pt>
                <c:pt idx="201">
                  <c:v>8.61</c:v>
                </c:pt>
                <c:pt idx="202">
                  <c:v>8.9499999999999993</c:v>
                </c:pt>
                <c:pt idx="203">
                  <c:v>7.26</c:v>
                </c:pt>
                <c:pt idx="204">
                  <c:v>8.58</c:v>
                </c:pt>
                <c:pt idx="205">
                  <c:v>7.58</c:v>
                </c:pt>
                <c:pt idx="206">
                  <c:v>8.85</c:v>
                </c:pt>
                <c:pt idx="207">
                  <c:v>6.8</c:v>
                </c:pt>
                <c:pt idx="208">
                  <c:v>9.56</c:v>
                </c:pt>
                <c:pt idx="209">
                  <c:v>7.15</c:v>
                </c:pt>
                <c:pt idx="210">
                  <c:v>7.47</c:v>
                </c:pt>
                <c:pt idx="211">
                  <c:v>6.23</c:v>
                </c:pt>
                <c:pt idx="212">
                  <c:v>6.45</c:v>
                </c:pt>
                <c:pt idx="213">
                  <c:v>8.06</c:v>
                </c:pt>
                <c:pt idx="214">
                  <c:v>7.07</c:v>
                </c:pt>
                <c:pt idx="215">
                  <c:v>9.34</c:v>
                </c:pt>
                <c:pt idx="216">
                  <c:v>6.06</c:v>
                </c:pt>
                <c:pt idx="217">
                  <c:v>7.52</c:v>
                </c:pt>
                <c:pt idx="218">
                  <c:v>7.35</c:v>
                </c:pt>
                <c:pt idx="219">
                  <c:v>6.08</c:v>
                </c:pt>
                <c:pt idx="220">
                  <c:v>6.5</c:v>
                </c:pt>
                <c:pt idx="221">
                  <c:v>7.65</c:v>
                </c:pt>
                <c:pt idx="222">
                  <c:v>7.97</c:v>
                </c:pt>
                <c:pt idx="223">
                  <c:v>7.62</c:v>
                </c:pt>
                <c:pt idx="224">
                  <c:v>8.1199999999999992</c:v>
                </c:pt>
                <c:pt idx="225">
                  <c:v>8.3800000000000008</c:v>
                </c:pt>
                <c:pt idx="226">
                  <c:v>6.04</c:v>
                </c:pt>
                <c:pt idx="227">
                  <c:v>7.86</c:v>
                </c:pt>
                <c:pt idx="228">
                  <c:v>9.85</c:v>
                </c:pt>
                <c:pt idx="229">
                  <c:v>8.08</c:v>
                </c:pt>
                <c:pt idx="230">
                  <c:v>8.7100000000000009</c:v>
                </c:pt>
                <c:pt idx="231">
                  <c:v>7.25</c:v>
                </c:pt>
                <c:pt idx="232">
                  <c:v>9.1</c:v>
                </c:pt>
                <c:pt idx="233">
                  <c:v>9.09</c:v>
                </c:pt>
                <c:pt idx="234">
                  <c:v>8.09</c:v>
                </c:pt>
                <c:pt idx="235">
                  <c:v>9.9</c:v>
                </c:pt>
                <c:pt idx="236">
                  <c:v>6.5</c:v>
                </c:pt>
                <c:pt idx="237">
                  <c:v>6.07</c:v>
                </c:pt>
                <c:pt idx="238">
                  <c:v>9.08</c:v>
                </c:pt>
                <c:pt idx="239">
                  <c:v>9.23</c:v>
                </c:pt>
                <c:pt idx="240">
                  <c:v>6.48</c:v>
                </c:pt>
                <c:pt idx="241">
                  <c:v>7.06</c:v>
                </c:pt>
                <c:pt idx="242">
                  <c:v>6.07</c:v>
                </c:pt>
                <c:pt idx="243">
                  <c:v>7.17</c:v>
                </c:pt>
                <c:pt idx="244">
                  <c:v>9.09</c:v>
                </c:pt>
                <c:pt idx="245">
                  <c:v>8.07</c:v>
                </c:pt>
                <c:pt idx="246">
                  <c:v>7.39</c:v>
                </c:pt>
                <c:pt idx="247">
                  <c:v>7.49</c:v>
                </c:pt>
                <c:pt idx="248">
                  <c:v>6.01</c:v>
                </c:pt>
                <c:pt idx="249">
                  <c:v>7.2</c:v>
                </c:pt>
                <c:pt idx="250">
                  <c:v>8.59</c:v>
                </c:pt>
                <c:pt idx="251">
                  <c:v>9.9</c:v>
                </c:pt>
                <c:pt idx="252">
                  <c:v>9.39</c:v>
                </c:pt>
                <c:pt idx="253">
                  <c:v>6.09</c:v>
                </c:pt>
                <c:pt idx="254">
                  <c:v>9.59</c:v>
                </c:pt>
                <c:pt idx="255">
                  <c:v>9.1300000000000008</c:v>
                </c:pt>
                <c:pt idx="256">
                  <c:v>9.1199999999999992</c:v>
                </c:pt>
                <c:pt idx="257">
                  <c:v>7.83</c:v>
                </c:pt>
                <c:pt idx="258">
                  <c:v>7.59</c:v>
                </c:pt>
                <c:pt idx="259">
                  <c:v>7.21</c:v>
                </c:pt>
                <c:pt idx="260">
                  <c:v>6.26</c:v>
                </c:pt>
                <c:pt idx="261">
                  <c:v>6.91</c:v>
                </c:pt>
                <c:pt idx="262">
                  <c:v>6.99</c:v>
                </c:pt>
                <c:pt idx="263">
                  <c:v>7.94</c:v>
                </c:pt>
                <c:pt idx="264">
                  <c:v>8.99</c:v>
                </c:pt>
                <c:pt idx="265">
                  <c:v>7.9</c:v>
                </c:pt>
                <c:pt idx="266">
                  <c:v>6.23</c:v>
                </c:pt>
                <c:pt idx="267">
                  <c:v>9.83</c:v>
                </c:pt>
                <c:pt idx="268">
                  <c:v>9.77</c:v>
                </c:pt>
                <c:pt idx="269">
                  <c:v>9.14</c:v>
                </c:pt>
                <c:pt idx="270">
                  <c:v>9.9700000000000006</c:v>
                </c:pt>
                <c:pt idx="271">
                  <c:v>8.18</c:v>
                </c:pt>
                <c:pt idx="272">
                  <c:v>9.85</c:v>
                </c:pt>
                <c:pt idx="273">
                  <c:v>6.3</c:v>
                </c:pt>
                <c:pt idx="274">
                  <c:v>7.46</c:v>
                </c:pt>
                <c:pt idx="275">
                  <c:v>6.9</c:v>
                </c:pt>
                <c:pt idx="276">
                  <c:v>6.78</c:v>
                </c:pt>
                <c:pt idx="277">
                  <c:v>6.56</c:v>
                </c:pt>
                <c:pt idx="278">
                  <c:v>8.49</c:v>
                </c:pt>
                <c:pt idx="279">
                  <c:v>9.1300000000000008</c:v>
                </c:pt>
              </c:numCache>
            </c:numRef>
          </c:yVal>
          <c:smooth val="0"/>
          <c:extLst>
            <c:ext xmlns:c16="http://schemas.microsoft.com/office/drawing/2014/chart" uri="{C3380CC4-5D6E-409C-BE32-E72D297353CC}">
              <c16:uniqueId val="{00000000-5490-4497-A061-36C47C49A169}"/>
            </c:ext>
          </c:extLst>
        </c:ser>
        <c:dLbls>
          <c:showLegendKey val="0"/>
          <c:showVal val="0"/>
          <c:showCatName val="0"/>
          <c:showSerName val="0"/>
          <c:showPercent val="0"/>
          <c:showBubbleSize val="0"/>
        </c:dLbls>
        <c:axId val="177933504"/>
        <c:axId val="177939264"/>
      </c:scatterChart>
      <c:valAx>
        <c:axId val="177933504"/>
        <c:scaling>
          <c:orientation val="minMax"/>
          <c:max val="40"/>
          <c:min val="1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939264"/>
        <c:crosses val="autoZero"/>
        <c:crossBetween val="midCat"/>
      </c:valAx>
      <c:valAx>
        <c:axId val="17793926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Sprint Speed (in m/s)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933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Goals</a:t>
            </a:r>
            <a:r>
              <a:rPr lang="en-US" baseline="0"/>
              <a:t> Scored by Player Position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'5b_Goals by Position'!$V$7</c:f>
              <c:strCache>
                <c:ptCount val="1"/>
                <c:pt idx="0">
                  <c:v>Total Goals Scored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'5b_Goals by Position'!$U$8:$U$11</c:f>
              <c:strCache>
                <c:ptCount val="4"/>
                <c:pt idx="0">
                  <c:v>Defender</c:v>
                </c:pt>
                <c:pt idx="1">
                  <c:v>Midfielder</c:v>
                </c:pt>
                <c:pt idx="2">
                  <c:v>Forward</c:v>
                </c:pt>
                <c:pt idx="3">
                  <c:v>Goalkeeper</c:v>
                </c:pt>
              </c:strCache>
            </c:strRef>
          </c:cat>
          <c:val>
            <c:numRef>
              <c:f>'5b_Goals by Position'!$V$8:$V$11</c:f>
              <c:numCache>
                <c:formatCode>General</c:formatCode>
                <c:ptCount val="4"/>
                <c:pt idx="0">
                  <c:v>171</c:v>
                </c:pt>
                <c:pt idx="1">
                  <c:v>249</c:v>
                </c:pt>
                <c:pt idx="2">
                  <c:v>92</c:v>
                </c:pt>
                <c:pt idx="3">
                  <c:v>2</c:v>
                </c:pt>
              </c:numCache>
            </c:numRef>
          </c:val>
          <c:extLst>
            <c:ext xmlns:c16="http://schemas.microsoft.com/office/drawing/2014/chart" uri="{C3380CC4-5D6E-409C-BE32-E72D297353CC}">
              <c16:uniqueId val="{00000000-11C3-4419-A846-8FC0ADC1D27E}"/>
            </c:ext>
          </c:extLst>
        </c:ser>
        <c:dLbls>
          <c:dLblPos val="inEnd"/>
          <c:showLegendKey val="0"/>
          <c:showVal val="1"/>
          <c:showCatName val="0"/>
          <c:showSerName val="0"/>
          <c:showPercent val="0"/>
          <c:showBubbleSize val="0"/>
        </c:dLbls>
        <c:gapWidth val="115"/>
        <c:overlap val="-20"/>
        <c:axId val="1549064176"/>
        <c:axId val="1549070416"/>
      </c:barChart>
      <c:catAx>
        <c:axId val="154906417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Player Position</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9070416"/>
        <c:crosses val="autoZero"/>
        <c:auto val="1"/>
        <c:lblAlgn val="ctr"/>
        <c:lblOffset val="100"/>
        <c:noMultiLvlLbl val="0"/>
      </c:catAx>
      <c:valAx>
        <c:axId val="1549070416"/>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Goals Scored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9064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'5c_Additional Insights'!$B$1</c:f>
              <c:strCache>
                <c:ptCount val="1"/>
                <c:pt idx="0">
                  <c:v>Fatigue Index</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1"/>
            <c:dispEq val="1"/>
            <c:trendlineLbl>
              <c:layout>
                <c:manualLayout>
                  <c:x val="3.0534558180227472E-2"/>
                  <c:y val="-0.3072652376786235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'5c_Additional Insights'!$A$2:$A$281</c:f>
              <c:numCache>
                <c:formatCode>General</c:formatCode>
                <c:ptCount val="280"/>
                <c:pt idx="0">
                  <c:v>11.7</c:v>
                </c:pt>
                <c:pt idx="1">
                  <c:v>19.899999999999999</c:v>
                </c:pt>
                <c:pt idx="2">
                  <c:v>11.6</c:v>
                </c:pt>
                <c:pt idx="3">
                  <c:v>17.899999999999999</c:v>
                </c:pt>
                <c:pt idx="4">
                  <c:v>17.8</c:v>
                </c:pt>
                <c:pt idx="5">
                  <c:v>11.6</c:v>
                </c:pt>
                <c:pt idx="6">
                  <c:v>19.899999999999999</c:v>
                </c:pt>
                <c:pt idx="7">
                  <c:v>11.5</c:v>
                </c:pt>
                <c:pt idx="8">
                  <c:v>9.3000000000000007</c:v>
                </c:pt>
                <c:pt idx="9">
                  <c:v>13.8</c:v>
                </c:pt>
                <c:pt idx="10">
                  <c:v>19.899999999999999</c:v>
                </c:pt>
                <c:pt idx="11">
                  <c:v>19.8</c:v>
                </c:pt>
                <c:pt idx="12">
                  <c:v>15.7</c:v>
                </c:pt>
                <c:pt idx="13">
                  <c:v>6.5</c:v>
                </c:pt>
                <c:pt idx="14">
                  <c:v>13.8</c:v>
                </c:pt>
                <c:pt idx="15">
                  <c:v>17.8</c:v>
                </c:pt>
                <c:pt idx="16">
                  <c:v>19.8</c:v>
                </c:pt>
                <c:pt idx="17">
                  <c:v>11.4</c:v>
                </c:pt>
                <c:pt idx="18">
                  <c:v>13.7</c:v>
                </c:pt>
                <c:pt idx="19">
                  <c:v>15.6</c:v>
                </c:pt>
                <c:pt idx="20">
                  <c:v>17.8</c:v>
                </c:pt>
                <c:pt idx="21">
                  <c:v>6.4</c:v>
                </c:pt>
                <c:pt idx="22">
                  <c:v>6.4</c:v>
                </c:pt>
                <c:pt idx="23">
                  <c:v>15.6</c:v>
                </c:pt>
                <c:pt idx="24">
                  <c:v>15.5</c:v>
                </c:pt>
                <c:pt idx="25">
                  <c:v>11.4</c:v>
                </c:pt>
                <c:pt idx="26">
                  <c:v>19.8</c:v>
                </c:pt>
                <c:pt idx="27">
                  <c:v>6.4</c:v>
                </c:pt>
                <c:pt idx="28">
                  <c:v>17.8</c:v>
                </c:pt>
                <c:pt idx="29">
                  <c:v>13.6</c:v>
                </c:pt>
                <c:pt idx="30">
                  <c:v>17.7</c:v>
                </c:pt>
                <c:pt idx="31">
                  <c:v>9.1999999999999993</c:v>
                </c:pt>
                <c:pt idx="32">
                  <c:v>9.1999999999999993</c:v>
                </c:pt>
                <c:pt idx="33">
                  <c:v>15.5</c:v>
                </c:pt>
                <c:pt idx="34">
                  <c:v>11.4</c:v>
                </c:pt>
                <c:pt idx="35">
                  <c:v>9.1999999999999993</c:v>
                </c:pt>
                <c:pt idx="36">
                  <c:v>6.4</c:v>
                </c:pt>
                <c:pt idx="37">
                  <c:v>17.5</c:v>
                </c:pt>
                <c:pt idx="38">
                  <c:v>17.399999999999999</c:v>
                </c:pt>
                <c:pt idx="39">
                  <c:v>15.5</c:v>
                </c:pt>
                <c:pt idx="40">
                  <c:v>19.8</c:v>
                </c:pt>
                <c:pt idx="41">
                  <c:v>19.600000000000001</c:v>
                </c:pt>
                <c:pt idx="42">
                  <c:v>13.6</c:v>
                </c:pt>
                <c:pt idx="43">
                  <c:v>15.5</c:v>
                </c:pt>
                <c:pt idx="44">
                  <c:v>13.6</c:v>
                </c:pt>
                <c:pt idx="45">
                  <c:v>19.600000000000001</c:v>
                </c:pt>
                <c:pt idx="46">
                  <c:v>15.5</c:v>
                </c:pt>
                <c:pt idx="47">
                  <c:v>15.5</c:v>
                </c:pt>
                <c:pt idx="48">
                  <c:v>15.4</c:v>
                </c:pt>
                <c:pt idx="49">
                  <c:v>19.5</c:v>
                </c:pt>
                <c:pt idx="50">
                  <c:v>13.4</c:v>
                </c:pt>
                <c:pt idx="51">
                  <c:v>13.4</c:v>
                </c:pt>
                <c:pt idx="52">
                  <c:v>15.4</c:v>
                </c:pt>
                <c:pt idx="53">
                  <c:v>9.1999999999999993</c:v>
                </c:pt>
                <c:pt idx="54">
                  <c:v>11.3</c:v>
                </c:pt>
                <c:pt idx="55">
                  <c:v>19.5</c:v>
                </c:pt>
                <c:pt idx="56">
                  <c:v>11.3</c:v>
                </c:pt>
                <c:pt idx="57">
                  <c:v>11.2</c:v>
                </c:pt>
                <c:pt idx="58">
                  <c:v>13.3</c:v>
                </c:pt>
                <c:pt idx="59">
                  <c:v>13.3</c:v>
                </c:pt>
                <c:pt idx="60">
                  <c:v>9.1999999999999993</c:v>
                </c:pt>
                <c:pt idx="61">
                  <c:v>11.1</c:v>
                </c:pt>
                <c:pt idx="62">
                  <c:v>11</c:v>
                </c:pt>
                <c:pt idx="63">
                  <c:v>15.4</c:v>
                </c:pt>
                <c:pt idx="64">
                  <c:v>13.2</c:v>
                </c:pt>
                <c:pt idx="65">
                  <c:v>10.8</c:v>
                </c:pt>
                <c:pt idx="66">
                  <c:v>17.3</c:v>
                </c:pt>
                <c:pt idx="67">
                  <c:v>9.1</c:v>
                </c:pt>
                <c:pt idx="68">
                  <c:v>17.3</c:v>
                </c:pt>
                <c:pt idx="69">
                  <c:v>17.3</c:v>
                </c:pt>
                <c:pt idx="70">
                  <c:v>19.5</c:v>
                </c:pt>
                <c:pt idx="71">
                  <c:v>19.5</c:v>
                </c:pt>
                <c:pt idx="72">
                  <c:v>8.8000000000000007</c:v>
                </c:pt>
                <c:pt idx="73">
                  <c:v>17.2</c:v>
                </c:pt>
                <c:pt idx="74">
                  <c:v>10.8</c:v>
                </c:pt>
                <c:pt idx="75">
                  <c:v>13.2</c:v>
                </c:pt>
                <c:pt idx="76">
                  <c:v>8.6999999999999993</c:v>
                </c:pt>
                <c:pt idx="77">
                  <c:v>15.3</c:v>
                </c:pt>
                <c:pt idx="78">
                  <c:v>17.2</c:v>
                </c:pt>
                <c:pt idx="79">
                  <c:v>8.4</c:v>
                </c:pt>
                <c:pt idx="80">
                  <c:v>6.3</c:v>
                </c:pt>
                <c:pt idx="81">
                  <c:v>6.3</c:v>
                </c:pt>
                <c:pt idx="82">
                  <c:v>19.399999999999999</c:v>
                </c:pt>
                <c:pt idx="83">
                  <c:v>13.2</c:v>
                </c:pt>
                <c:pt idx="84">
                  <c:v>10.8</c:v>
                </c:pt>
                <c:pt idx="85">
                  <c:v>13.1</c:v>
                </c:pt>
                <c:pt idx="86">
                  <c:v>13.1</c:v>
                </c:pt>
                <c:pt idx="87">
                  <c:v>13</c:v>
                </c:pt>
                <c:pt idx="88">
                  <c:v>13</c:v>
                </c:pt>
                <c:pt idx="89">
                  <c:v>15.2</c:v>
                </c:pt>
                <c:pt idx="90">
                  <c:v>15.1</c:v>
                </c:pt>
                <c:pt idx="91">
                  <c:v>19.399999999999999</c:v>
                </c:pt>
                <c:pt idx="92">
                  <c:v>8.1999999999999993</c:v>
                </c:pt>
                <c:pt idx="93">
                  <c:v>6.3</c:v>
                </c:pt>
                <c:pt idx="94">
                  <c:v>12.9</c:v>
                </c:pt>
                <c:pt idx="95">
                  <c:v>19.399999999999999</c:v>
                </c:pt>
                <c:pt idx="96">
                  <c:v>7.9</c:v>
                </c:pt>
                <c:pt idx="97">
                  <c:v>6.3</c:v>
                </c:pt>
                <c:pt idx="98">
                  <c:v>17.2</c:v>
                </c:pt>
                <c:pt idx="99">
                  <c:v>10.8</c:v>
                </c:pt>
                <c:pt idx="100">
                  <c:v>14.9</c:v>
                </c:pt>
                <c:pt idx="101">
                  <c:v>17.2</c:v>
                </c:pt>
                <c:pt idx="102">
                  <c:v>6.2</c:v>
                </c:pt>
                <c:pt idx="103">
                  <c:v>17.2</c:v>
                </c:pt>
                <c:pt idx="104">
                  <c:v>10.6</c:v>
                </c:pt>
                <c:pt idx="105">
                  <c:v>19.399999999999999</c:v>
                </c:pt>
                <c:pt idx="106">
                  <c:v>6.2</c:v>
                </c:pt>
                <c:pt idx="107">
                  <c:v>17.100000000000001</c:v>
                </c:pt>
                <c:pt idx="108">
                  <c:v>14.9</c:v>
                </c:pt>
                <c:pt idx="109">
                  <c:v>14.7</c:v>
                </c:pt>
                <c:pt idx="110">
                  <c:v>7.8</c:v>
                </c:pt>
                <c:pt idx="111">
                  <c:v>17.100000000000001</c:v>
                </c:pt>
                <c:pt idx="112">
                  <c:v>12.8</c:v>
                </c:pt>
                <c:pt idx="113">
                  <c:v>17.100000000000001</c:v>
                </c:pt>
                <c:pt idx="114">
                  <c:v>19.3</c:v>
                </c:pt>
                <c:pt idx="115">
                  <c:v>6.2</c:v>
                </c:pt>
                <c:pt idx="116">
                  <c:v>6.1</c:v>
                </c:pt>
                <c:pt idx="117">
                  <c:v>19.3</c:v>
                </c:pt>
                <c:pt idx="118">
                  <c:v>17</c:v>
                </c:pt>
                <c:pt idx="119">
                  <c:v>19.3</c:v>
                </c:pt>
                <c:pt idx="120">
                  <c:v>10.6</c:v>
                </c:pt>
                <c:pt idx="121">
                  <c:v>19.3</c:v>
                </c:pt>
                <c:pt idx="122">
                  <c:v>14.7</c:v>
                </c:pt>
                <c:pt idx="123">
                  <c:v>19.3</c:v>
                </c:pt>
                <c:pt idx="124">
                  <c:v>6.1</c:v>
                </c:pt>
                <c:pt idx="125">
                  <c:v>14.6</c:v>
                </c:pt>
                <c:pt idx="126">
                  <c:v>6.1</c:v>
                </c:pt>
                <c:pt idx="127">
                  <c:v>7.7</c:v>
                </c:pt>
                <c:pt idx="128">
                  <c:v>12.8</c:v>
                </c:pt>
                <c:pt idx="129">
                  <c:v>6.1</c:v>
                </c:pt>
                <c:pt idx="130">
                  <c:v>14.6</c:v>
                </c:pt>
                <c:pt idx="131">
                  <c:v>7.6</c:v>
                </c:pt>
                <c:pt idx="132">
                  <c:v>6</c:v>
                </c:pt>
                <c:pt idx="133">
                  <c:v>10.6</c:v>
                </c:pt>
                <c:pt idx="134">
                  <c:v>19.2</c:v>
                </c:pt>
                <c:pt idx="135">
                  <c:v>12.8</c:v>
                </c:pt>
                <c:pt idx="136">
                  <c:v>5.9</c:v>
                </c:pt>
                <c:pt idx="137">
                  <c:v>7.6</c:v>
                </c:pt>
                <c:pt idx="138">
                  <c:v>10.6</c:v>
                </c:pt>
                <c:pt idx="139">
                  <c:v>16.899999999999999</c:v>
                </c:pt>
                <c:pt idx="140">
                  <c:v>7.5</c:v>
                </c:pt>
                <c:pt idx="141">
                  <c:v>19.2</c:v>
                </c:pt>
                <c:pt idx="142">
                  <c:v>7.4</c:v>
                </c:pt>
                <c:pt idx="143">
                  <c:v>10.6</c:v>
                </c:pt>
                <c:pt idx="144">
                  <c:v>7.4</c:v>
                </c:pt>
                <c:pt idx="145">
                  <c:v>10.6</c:v>
                </c:pt>
                <c:pt idx="146">
                  <c:v>5.8</c:v>
                </c:pt>
                <c:pt idx="147">
                  <c:v>10.6</c:v>
                </c:pt>
                <c:pt idx="148">
                  <c:v>10.6</c:v>
                </c:pt>
                <c:pt idx="149">
                  <c:v>12.7</c:v>
                </c:pt>
                <c:pt idx="150">
                  <c:v>10.6</c:v>
                </c:pt>
                <c:pt idx="151">
                  <c:v>10.4</c:v>
                </c:pt>
                <c:pt idx="152">
                  <c:v>16.899999999999999</c:v>
                </c:pt>
                <c:pt idx="153">
                  <c:v>5.8</c:v>
                </c:pt>
                <c:pt idx="154">
                  <c:v>19.100000000000001</c:v>
                </c:pt>
                <c:pt idx="155">
                  <c:v>12.7</c:v>
                </c:pt>
                <c:pt idx="156">
                  <c:v>16.899999999999999</c:v>
                </c:pt>
                <c:pt idx="157">
                  <c:v>14.6</c:v>
                </c:pt>
                <c:pt idx="158">
                  <c:v>5.7</c:v>
                </c:pt>
                <c:pt idx="159">
                  <c:v>5.7</c:v>
                </c:pt>
                <c:pt idx="160">
                  <c:v>14.5</c:v>
                </c:pt>
                <c:pt idx="161">
                  <c:v>19.100000000000001</c:v>
                </c:pt>
                <c:pt idx="162">
                  <c:v>10.4</c:v>
                </c:pt>
                <c:pt idx="163">
                  <c:v>16.8</c:v>
                </c:pt>
                <c:pt idx="164">
                  <c:v>7.3</c:v>
                </c:pt>
                <c:pt idx="165">
                  <c:v>12.6</c:v>
                </c:pt>
                <c:pt idx="166">
                  <c:v>7.3</c:v>
                </c:pt>
                <c:pt idx="167">
                  <c:v>14.5</c:v>
                </c:pt>
                <c:pt idx="168">
                  <c:v>5.7</c:v>
                </c:pt>
                <c:pt idx="169">
                  <c:v>19</c:v>
                </c:pt>
                <c:pt idx="170">
                  <c:v>5.7</c:v>
                </c:pt>
                <c:pt idx="171">
                  <c:v>12.5</c:v>
                </c:pt>
                <c:pt idx="172">
                  <c:v>5.6</c:v>
                </c:pt>
                <c:pt idx="173">
                  <c:v>5.6</c:v>
                </c:pt>
                <c:pt idx="174">
                  <c:v>12.5</c:v>
                </c:pt>
                <c:pt idx="175">
                  <c:v>16.7</c:v>
                </c:pt>
                <c:pt idx="176">
                  <c:v>16.600000000000001</c:v>
                </c:pt>
                <c:pt idx="177">
                  <c:v>12.4</c:v>
                </c:pt>
                <c:pt idx="178">
                  <c:v>19</c:v>
                </c:pt>
                <c:pt idx="179">
                  <c:v>14.4</c:v>
                </c:pt>
                <c:pt idx="180">
                  <c:v>5.6</c:v>
                </c:pt>
                <c:pt idx="181">
                  <c:v>19</c:v>
                </c:pt>
                <c:pt idx="182">
                  <c:v>5.5</c:v>
                </c:pt>
                <c:pt idx="183">
                  <c:v>14.4</c:v>
                </c:pt>
                <c:pt idx="184">
                  <c:v>16.5</c:v>
                </c:pt>
                <c:pt idx="185">
                  <c:v>18.899999999999999</c:v>
                </c:pt>
                <c:pt idx="186">
                  <c:v>10.3</c:v>
                </c:pt>
                <c:pt idx="187">
                  <c:v>10.3</c:v>
                </c:pt>
                <c:pt idx="188">
                  <c:v>10.3</c:v>
                </c:pt>
                <c:pt idx="189">
                  <c:v>16.399999999999999</c:v>
                </c:pt>
                <c:pt idx="190">
                  <c:v>16.399999999999999</c:v>
                </c:pt>
                <c:pt idx="191">
                  <c:v>14.4</c:v>
                </c:pt>
                <c:pt idx="192">
                  <c:v>5.5</c:v>
                </c:pt>
                <c:pt idx="193">
                  <c:v>14.4</c:v>
                </c:pt>
                <c:pt idx="194">
                  <c:v>14.3</c:v>
                </c:pt>
                <c:pt idx="195">
                  <c:v>16.3</c:v>
                </c:pt>
                <c:pt idx="196">
                  <c:v>10.1</c:v>
                </c:pt>
                <c:pt idx="197">
                  <c:v>7.1</c:v>
                </c:pt>
                <c:pt idx="198">
                  <c:v>5.4</c:v>
                </c:pt>
                <c:pt idx="199">
                  <c:v>16.3</c:v>
                </c:pt>
                <c:pt idx="200">
                  <c:v>10.1</c:v>
                </c:pt>
                <c:pt idx="201">
                  <c:v>18.7</c:v>
                </c:pt>
                <c:pt idx="202">
                  <c:v>7.1</c:v>
                </c:pt>
                <c:pt idx="203">
                  <c:v>6.9</c:v>
                </c:pt>
                <c:pt idx="204">
                  <c:v>16.3</c:v>
                </c:pt>
                <c:pt idx="205">
                  <c:v>12.4</c:v>
                </c:pt>
                <c:pt idx="206">
                  <c:v>5.4</c:v>
                </c:pt>
                <c:pt idx="207">
                  <c:v>6.8</c:v>
                </c:pt>
                <c:pt idx="208">
                  <c:v>16.3</c:v>
                </c:pt>
                <c:pt idx="209">
                  <c:v>16.3</c:v>
                </c:pt>
                <c:pt idx="210">
                  <c:v>9.9</c:v>
                </c:pt>
                <c:pt idx="211">
                  <c:v>18.7</c:v>
                </c:pt>
                <c:pt idx="212">
                  <c:v>12.4</c:v>
                </c:pt>
                <c:pt idx="213">
                  <c:v>5.4</c:v>
                </c:pt>
                <c:pt idx="214">
                  <c:v>14.3</c:v>
                </c:pt>
                <c:pt idx="215">
                  <c:v>18.7</c:v>
                </c:pt>
                <c:pt idx="216">
                  <c:v>18.600000000000001</c:v>
                </c:pt>
                <c:pt idx="217">
                  <c:v>9.8000000000000007</c:v>
                </c:pt>
                <c:pt idx="218">
                  <c:v>6.8</c:v>
                </c:pt>
                <c:pt idx="219">
                  <c:v>6.8</c:v>
                </c:pt>
                <c:pt idx="220">
                  <c:v>9.8000000000000007</c:v>
                </c:pt>
                <c:pt idx="221">
                  <c:v>16.2</c:v>
                </c:pt>
                <c:pt idx="222">
                  <c:v>6.8</c:v>
                </c:pt>
                <c:pt idx="223">
                  <c:v>12.1</c:v>
                </c:pt>
                <c:pt idx="224">
                  <c:v>5.3</c:v>
                </c:pt>
                <c:pt idx="225">
                  <c:v>18.600000000000001</c:v>
                </c:pt>
                <c:pt idx="226">
                  <c:v>18.600000000000001</c:v>
                </c:pt>
                <c:pt idx="227">
                  <c:v>12.1</c:v>
                </c:pt>
                <c:pt idx="228">
                  <c:v>6.7</c:v>
                </c:pt>
                <c:pt idx="229">
                  <c:v>18.5</c:v>
                </c:pt>
                <c:pt idx="230">
                  <c:v>14.3</c:v>
                </c:pt>
                <c:pt idx="231">
                  <c:v>5.3</c:v>
                </c:pt>
                <c:pt idx="232">
                  <c:v>5.2</c:v>
                </c:pt>
                <c:pt idx="233">
                  <c:v>18.5</c:v>
                </c:pt>
                <c:pt idx="234">
                  <c:v>9.8000000000000007</c:v>
                </c:pt>
                <c:pt idx="235">
                  <c:v>18.399999999999999</c:v>
                </c:pt>
                <c:pt idx="236">
                  <c:v>9.8000000000000007</c:v>
                </c:pt>
                <c:pt idx="237">
                  <c:v>18.399999999999999</c:v>
                </c:pt>
                <c:pt idx="238">
                  <c:v>14.2</c:v>
                </c:pt>
                <c:pt idx="239">
                  <c:v>16.100000000000001</c:v>
                </c:pt>
                <c:pt idx="240">
                  <c:v>5.2</c:v>
                </c:pt>
                <c:pt idx="241">
                  <c:v>18.399999999999999</c:v>
                </c:pt>
                <c:pt idx="242">
                  <c:v>14.2</c:v>
                </c:pt>
                <c:pt idx="243">
                  <c:v>9.8000000000000007</c:v>
                </c:pt>
                <c:pt idx="244">
                  <c:v>9.6</c:v>
                </c:pt>
                <c:pt idx="245">
                  <c:v>5.2</c:v>
                </c:pt>
                <c:pt idx="246">
                  <c:v>12</c:v>
                </c:pt>
                <c:pt idx="247">
                  <c:v>18.399999999999999</c:v>
                </c:pt>
                <c:pt idx="248">
                  <c:v>6.7</c:v>
                </c:pt>
                <c:pt idx="249">
                  <c:v>9.4</c:v>
                </c:pt>
                <c:pt idx="250">
                  <c:v>16.100000000000001</c:v>
                </c:pt>
                <c:pt idx="251">
                  <c:v>16</c:v>
                </c:pt>
                <c:pt idx="252">
                  <c:v>9.4</c:v>
                </c:pt>
                <c:pt idx="253">
                  <c:v>12</c:v>
                </c:pt>
                <c:pt idx="254">
                  <c:v>12</c:v>
                </c:pt>
                <c:pt idx="255">
                  <c:v>14.2</c:v>
                </c:pt>
                <c:pt idx="256">
                  <c:v>15.9</c:v>
                </c:pt>
                <c:pt idx="257">
                  <c:v>14.2</c:v>
                </c:pt>
                <c:pt idx="258">
                  <c:v>15.9</c:v>
                </c:pt>
                <c:pt idx="259">
                  <c:v>18.3</c:v>
                </c:pt>
                <c:pt idx="260">
                  <c:v>18.2</c:v>
                </c:pt>
                <c:pt idx="261">
                  <c:v>6.5</c:v>
                </c:pt>
                <c:pt idx="262">
                  <c:v>18.2</c:v>
                </c:pt>
                <c:pt idx="263">
                  <c:v>6.5</c:v>
                </c:pt>
                <c:pt idx="264">
                  <c:v>18</c:v>
                </c:pt>
                <c:pt idx="265">
                  <c:v>5.2</c:v>
                </c:pt>
                <c:pt idx="266">
                  <c:v>18</c:v>
                </c:pt>
                <c:pt idx="267">
                  <c:v>13.9</c:v>
                </c:pt>
                <c:pt idx="268">
                  <c:v>9.4</c:v>
                </c:pt>
                <c:pt idx="269">
                  <c:v>13.9</c:v>
                </c:pt>
                <c:pt idx="270">
                  <c:v>9.3000000000000007</c:v>
                </c:pt>
                <c:pt idx="271">
                  <c:v>11.9</c:v>
                </c:pt>
                <c:pt idx="272">
                  <c:v>13.8</c:v>
                </c:pt>
                <c:pt idx="273">
                  <c:v>11.8</c:v>
                </c:pt>
                <c:pt idx="274">
                  <c:v>6.5</c:v>
                </c:pt>
                <c:pt idx="275">
                  <c:v>6.5</c:v>
                </c:pt>
                <c:pt idx="276">
                  <c:v>5.2</c:v>
                </c:pt>
                <c:pt idx="277">
                  <c:v>18</c:v>
                </c:pt>
                <c:pt idx="278">
                  <c:v>13.8</c:v>
                </c:pt>
                <c:pt idx="279">
                  <c:v>11.8</c:v>
                </c:pt>
              </c:numCache>
            </c:numRef>
          </c:xVal>
          <c:yVal>
            <c:numRef>
              <c:f>'5c_Additional Insights'!$B$2:$B$281</c:f>
              <c:numCache>
                <c:formatCode>General</c:formatCode>
                <c:ptCount val="280"/>
                <c:pt idx="0">
                  <c:v>1.08</c:v>
                </c:pt>
                <c:pt idx="1">
                  <c:v>0.65</c:v>
                </c:pt>
                <c:pt idx="2">
                  <c:v>1.31</c:v>
                </c:pt>
                <c:pt idx="3">
                  <c:v>1.1399999999999999</c:v>
                </c:pt>
                <c:pt idx="4">
                  <c:v>0.89</c:v>
                </c:pt>
                <c:pt idx="5">
                  <c:v>1.17</c:v>
                </c:pt>
                <c:pt idx="6">
                  <c:v>0.76</c:v>
                </c:pt>
                <c:pt idx="7">
                  <c:v>0.85</c:v>
                </c:pt>
                <c:pt idx="8">
                  <c:v>1.42</c:v>
                </c:pt>
                <c:pt idx="9">
                  <c:v>0.79</c:v>
                </c:pt>
                <c:pt idx="10">
                  <c:v>0.97</c:v>
                </c:pt>
                <c:pt idx="11">
                  <c:v>1.39</c:v>
                </c:pt>
                <c:pt idx="12">
                  <c:v>1.21</c:v>
                </c:pt>
                <c:pt idx="13">
                  <c:v>0.56000000000000005</c:v>
                </c:pt>
                <c:pt idx="14">
                  <c:v>0.65</c:v>
                </c:pt>
                <c:pt idx="15">
                  <c:v>0.51</c:v>
                </c:pt>
                <c:pt idx="16">
                  <c:v>1.1299999999999999</c:v>
                </c:pt>
                <c:pt idx="17">
                  <c:v>0.95</c:v>
                </c:pt>
                <c:pt idx="18">
                  <c:v>0.63</c:v>
                </c:pt>
                <c:pt idx="19">
                  <c:v>1.46</c:v>
                </c:pt>
                <c:pt idx="20">
                  <c:v>1.03</c:v>
                </c:pt>
                <c:pt idx="21">
                  <c:v>0.74</c:v>
                </c:pt>
                <c:pt idx="22">
                  <c:v>1</c:v>
                </c:pt>
                <c:pt idx="23">
                  <c:v>1.18</c:v>
                </c:pt>
                <c:pt idx="24">
                  <c:v>0.57999999999999996</c:v>
                </c:pt>
                <c:pt idx="25">
                  <c:v>0.77</c:v>
                </c:pt>
                <c:pt idx="26">
                  <c:v>1.31</c:v>
                </c:pt>
                <c:pt idx="27">
                  <c:v>0.96</c:v>
                </c:pt>
                <c:pt idx="28">
                  <c:v>1.05</c:v>
                </c:pt>
                <c:pt idx="29">
                  <c:v>0.93</c:v>
                </c:pt>
                <c:pt idx="30">
                  <c:v>0.54</c:v>
                </c:pt>
                <c:pt idx="31">
                  <c:v>0.67</c:v>
                </c:pt>
                <c:pt idx="32">
                  <c:v>0.95</c:v>
                </c:pt>
                <c:pt idx="33">
                  <c:v>0.71</c:v>
                </c:pt>
                <c:pt idx="34">
                  <c:v>0.55000000000000004</c:v>
                </c:pt>
                <c:pt idx="35">
                  <c:v>1.34</c:v>
                </c:pt>
                <c:pt idx="36">
                  <c:v>1.48</c:v>
                </c:pt>
                <c:pt idx="37">
                  <c:v>1.29</c:v>
                </c:pt>
                <c:pt idx="38">
                  <c:v>1.35</c:v>
                </c:pt>
                <c:pt idx="39">
                  <c:v>0.74</c:v>
                </c:pt>
                <c:pt idx="40">
                  <c:v>1.46</c:v>
                </c:pt>
                <c:pt idx="41">
                  <c:v>0.7</c:v>
                </c:pt>
                <c:pt idx="42">
                  <c:v>1.45</c:v>
                </c:pt>
                <c:pt idx="43">
                  <c:v>1.49</c:v>
                </c:pt>
                <c:pt idx="44">
                  <c:v>1.21</c:v>
                </c:pt>
                <c:pt idx="45">
                  <c:v>1.48</c:v>
                </c:pt>
                <c:pt idx="46">
                  <c:v>1.07</c:v>
                </c:pt>
                <c:pt idx="47">
                  <c:v>0.76</c:v>
                </c:pt>
                <c:pt idx="48">
                  <c:v>0.94</c:v>
                </c:pt>
                <c:pt idx="49">
                  <c:v>1.0900000000000001</c:v>
                </c:pt>
                <c:pt idx="50">
                  <c:v>0.56999999999999995</c:v>
                </c:pt>
                <c:pt idx="51">
                  <c:v>1.1200000000000001</c:v>
                </c:pt>
                <c:pt idx="52">
                  <c:v>1.48</c:v>
                </c:pt>
                <c:pt idx="53">
                  <c:v>0.69</c:v>
                </c:pt>
                <c:pt idx="54">
                  <c:v>1.29</c:v>
                </c:pt>
                <c:pt idx="55">
                  <c:v>1.41</c:v>
                </c:pt>
                <c:pt idx="56">
                  <c:v>1.44</c:v>
                </c:pt>
                <c:pt idx="57">
                  <c:v>1.46</c:v>
                </c:pt>
                <c:pt idx="58">
                  <c:v>1.02</c:v>
                </c:pt>
                <c:pt idx="59">
                  <c:v>1.48</c:v>
                </c:pt>
                <c:pt idx="60">
                  <c:v>1.26</c:v>
                </c:pt>
                <c:pt idx="61">
                  <c:v>0.66</c:v>
                </c:pt>
                <c:pt idx="62">
                  <c:v>0.98</c:v>
                </c:pt>
                <c:pt idx="63">
                  <c:v>1.22</c:v>
                </c:pt>
                <c:pt idx="64">
                  <c:v>0.75</c:v>
                </c:pt>
                <c:pt idx="65">
                  <c:v>1.1399999999999999</c:v>
                </c:pt>
                <c:pt idx="66">
                  <c:v>1.17</c:v>
                </c:pt>
                <c:pt idx="67">
                  <c:v>0.66</c:v>
                </c:pt>
                <c:pt idx="68">
                  <c:v>1.07</c:v>
                </c:pt>
                <c:pt idx="69">
                  <c:v>1.27</c:v>
                </c:pt>
                <c:pt idx="70">
                  <c:v>1</c:v>
                </c:pt>
                <c:pt idx="71">
                  <c:v>0.51</c:v>
                </c:pt>
                <c:pt idx="72">
                  <c:v>0.51</c:v>
                </c:pt>
                <c:pt idx="73">
                  <c:v>0.86</c:v>
                </c:pt>
                <c:pt idx="74">
                  <c:v>1.43</c:v>
                </c:pt>
                <c:pt idx="75">
                  <c:v>0.73</c:v>
                </c:pt>
                <c:pt idx="76">
                  <c:v>1.1299999999999999</c:v>
                </c:pt>
                <c:pt idx="77">
                  <c:v>0.72</c:v>
                </c:pt>
                <c:pt idx="78">
                  <c:v>0.82</c:v>
                </c:pt>
                <c:pt idx="79">
                  <c:v>1.35</c:v>
                </c:pt>
                <c:pt idx="80">
                  <c:v>1.23</c:v>
                </c:pt>
                <c:pt idx="81">
                  <c:v>0.6</c:v>
                </c:pt>
                <c:pt idx="82">
                  <c:v>0.93</c:v>
                </c:pt>
                <c:pt idx="83">
                  <c:v>0.53</c:v>
                </c:pt>
                <c:pt idx="84">
                  <c:v>0.98</c:v>
                </c:pt>
                <c:pt idx="85">
                  <c:v>1.1599999999999999</c:v>
                </c:pt>
                <c:pt idx="86">
                  <c:v>0.62</c:v>
                </c:pt>
                <c:pt idx="87">
                  <c:v>0.79</c:v>
                </c:pt>
                <c:pt idx="88">
                  <c:v>0.9</c:v>
                </c:pt>
                <c:pt idx="89">
                  <c:v>1.42</c:v>
                </c:pt>
                <c:pt idx="90">
                  <c:v>1.49</c:v>
                </c:pt>
                <c:pt idx="91">
                  <c:v>0.54</c:v>
                </c:pt>
                <c:pt idx="92">
                  <c:v>1.26</c:v>
                </c:pt>
                <c:pt idx="93">
                  <c:v>0.87</c:v>
                </c:pt>
                <c:pt idx="94">
                  <c:v>0.89</c:v>
                </c:pt>
                <c:pt idx="95">
                  <c:v>1.25</c:v>
                </c:pt>
                <c:pt idx="96">
                  <c:v>1.42</c:v>
                </c:pt>
                <c:pt idx="97">
                  <c:v>1.45</c:v>
                </c:pt>
                <c:pt idx="98">
                  <c:v>1.08</c:v>
                </c:pt>
                <c:pt idx="99">
                  <c:v>0.86</c:v>
                </c:pt>
                <c:pt idx="100">
                  <c:v>1.29</c:v>
                </c:pt>
                <c:pt idx="101">
                  <c:v>0.75</c:v>
                </c:pt>
                <c:pt idx="102">
                  <c:v>1.06</c:v>
                </c:pt>
                <c:pt idx="103">
                  <c:v>0.86</c:v>
                </c:pt>
                <c:pt idx="104">
                  <c:v>1.1599999999999999</c:v>
                </c:pt>
                <c:pt idx="105">
                  <c:v>0.74</c:v>
                </c:pt>
                <c:pt idx="106">
                  <c:v>0.69</c:v>
                </c:pt>
                <c:pt idx="107">
                  <c:v>1.42</c:v>
                </c:pt>
                <c:pt idx="108">
                  <c:v>0.6</c:v>
                </c:pt>
                <c:pt idx="109">
                  <c:v>1.01</c:v>
                </c:pt>
                <c:pt idx="110">
                  <c:v>0.72</c:v>
                </c:pt>
                <c:pt idx="111">
                  <c:v>0.54</c:v>
                </c:pt>
                <c:pt idx="112">
                  <c:v>0.54</c:v>
                </c:pt>
                <c:pt idx="113">
                  <c:v>0.68</c:v>
                </c:pt>
                <c:pt idx="114">
                  <c:v>1.37</c:v>
                </c:pt>
                <c:pt idx="115">
                  <c:v>0.78</c:v>
                </c:pt>
                <c:pt idx="116">
                  <c:v>1.45</c:v>
                </c:pt>
                <c:pt idx="117">
                  <c:v>1.08</c:v>
                </c:pt>
                <c:pt idx="118">
                  <c:v>0.94</c:v>
                </c:pt>
                <c:pt idx="119">
                  <c:v>1.08</c:v>
                </c:pt>
                <c:pt idx="120">
                  <c:v>1.02</c:v>
                </c:pt>
                <c:pt idx="121">
                  <c:v>1.26</c:v>
                </c:pt>
                <c:pt idx="122">
                  <c:v>0.78</c:v>
                </c:pt>
                <c:pt idx="123">
                  <c:v>0.85</c:v>
                </c:pt>
                <c:pt idx="124">
                  <c:v>1.39</c:v>
                </c:pt>
                <c:pt idx="125">
                  <c:v>1.45</c:v>
                </c:pt>
                <c:pt idx="126">
                  <c:v>1.39</c:v>
                </c:pt>
                <c:pt idx="127">
                  <c:v>0.92</c:v>
                </c:pt>
                <c:pt idx="128">
                  <c:v>1.28</c:v>
                </c:pt>
                <c:pt idx="129">
                  <c:v>0.98</c:v>
                </c:pt>
                <c:pt idx="130">
                  <c:v>1</c:v>
                </c:pt>
                <c:pt idx="131">
                  <c:v>0.7</c:v>
                </c:pt>
                <c:pt idx="132">
                  <c:v>1.0900000000000001</c:v>
                </c:pt>
                <c:pt idx="133">
                  <c:v>0.69</c:v>
                </c:pt>
                <c:pt idx="134">
                  <c:v>0.83</c:v>
                </c:pt>
                <c:pt idx="135">
                  <c:v>1.36</c:v>
                </c:pt>
                <c:pt idx="136">
                  <c:v>0.71</c:v>
                </c:pt>
                <c:pt idx="137">
                  <c:v>0.56999999999999995</c:v>
                </c:pt>
                <c:pt idx="138">
                  <c:v>0.56999999999999995</c:v>
                </c:pt>
                <c:pt idx="139">
                  <c:v>1.44</c:v>
                </c:pt>
                <c:pt idx="140">
                  <c:v>1.01</c:v>
                </c:pt>
                <c:pt idx="141">
                  <c:v>0.91</c:v>
                </c:pt>
                <c:pt idx="142">
                  <c:v>1.31</c:v>
                </c:pt>
                <c:pt idx="143">
                  <c:v>1.34</c:v>
                </c:pt>
                <c:pt idx="144">
                  <c:v>0.83</c:v>
                </c:pt>
                <c:pt idx="145">
                  <c:v>1.19</c:v>
                </c:pt>
                <c:pt idx="146">
                  <c:v>1.27</c:v>
                </c:pt>
                <c:pt idx="147">
                  <c:v>1.1499999999999999</c:v>
                </c:pt>
                <c:pt idx="148">
                  <c:v>0.65</c:v>
                </c:pt>
                <c:pt idx="149">
                  <c:v>1.38</c:v>
                </c:pt>
                <c:pt idx="150">
                  <c:v>1.04</c:v>
                </c:pt>
                <c:pt idx="151">
                  <c:v>0.78</c:v>
                </c:pt>
                <c:pt idx="152">
                  <c:v>0.93</c:v>
                </c:pt>
                <c:pt idx="153">
                  <c:v>0.54</c:v>
                </c:pt>
                <c:pt idx="154">
                  <c:v>0.63</c:v>
                </c:pt>
                <c:pt idx="155">
                  <c:v>1.27</c:v>
                </c:pt>
                <c:pt idx="156">
                  <c:v>0.5</c:v>
                </c:pt>
                <c:pt idx="157">
                  <c:v>0.92</c:v>
                </c:pt>
                <c:pt idx="158">
                  <c:v>1.02</c:v>
                </c:pt>
                <c:pt idx="159">
                  <c:v>0.55000000000000004</c:v>
                </c:pt>
                <c:pt idx="160">
                  <c:v>1.47</c:v>
                </c:pt>
                <c:pt idx="161">
                  <c:v>0.73</c:v>
                </c:pt>
                <c:pt idx="162">
                  <c:v>0.8</c:v>
                </c:pt>
                <c:pt idx="163">
                  <c:v>0.8</c:v>
                </c:pt>
                <c:pt idx="164">
                  <c:v>0.73</c:v>
                </c:pt>
                <c:pt idx="165">
                  <c:v>0.5</c:v>
                </c:pt>
                <c:pt idx="166">
                  <c:v>1.23</c:v>
                </c:pt>
                <c:pt idx="167">
                  <c:v>1.47</c:v>
                </c:pt>
                <c:pt idx="168">
                  <c:v>0.72</c:v>
                </c:pt>
                <c:pt idx="169">
                  <c:v>1.1599999999999999</c:v>
                </c:pt>
                <c:pt idx="170">
                  <c:v>1.24</c:v>
                </c:pt>
                <c:pt idx="171">
                  <c:v>1.35</c:v>
                </c:pt>
                <c:pt idx="172">
                  <c:v>0.92</c:v>
                </c:pt>
                <c:pt idx="173">
                  <c:v>0.8</c:v>
                </c:pt>
                <c:pt idx="174">
                  <c:v>0.83</c:v>
                </c:pt>
                <c:pt idx="175">
                  <c:v>1.21</c:v>
                </c:pt>
                <c:pt idx="176">
                  <c:v>1.32</c:v>
                </c:pt>
                <c:pt idx="177">
                  <c:v>0.68</c:v>
                </c:pt>
                <c:pt idx="178">
                  <c:v>0.87</c:v>
                </c:pt>
                <c:pt idx="179">
                  <c:v>1.4</c:v>
                </c:pt>
                <c:pt idx="180">
                  <c:v>1.31</c:v>
                </c:pt>
                <c:pt idx="181">
                  <c:v>1.48</c:v>
                </c:pt>
                <c:pt idx="182">
                  <c:v>1.25</c:v>
                </c:pt>
                <c:pt idx="183">
                  <c:v>0.89</c:v>
                </c:pt>
                <c:pt idx="184">
                  <c:v>1.0900000000000001</c:v>
                </c:pt>
                <c:pt idx="185">
                  <c:v>1.1599999999999999</c:v>
                </c:pt>
                <c:pt idx="186">
                  <c:v>0.57999999999999996</c:v>
                </c:pt>
                <c:pt idx="187">
                  <c:v>1.04</c:v>
                </c:pt>
                <c:pt idx="188">
                  <c:v>1.21</c:v>
                </c:pt>
                <c:pt idx="189">
                  <c:v>0.67</c:v>
                </c:pt>
                <c:pt idx="190">
                  <c:v>1.28</c:v>
                </c:pt>
                <c:pt idx="191">
                  <c:v>1.08</c:v>
                </c:pt>
                <c:pt idx="192">
                  <c:v>1.45</c:v>
                </c:pt>
                <c:pt idx="193">
                  <c:v>0.54</c:v>
                </c:pt>
                <c:pt idx="194">
                  <c:v>0.77</c:v>
                </c:pt>
                <c:pt idx="195">
                  <c:v>1.1000000000000001</c:v>
                </c:pt>
                <c:pt idx="196">
                  <c:v>0.8</c:v>
                </c:pt>
                <c:pt idx="197">
                  <c:v>1.21</c:v>
                </c:pt>
                <c:pt idx="198">
                  <c:v>1.26</c:v>
                </c:pt>
                <c:pt idx="199">
                  <c:v>0.6</c:v>
                </c:pt>
                <c:pt idx="200">
                  <c:v>1.01</c:v>
                </c:pt>
                <c:pt idx="201">
                  <c:v>1.01</c:v>
                </c:pt>
                <c:pt idx="202">
                  <c:v>0.87</c:v>
                </c:pt>
                <c:pt idx="203">
                  <c:v>1.43</c:v>
                </c:pt>
                <c:pt idx="204">
                  <c:v>1.33</c:v>
                </c:pt>
                <c:pt idx="205">
                  <c:v>1.2</c:v>
                </c:pt>
                <c:pt idx="206">
                  <c:v>1.21</c:v>
                </c:pt>
                <c:pt idx="207">
                  <c:v>0.96</c:v>
                </c:pt>
                <c:pt idx="208">
                  <c:v>1.42</c:v>
                </c:pt>
                <c:pt idx="209">
                  <c:v>1.19</c:v>
                </c:pt>
                <c:pt idx="210">
                  <c:v>1.23</c:v>
                </c:pt>
                <c:pt idx="211">
                  <c:v>1.36</c:v>
                </c:pt>
                <c:pt idx="212">
                  <c:v>0.77</c:v>
                </c:pt>
                <c:pt idx="213">
                  <c:v>1.31</c:v>
                </c:pt>
                <c:pt idx="214">
                  <c:v>0.7</c:v>
                </c:pt>
                <c:pt idx="215">
                  <c:v>0.85</c:v>
                </c:pt>
                <c:pt idx="216">
                  <c:v>0.84</c:v>
                </c:pt>
                <c:pt idx="217">
                  <c:v>1.48</c:v>
                </c:pt>
                <c:pt idx="218">
                  <c:v>1.36</c:v>
                </c:pt>
                <c:pt idx="219">
                  <c:v>1.2</c:v>
                </c:pt>
                <c:pt idx="220">
                  <c:v>1.23</c:v>
                </c:pt>
                <c:pt idx="221">
                  <c:v>1.06</c:v>
                </c:pt>
                <c:pt idx="222">
                  <c:v>1.45</c:v>
                </c:pt>
                <c:pt idx="223">
                  <c:v>1</c:v>
                </c:pt>
                <c:pt idx="224">
                  <c:v>0.88</c:v>
                </c:pt>
                <c:pt idx="225">
                  <c:v>0.66</c:v>
                </c:pt>
                <c:pt idx="226">
                  <c:v>1.29</c:v>
                </c:pt>
                <c:pt idx="227">
                  <c:v>1.23</c:v>
                </c:pt>
                <c:pt idx="228">
                  <c:v>0.88</c:v>
                </c:pt>
                <c:pt idx="229">
                  <c:v>0.53</c:v>
                </c:pt>
                <c:pt idx="230">
                  <c:v>1.34</c:v>
                </c:pt>
                <c:pt idx="231">
                  <c:v>0.51</c:v>
                </c:pt>
                <c:pt idx="232">
                  <c:v>1.2</c:v>
                </c:pt>
                <c:pt idx="233">
                  <c:v>1.47</c:v>
                </c:pt>
                <c:pt idx="234">
                  <c:v>0.94</c:v>
                </c:pt>
                <c:pt idx="235">
                  <c:v>0.73</c:v>
                </c:pt>
                <c:pt idx="236">
                  <c:v>1.2</c:v>
                </c:pt>
                <c:pt idx="237">
                  <c:v>1.32</c:v>
                </c:pt>
                <c:pt idx="238">
                  <c:v>1.05</c:v>
                </c:pt>
                <c:pt idx="239">
                  <c:v>1.47</c:v>
                </c:pt>
                <c:pt idx="240">
                  <c:v>0.55000000000000004</c:v>
                </c:pt>
                <c:pt idx="241">
                  <c:v>1</c:v>
                </c:pt>
                <c:pt idx="242">
                  <c:v>1.22</c:v>
                </c:pt>
                <c:pt idx="243">
                  <c:v>1.36</c:v>
                </c:pt>
                <c:pt idx="244">
                  <c:v>0.68</c:v>
                </c:pt>
                <c:pt idx="245">
                  <c:v>1.3</c:v>
                </c:pt>
                <c:pt idx="246">
                  <c:v>1.05</c:v>
                </c:pt>
                <c:pt idx="247">
                  <c:v>0.9</c:v>
                </c:pt>
                <c:pt idx="248">
                  <c:v>0.63</c:v>
                </c:pt>
                <c:pt idx="249">
                  <c:v>1.37</c:v>
                </c:pt>
                <c:pt idx="250">
                  <c:v>0.66</c:v>
                </c:pt>
                <c:pt idx="251">
                  <c:v>0.81</c:v>
                </c:pt>
                <c:pt idx="252">
                  <c:v>0.79</c:v>
                </c:pt>
                <c:pt idx="253">
                  <c:v>1.37</c:v>
                </c:pt>
                <c:pt idx="254">
                  <c:v>1.17</c:v>
                </c:pt>
                <c:pt idx="255">
                  <c:v>1.3</c:v>
                </c:pt>
                <c:pt idx="256">
                  <c:v>0.75</c:v>
                </c:pt>
                <c:pt idx="257">
                  <c:v>1.1200000000000001</c:v>
                </c:pt>
                <c:pt idx="258">
                  <c:v>1.07</c:v>
                </c:pt>
                <c:pt idx="259">
                  <c:v>1.33</c:v>
                </c:pt>
                <c:pt idx="260">
                  <c:v>1.41</c:v>
                </c:pt>
                <c:pt idx="261">
                  <c:v>0.51</c:v>
                </c:pt>
                <c:pt idx="262">
                  <c:v>1.17</c:v>
                </c:pt>
                <c:pt idx="263">
                  <c:v>0.55000000000000004</c:v>
                </c:pt>
                <c:pt idx="264">
                  <c:v>1.05</c:v>
                </c:pt>
                <c:pt idx="265">
                  <c:v>0.79</c:v>
                </c:pt>
                <c:pt idx="266">
                  <c:v>0.81</c:v>
                </c:pt>
                <c:pt idx="267">
                  <c:v>0.85</c:v>
                </c:pt>
                <c:pt idx="268">
                  <c:v>1.1200000000000001</c:v>
                </c:pt>
                <c:pt idx="269">
                  <c:v>0.83</c:v>
                </c:pt>
                <c:pt idx="270">
                  <c:v>1.23</c:v>
                </c:pt>
                <c:pt idx="271">
                  <c:v>0.9</c:v>
                </c:pt>
                <c:pt idx="272">
                  <c:v>0.56999999999999995</c:v>
                </c:pt>
                <c:pt idx="273">
                  <c:v>1.28</c:v>
                </c:pt>
                <c:pt idx="274">
                  <c:v>0.79</c:v>
                </c:pt>
                <c:pt idx="275">
                  <c:v>0.93</c:v>
                </c:pt>
                <c:pt idx="276">
                  <c:v>1.19</c:v>
                </c:pt>
                <c:pt idx="277">
                  <c:v>0.83</c:v>
                </c:pt>
                <c:pt idx="278">
                  <c:v>0.56000000000000005</c:v>
                </c:pt>
                <c:pt idx="279">
                  <c:v>0.87</c:v>
                </c:pt>
              </c:numCache>
            </c:numRef>
          </c:yVal>
          <c:smooth val="0"/>
          <c:extLst>
            <c:ext xmlns:c16="http://schemas.microsoft.com/office/drawing/2014/chart" uri="{C3380CC4-5D6E-409C-BE32-E72D297353CC}">
              <c16:uniqueId val="{00000000-B02B-49E0-8FE6-C9B1EABE4356}"/>
            </c:ext>
          </c:extLst>
        </c:ser>
        <c:dLbls>
          <c:showLegendKey val="0"/>
          <c:showVal val="0"/>
          <c:showCatName val="0"/>
          <c:showSerName val="0"/>
          <c:showPercent val="0"/>
          <c:showBubbleSize val="0"/>
        </c:dLbls>
        <c:axId val="1669466640"/>
        <c:axId val="1669465200"/>
      </c:scatterChart>
      <c:valAx>
        <c:axId val="1669466640"/>
        <c:scaling>
          <c:orientation val="minMax"/>
          <c:max val="21"/>
          <c:min val="4"/>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Training Hours Per Week</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9465200"/>
        <c:crosses val="autoZero"/>
        <c:crossBetween val="midCat"/>
      </c:valAx>
      <c:valAx>
        <c:axId val="166946520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Fatigue Index</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946664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Muscle Strength Score by Age</a:t>
            </a:r>
          </a:p>
        </c:rich>
      </c:tx>
      <c:layout>
        <c:manualLayout>
          <c:xMode val="edge"/>
          <c:yMode val="edge"/>
          <c:x val="0.11313188976377953"/>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'5c_Additional Insights'!$E$1</c:f>
              <c:strCache>
                <c:ptCount val="1"/>
                <c:pt idx="0">
                  <c:v>Muscle Strength Score</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accent1"/>
                </a:solidFill>
                <a:prstDash val="sysDash"/>
              </a:ln>
              <a:effectLst/>
            </c:spPr>
            <c:trendlineType val="linear"/>
            <c:dispRSqr val="0"/>
            <c:dispEq val="0"/>
          </c:trendline>
          <c:trendline>
            <c:spPr>
              <a:ln w="19050" cap="rnd">
                <a:solidFill>
                  <a:schemeClr val="accent1"/>
                </a:solidFill>
                <a:prstDash val="sysDash"/>
              </a:ln>
              <a:effectLst/>
            </c:spPr>
            <c:trendlineType val="linear"/>
            <c:dispRSqr val="1"/>
            <c:dispEq val="1"/>
            <c:trendlineLbl>
              <c:layout>
                <c:manualLayout>
                  <c:x val="8.3795713035870523E-2"/>
                  <c:y val="-0.2976877369495479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'5c_Additional Insights'!$D$2:$D$281</c:f>
              <c:numCache>
                <c:formatCode>General</c:formatCode>
                <c:ptCount val="280"/>
                <c:pt idx="0">
                  <c:v>29</c:v>
                </c:pt>
                <c:pt idx="1">
                  <c:v>27</c:v>
                </c:pt>
                <c:pt idx="2">
                  <c:v>24</c:v>
                </c:pt>
                <c:pt idx="3">
                  <c:v>30</c:v>
                </c:pt>
                <c:pt idx="4">
                  <c:v>24</c:v>
                </c:pt>
                <c:pt idx="5">
                  <c:v>34</c:v>
                </c:pt>
                <c:pt idx="6">
                  <c:v>27</c:v>
                </c:pt>
                <c:pt idx="7">
                  <c:v>27</c:v>
                </c:pt>
                <c:pt idx="8">
                  <c:v>21</c:v>
                </c:pt>
                <c:pt idx="9">
                  <c:v>37</c:v>
                </c:pt>
                <c:pt idx="10">
                  <c:v>21</c:v>
                </c:pt>
                <c:pt idx="11">
                  <c:v>39</c:v>
                </c:pt>
                <c:pt idx="12">
                  <c:v>24</c:v>
                </c:pt>
                <c:pt idx="13">
                  <c:v>39</c:v>
                </c:pt>
                <c:pt idx="14">
                  <c:v>18</c:v>
                </c:pt>
                <c:pt idx="15">
                  <c:v>29</c:v>
                </c:pt>
                <c:pt idx="16">
                  <c:v>30</c:v>
                </c:pt>
                <c:pt idx="17">
                  <c:v>27</c:v>
                </c:pt>
                <c:pt idx="18">
                  <c:v>32</c:v>
                </c:pt>
                <c:pt idx="19">
                  <c:v>30</c:v>
                </c:pt>
                <c:pt idx="20">
                  <c:v>39</c:v>
                </c:pt>
                <c:pt idx="21">
                  <c:v>39</c:v>
                </c:pt>
                <c:pt idx="22">
                  <c:v>38</c:v>
                </c:pt>
                <c:pt idx="23">
                  <c:v>39</c:v>
                </c:pt>
                <c:pt idx="24">
                  <c:v>26</c:v>
                </c:pt>
                <c:pt idx="25">
                  <c:v>26</c:v>
                </c:pt>
                <c:pt idx="26">
                  <c:v>32</c:v>
                </c:pt>
                <c:pt idx="27">
                  <c:v>27</c:v>
                </c:pt>
                <c:pt idx="28">
                  <c:v>27</c:v>
                </c:pt>
                <c:pt idx="29">
                  <c:v>25</c:v>
                </c:pt>
                <c:pt idx="30">
                  <c:v>33</c:v>
                </c:pt>
                <c:pt idx="31">
                  <c:v>34</c:v>
                </c:pt>
                <c:pt idx="32">
                  <c:v>22</c:v>
                </c:pt>
                <c:pt idx="33">
                  <c:v>21</c:v>
                </c:pt>
                <c:pt idx="34">
                  <c:v>35</c:v>
                </c:pt>
                <c:pt idx="35">
                  <c:v>36</c:v>
                </c:pt>
                <c:pt idx="36">
                  <c:v>21</c:v>
                </c:pt>
                <c:pt idx="37">
                  <c:v>24</c:v>
                </c:pt>
                <c:pt idx="38">
                  <c:v>27</c:v>
                </c:pt>
                <c:pt idx="39">
                  <c:v>35</c:v>
                </c:pt>
                <c:pt idx="40">
                  <c:v>36</c:v>
                </c:pt>
                <c:pt idx="41">
                  <c:v>21</c:v>
                </c:pt>
                <c:pt idx="42">
                  <c:v>27</c:v>
                </c:pt>
                <c:pt idx="43">
                  <c:v>18</c:v>
                </c:pt>
                <c:pt idx="44">
                  <c:v>35</c:v>
                </c:pt>
                <c:pt idx="45">
                  <c:v>22</c:v>
                </c:pt>
                <c:pt idx="46">
                  <c:v>32</c:v>
                </c:pt>
                <c:pt idx="47">
                  <c:v>34</c:v>
                </c:pt>
                <c:pt idx="48">
                  <c:v>20</c:v>
                </c:pt>
                <c:pt idx="49">
                  <c:v>29</c:v>
                </c:pt>
                <c:pt idx="50">
                  <c:v>19</c:v>
                </c:pt>
                <c:pt idx="51">
                  <c:v>18</c:v>
                </c:pt>
                <c:pt idx="52">
                  <c:v>38</c:v>
                </c:pt>
                <c:pt idx="53">
                  <c:v>34</c:v>
                </c:pt>
                <c:pt idx="54">
                  <c:v>39</c:v>
                </c:pt>
                <c:pt idx="55">
                  <c:v>33</c:v>
                </c:pt>
                <c:pt idx="56">
                  <c:v>22</c:v>
                </c:pt>
                <c:pt idx="57">
                  <c:v>32</c:v>
                </c:pt>
                <c:pt idx="58">
                  <c:v>20</c:v>
                </c:pt>
                <c:pt idx="59">
                  <c:v>24</c:v>
                </c:pt>
                <c:pt idx="60">
                  <c:v>28</c:v>
                </c:pt>
                <c:pt idx="61">
                  <c:v>27</c:v>
                </c:pt>
                <c:pt idx="62">
                  <c:v>26</c:v>
                </c:pt>
                <c:pt idx="63">
                  <c:v>31</c:v>
                </c:pt>
                <c:pt idx="64">
                  <c:v>30</c:v>
                </c:pt>
                <c:pt idx="65">
                  <c:v>19</c:v>
                </c:pt>
                <c:pt idx="66">
                  <c:v>20</c:v>
                </c:pt>
                <c:pt idx="67">
                  <c:v>24</c:v>
                </c:pt>
                <c:pt idx="68">
                  <c:v>38</c:v>
                </c:pt>
                <c:pt idx="69">
                  <c:v>35</c:v>
                </c:pt>
                <c:pt idx="70">
                  <c:v>20</c:v>
                </c:pt>
                <c:pt idx="71">
                  <c:v>27</c:v>
                </c:pt>
                <c:pt idx="72">
                  <c:v>39</c:v>
                </c:pt>
                <c:pt idx="73">
                  <c:v>24</c:v>
                </c:pt>
                <c:pt idx="74">
                  <c:v>26</c:v>
                </c:pt>
                <c:pt idx="75">
                  <c:v>34</c:v>
                </c:pt>
                <c:pt idx="76">
                  <c:v>28</c:v>
                </c:pt>
                <c:pt idx="77">
                  <c:v>24</c:v>
                </c:pt>
                <c:pt idx="78">
                  <c:v>31</c:v>
                </c:pt>
                <c:pt idx="79">
                  <c:v>36</c:v>
                </c:pt>
                <c:pt idx="80">
                  <c:v>21</c:v>
                </c:pt>
                <c:pt idx="81">
                  <c:v>23</c:v>
                </c:pt>
                <c:pt idx="82">
                  <c:v>27</c:v>
                </c:pt>
                <c:pt idx="83">
                  <c:v>24</c:v>
                </c:pt>
                <c:pt idx="84">
                  <c:v>30</c:v>
                </c:pt>
                <c:pt idx="85">
                  <c:v>31</c:v>
                </c:pt>
                <c:pt idx="86">
                  <c:v>21</c:v>
                </c:pt>
                <c:pt idx="87">
                  <c:v>25</c:v>
                </c:pt>
                <c:pt idx="88">
                  <c:v>22</c:v>
                </c:pt>
                <c:pt idx="89">
                  <c:v>18</c:v>
                </c:pt>
                <c:pt idx="90">
                  <c:v>21</c:v>
                </c:pt>
                <c:pt idx="91">
                  <c:v>20</c:v>
                </c:pt>
                <c:pt idx="92">
                  <c:v>26</c:v>
                </c:pt>
                <c:pt idx="93">
                  <c:v>25</c:v>
                </c:pt>
                <c:pt idx="94">
                  <c:v>18</c:v>
                </c:pt>
                <c:pt idx="95">
                  <c:v>23</c:v>
                </c:pt>
                <c:pt idx="96">
                  <c:v>26</c:v>
                </c:pt>
                <c:pt idx="97">
                  <c:v>24</c:v>
                </c:pt>
                <c:pt idx="98">
                  <c:v>21</c:v>
                </c:pt>
                <c:pt idx="99">
                  <c:v>30</c:v>
                </c:pt>
                <c:pt idx="100">
                  <c:v>34</c:v>
                </c:pt>
                <c:pt idx="101">
                  <c:v>19</c:v>
                </c:pt>
                <c:pt idx="102">
                  <c:v>22</c:v>
                </c:pt>
                <c:pt idx="103">
                  <c:v>29</c:v>
                </c:pt>
                <c:pt idx="104">
                  <c:v>38</c:v>
                </c:pt>
                <c:pt idx="105">
                  <c:v>25</c:v>
                </c:pt>
                <c:pt idx="106">
                  <c:v>23</c:v>
                </c:pt>
                <c:pt idx="107">
                  <c:v>25</c:v>
                </c:pt>
                <c:pt idx="108">
                  <c:v>35</c:v>
                </c:pt>
                <c:pt idx="109">
                  <c:v>20</c:v>
                </c:pt>
                <c:pt idx="110">
                  <c:v>39</c:v>
                </c:pt>
                <c:pt idx="111">
                  <c:v>29</c:v>
                </c:pt>
                <c:pt idx="112">
                  <c:v>20</c:v>
                </c:pt>
                <c:pt idx="113">
                  <c:v>39</c:v>
                </c:pt>
                <c:pt idx="114">
                  <c:v>23</c:v>
                </c:pt>
                <c:pt idx="115">
                  <c:v>19</c:v>
                </c:pt>
                <c:pt idx="116">
                  <c:v>29</c:v>
                </c:pt>
                <c:pt idx="117">
                  <c:v>19</c:v>
                </c:pt>
                <c:pt idx="118">
                  <c:v>23</c:v>
                </c:pt>
                <c:pt idx="119">
                  <c:v>34</c:v>
                </c:pt>
                <c:pt idx="120">
                  <c:v>20</c:v>
                </c:pt>
                <c:pt idx="121">
                  <c:v>19</c:v>
                </c:pt>
                <c:pt idx="122">
                  <c:v>37</c:v>
                </c:pt>
                <c:pt idx="123">
                  <c:v>25</c:v>
                </c:pt>
                <c:pt idx="124">
                  <c:v>39</c:v>
                </c:pt>
                <c:pt idx="125">
                  <c:v>29</c:v>
                </c:pt>
                <c:pt idx="126">
                  <c:v>21</c:v>
                </c:pt>
                <c:pt idx="127">
                  <c:v>22</c:v>
                </c:pt>
                <c:pt idx="128">
                  <c:v>30</c:v>
                </c:pt>
                <c:pt idx="129">
                  <c:v>32</c:v>
                </c:pt>
                <c:pt idx="130">
                  <c:v>33</c:v>
                </c:pt>
                <c:pt idx="131">
                  <c:v>27</c:v>
                </c:pt>
                <c:pt idx="132">
                  <c:v>33</c:v>
                </c:pt>
                <c:pt idx="133">
                  <c:v>29</c:v>
                </c:pt>
                <c:pt idx="134">
                  <c:v>34</c:v>
                </c:pt>
                <c:pt idx="135">
                  <c:v>33</c:v>
                </c:pt>
                <c:pt idx="136">
                  <c:v>29</c:v>
                </c:pt>
                <c:pt idx="137">
                  <c:v>25</c:v>
                </c:pt>
                <c:pt idx="138">
                  <c:v>37</c:v>
                </c:pt>
                <c:pt idx="139">
                  <c:v>20</c:v>
                </c:pt>
                <c:pt idx="140">
                  <c:v>33</c:v>
                </c:pt>
                <c:pt idx="141">
                  <c:v>30</c:v>
                </c:pt>
                <c:pt idx="142">
                  <c:v>36</c:v>
                </c:pt>
                <c:pt idx="143">
                  <c:v>25</c:v>
                </c:pt>
                <c:pt idx="144">
                  <c:v>39</c:v>
                </c:pt>
                <c:pt idx="145">
                  <c:v>22</c:v>
                </c:pt>
                <c:pt idx="146">
                  <c:v>37</c:v>
                </c:pt>
                <c:pt idx="147">
                  <c:v>25</c:v>
                </c:pt>
                <c:pt idx="148">
                  <c:v>29</c:v>
                </c:pt>
                <c:pt idx="149">
                  <c:v>18</c:v>
                </c:pt>
                <c:pt idx="150">
                  <c:v>38</c:v>
                </c:pt>
                <c:pt idx="151">
                  <c:v>37</c:v>
                </c:pt>
                <c:pt idx="152">
                  <c:v>23</c:v>
                </c:pt>
                <c:pt idx="153">
                  <c:v>39</c:v>
                </c:pt>
                <c:pt idx="154">
                  <c:v>35</c:v>
                </c:pt>
                <c:pt idx="155">
                  <c:v>25</c:v>
                </c:pt>
                <c:pt idx="156">
                  <c:v>24</c:v>
                </c:pt>
                <c:pt idx="157">
                  <c:v>18</c:v>
                </c:pt>
                <c:pt idx="158">
                  <c:v>38</c:v>
                </c:pt>
                <c:pt idx="159">
                  <c:v>33</c:v>
                </c:pt>
                <c:pt idx="160">
                  <c:v>29</c:v>
                </c:pt>
                <c:pt idx="161">
                  <c:v>23</c:v>
                </c:pt>
                <c:pt idx="162">
                  <c:v>37</c:v>
                </c:pt>
                <c:pt idx="163">
                  <c:v>19</c:v>
                </c:pt>
                <c:pt idx="164">
                  <c:v>31</c:v>
                </c:pt>
                <c:pt idx="165">
                  <c:v>21</c:v>
                </c:pt>
                <c:pt idx="166">
                  <c:v>18</c:v>
                </c:pt>
                <c:pt idx="167">
                  <c:v>35</c:v>
                </c:pt>
                <c:pt idx="168">
                  <c:v>30</c:v>
                </c:pt>
                <c:pt idx="169">
                  <c:v>19</c:v>
                </c:pt>
                <c:pt idx="170">
                  <c:v>26</c:v>
                </c:pt>
                <c:pt idx="171">
                  <c:v>38</c:v>
                </c:pt>
                <c:pt idx="172">
                  <c:v>19</c:v>
                </c:pt>
                <c:pt idx="173">
                  <c:v>26</c:v>
                </c:pt>
                <c:pt idx="174">
                  <c:v>18</c:v>
                </c:pt>
                <c:pt idx="175">
                  <c:v>28</c:v>
                </c:pt>
                <c:pt idx="176">
                  <c:v>20</c:v>
                </c:pt>
                <c:pt idx="177">
                  <c:v>37</c:v>
                </c:pt>
                <c:pt idx="178">
                  <c:v>21</c:v>
                </c:pt>
                <c:pt idx="179">
                  <c:v>35</c:v>
                </c:pt>
                <c:pt idx="180">
                  <c:v>23</c:v>
                </c:pt>
                <c:pt idx="181">
                  <c:v>20</c:v>
                </c:pt>
                <c:pt idx="182">
                  <c:v>39</c:v>
                </c:pt>
                <c:pt idx="183">
                  <c:v>28</c:v>
                </c:pt>
                <c:pt idx="184">
                  <c:v>32</c:v>
                </c:pt>
                <c:pt idx="185">
                  <c:v>39</c:v>
                </c:pt>
                <c:pt idx="186">
                  <c:v>22</c:v>
                </c:pt>
                <c:pt idx="187">
                  <c:v>37</c:v>
                </c:pt>
                <c:pt idx="188">
                  <c:v>27</c:v>
                </c:pt>
                <c:pt idx="189">
                  <c:v>29</c:v>
                </c:pt>
                <c:pt idx="190">
                  <c:v>32</c:v>
                </c:pt>
                <c:pt idx="191">
                  <c:v>34</c:v>
                </c:pt>
                <c:pt idx="192">
                  <c:v>27</c:v>
                </c:pt>
                <c:pt idx="193">
                  <c:v>23</c:v>
                </c:pt>
                <c:pt idx="194">
                  <c:v>35</c:v>
                </c:pt>
                <c:pt idx="195">
                  <c:v>30</c:v>
                </c:pt>
                <c:pt idx="196">
                  <c:v>20</c:v>
                </c:pt>
                <c:pt idx="197">
                  <c:v>27</c:v>
                </c:pt>
                <c:pt idx="198">
                  <c:v>31</c:v>
                </c:pt>
                <c:pt idx="199">
                  <c:v>23</c:v>
                </c:pt>
                <c:pt idx="200">
                  <c:v>20</c:v>
                </c:pt>
                <c:pt idx="201">
                  <c:v>33</c:v>
                </c:pt>
                <c:pt idx="202">
                  <c:v>24</c:v>
                </c:pt>
                <c:pt idx="203">
                  <c:v>37</c:v>
                </c:pt>
                <c:pt idx="204">
                  <c:v>31</c:v>
                </c:pt>
                <c:pt idx="205">
                  <c:v>26</c:v>
                </c:pt>
                <c:pt idx="206">
                  <c:v>32</c:v>
                </c:pt>
                <c:pt idx="207">
                  <c:v>38</c:v>
                </c:pt>
                <c:pt idx="208">
                  <c:v>20</c:v>
                </c:pt>
                <c:pt idx="209">
                  <c:v>19</c:v>
                </c:pt>
                <c:pt idx="210">
                  <c:v>19</c:v>
                </c:pt>
                <c:pt idx="211">
                  <c:v>20</c:v>
                </c:pt>
                <c:pt idx="212">
                  <c:v>35</c:v>
                </c:pt>
                <c:pt idx="213">
                  <c:v>31</c:v>
                </c:pt>
                <c:pt idx="214">
                  <c:v>37</c:v>
                </c:pt>
                <c:pt idx="215">
                  <c:v>35</c:v>
                </c:pt>
                <c:pt idx="216">
                  <c:v>27</c:v>
                </c:pt>
                <c:pt idx="217">
                  <c:v>19</c:v>
                </c:pt>
                <c:pt idx="218">
                  <c:v>39</c:v>
                </c:pt>
                <c:pt idx="219">
                  <c:v>18</c:v>
                </c:pt>
                <c:pt idx="220">
                  <c:v>21</c:v>
                </c:pt>
                <c:pt idx="221">
                  <c:v>31</c:v>
                </c:pt>
                <c:pt idx="222">
                  <c:v>18</c:v>
                </c:pt>
                <c:pt idx="223">
                  <c:v>31</c:v>
                </c:pt>
                <c:pt idx="224">
                  <c:v>33</c:v>
                </c:pt>
                <c:pt idx="225">
                  <c:v>39</c:v>
                </c:pt>
                <c:pt idx="226">
                  <c:v>31</c:v>
                </c:pt>
                <c:pt idx="227">
                  <c:v>37</c:v>
                </c:pt>
                <c:pt idx="228">
                  <c:v>20</c:v>
                </c:pt>
                <c:pt idx="229">
                  <c:v>20</c:v>
                </c:pt>
                <c:pt idx="230">
                  <c:v>26</c:v>
                </c:pt>
                <c:pt idx="231">
                  <c:v>23</c:v>
                </c:pt>
                <c:pt idx="232">
                  <c:v>30</c:v>
                </c:pt>
                <c:pt idx="233">
                  <c:v>38</c:v>
                </c:pt>
                <c:pt idx="234">
                  <c:v>19</c:v>
                </c:pt>
                <c:pt idx="235">
                  <c:v>25</c:v>
                </c:pt>
                <c:pt idx="236">
                  <c:v>38</c:v>
                </c:pt>
                <c:pt idx="237">
                  <c:v>19</c:v>
                </c:pt>
                <c:pt idx="238">
                  <c:v>21</c:v>
                </c:pt>
                <c:pt idx="239">
                  <c:v>32</c:v>
                </c:pt>
                <c:pt idx="240">
                  <c:v>21</c:v>
                </c:pt>
                <c:pt idx="241">
                  <c:v>30</c:v>
                </c:pt>
                <c:pt idx="242">
                  <c:v>29</c:v>
                </c:pt>
                <c:pt idx="243">
                  <c:v>30</c:v>
                </c:pt>
                <c:pt idx="244">
                  <c:v>31</c:v>
                </c:pt>
                <c:pt idx="245">
                  <c:v>37</c:v>
                </c:pt>
                <c:pt idx="246">
                  <c:v>35</c:v>
                </c:pt>
                <c:pt idx="247">
                  <c:v>23</c:v>
                </c:pt>
                <c:pt idx="248">
                  <c:v>28</c:v>
                </c:pt>
                <c:pt idx="249">
                  <c:v>19</c:v>
                </c:pt>
                <c:pt idx="250">
                  <c:v>36</c:v>
                </c:pt>
                <c:pt idx="251">
                  <c:v>36</c:v>
                </c:pt>
                <c:pt idx="252">
                  <c:v>22</c:v>
                </c:pt>
                <c:pt idx="253">
                  <c:v>36</c:v>
                </c:pt>
                <c:pt idx="254">
                  <c:v>19</c:v>
                </c:pt>
                <c:pt idx="255">
                  <c:v>27</c:v>
                </c:pt>
                <c:pt idx="256">
                  <c:v>19</c:v>
                </c:pt>
                <c:pt idx="257">
                  <c:v>28</c:v>
                </c:pt>
                <c:pt idx="258">
                  <c:v>35</c:v>
                </c:pt>
                <c:pt idx="259">
                  <c:v>32</c:v>
                </c:pt>
                <c:pt idx="260">
                  <c:v>26</c:v>
                </c:pt>
                <c:pt idx="261">
                  <c:v>36</c:v>
                </c:pt>
                <c:pt idx="262">
                  <c:v>26</c:v>
                </c:pt>
                <c:pt idx="263">
                  <c:v>20</c:v>
                </c:pt>
                <c:pt idx="264">
                  <c:v>38</c:v>
                </c:pt>
                <c:pt idx="265">
                  <c:v>26</c:v>
                </c:pt>
                <c:pt idx="266">
                  <c:v>31</c:v>
                </c:pt>
                <c:pt idx="267">
                  <c:v>36</c:v>
                </c:pt>
                <c:pt idx="268">
                  <c:v>24</c:v>
                </c:pt>
                <c:pt idx="269">
                  <c:v>33</c:v>
                </c:pt>
                <c:pt idx="270">
                  <c:v>33</c:v>
                </c:pt>
                <c:pt idx="271">
                  <c:v>18</c:v>
                </c:pt>
                <c:pt idx="272">
                  <c:v>21</c:v>
                </c:pt>
                <c:pt idx="273">
                  <c:v>21</c:v>
                </c:pt>
                <c:pt idx="274">
                  <c:v>24</c:v>
                </c:pt>
                <c:pt idx="275">
                  <c:v>25</c:v>
                </c:pt>
                <c:pt idx="276">
                  <c:v>34</c:v>
                </c:pt>
                <c:pt idx="277">
                  <c:v>22</c:v>
                </c:pt>
                <c:pt idx="278">
                  <c:v>24</c:v>
                </c:pt>
                <c:pt idx="279">
                  <c:v>37</c:v>
                </c:pt>
              </c:numCache>
            </c:numRef>
          </c:xVal>
          <c:yVal>
            <c:numRef>
              <c:f>'5c_Additional Insights'!$E$2:$E$281</c:f>
              <c:numCache>
                <c:formatCode>General</c:formatCode>
                <c:ptCount val="280"/>
                <c:pt idx="0">
                  <c:v>98.33</c:v>
                </c:pt>
                <c:pt idx="1">
                  <c:v>89.25</c:v>
                </c:pt>
                <c:pt idx="2">
                  <c:v>90.14</c:v>
                </c:pt>
                <c:pt idx="3">
                  <c:v>88.97</c:v>
                </c:pt>
                <c:pt idx="4">
                  <c:v>75.97</c:v>
                </c:pt>
                <c:pt idx="5">
                  <c:v>82.55</c:v>
                </c:pt>
                <c:pt idx="6">
                  <c:v>92.53</c:v>
                </c:pt>
                <c:pt idx="7">
                  <c:v>73.040000000000006</c:v>
                </c:pt>
                <c:pt idx="8">
                  <c:v>78.34</c:v>
                </c:pt>
                <c:pt idx="9">
                  <c:v>78.290000000000006</c:v>
                </c:pt>
                <c:pt idx="10">
                  <c:v>82.96</c:v>
                </c:pt>
                <c:pt idx="11">
                  <c:v>99.41</c:v>
                </c:pt>
                <c:pt idx="12">
                  <c:v>72.03</c:v>
                </c:pt>
                <c:pt idx="13">
                  <c:v>85.56</c:v>
                </c:pt>
                <c:pt idx="14">
                  <c:v>75.38</c:v>
                </c:pt>
                <c:pt idx="15">
                  <c:v>99.12</c:v>
                </c:pt>
                <c:pt idx="16">
                  <c:v>73.400000000000006</c:v>
                </c:pt>
                <c:pt idx="17">
                  <c:v>82.11</c:v>
                </c:pt>
                <c:pt idx="18">
                  <c:v>92.14</c:v>
                </c:pt>
                <c:pt idx="19">
                  <c:v>91.14</c:v>
                </c:pt>
                <c:pt idx="20">
                  <c:v>82.68</c:v>
                </c:pt>
                <c:pt idx="21">
                  <c:v>80.400000000000006</c:v>
                </c:pt>
                <c:pt idx="22">
                  <c:v>81.93</c:v>
                </c:pt>
                <c:pt idx="23">
                  <c:v>77.930000000000007</c:v>
                </c:pt>
                <c:pt idx="24">
                  <c:v>76.16</c:v>
                </c:pt>
                <c:pt idx="25">
                  <c:v>84.49</c:v>
                </c:pt>
                <c:pt idx="26">
                  <c:v>78.06</c:v>
                </c:pt>
                <c:pt idx="27">
                  <c:v>78.62</c:v>
                </c:pt>
                <c:pt idx="28">
                  <c:v>89.7</c:v>
                </c:pt>
                <c:pt idx="29">
                  <c:v>99.06</c:v>
                </c:pt>
                <c:pt idx="30">
                  <c:v>88.11</c:v>
                </c:pt>
                <c:pt idx="31">
                  <c:v>72.31</c:v>
                </c:pt>
                <c:pt idx="32">
                  <c:v>72.27</c:v>
                </c:pt>
                <c:pt idx="33">
                  <c:v>98.54</c:v>
                </c:pt>
                <c:pt idx="34">
                  <c:v>78.92</c:v>
                </c:pt>
                <c:pt idx="35">
                  <c:v>72.760000000000005</c:v>
                </c:pt>
                <c:pt idx="36">
                  <c:v>87.97</c:v>
                </c:pt>
                <c:pt idx="37">
                  <c:v>88.71</c:v>
                </c:pt>
                <c:pt idx="38">
                  <c:v>89.46</c:v>
                </c:pt>
                <c:pt idx="39">
                  <c:v>78.02</c:v>
                </c:pt>
                <c:pt idx="40">
                  <c:v>70.45</c:v>
                </c:pt>
                <c:pt idx="41">
                  <c:v>98.95</c:v>
                </c:pt>
                <c:pt idx="42">
                  <c:v>77.53</c:v>
                </c:pt>
                <c:pt idx="43">
                  <c:v>90.28</c:v>
                </c:pt>
                <c:pt idx="44">
                  <c:v>91.2</c:v>
                </c:pt>
                <c:pt idx="45">
                  <c:v>88.3</c:v>
                </c:pt>
                <c:pt idx="46">
                  <c:v>79.39</c:v>
                </c:pt>
                <c:pt idx="47">
                  <c:v>78.13</c:v>
                </c:pt>
                <c:pt idx="48">
                  <c:v>87.93</c:v>
                </c:pt>
                <c:pt idx="49">
                  <c:v>95.98</c:v>
                </c:pt>
                <c:pt idx="50">
                  <c:v>98.4</c:v>
                </c:pt>
                <c:pt idx="51">
                  <c:v>73.180000000000007</c:v>
                </c:pt>
                <c:pt idx="52">
                  <c:v>74.64</c:v>
                </c:pt>
                <c:pt idx="53">
                  <c:v>98.34</c:v>
                </c:pt>
                <c:pt idx="54">
                  <c:v>92.1</c:v>
                </c:pt>
                <c:pt idx="55">
                  <c:v>96.49</c:v>
                </c:pt>
                <c:pt idx="56">
                  <c:v>76.08</c:v>
                </c:pt>
                <c:pt idx="57">
                  <c:v>87.63</c:v>
                </c:pt>
                <c:pt idx="58">
                  <c:v>91.03</c:v>
                </c:pt>
                <c:pt idx="59">
                  <c:v>90.4</c:v>
                </c:pt>
                <c:pt idx="60">
                  <c:v>82.24</c:v>
                </c:pt>
                <c:pt idx="61">
                  <c:v>70.459999999999994</c:v>
                </c:pt>
                <c:pt idx="62">
                  <c:v>87.49</c:v>
                </c:pt>
                <c:pt idx="63">
                  <c:v>77.59</c:v>
                </c:pt>
                <c:pt idx="64">
                  <c:v>83.51</c:v>
                </c:pt>
                <c:pt idx="65">
                  <c:v>98.73</c:v>
                </c:pt>
                <c:pt idx="66">
                  <c:v>81.97</c:v>
                </c:pt>
                <c:pt idx="67">
                  <c:v>95.19</c:v>
                </c:pt>
                <c:pt idx="68">
                  <c:v>75.66</c:v>
                </c:pt>
                <c:pt idx="69">
                  <c:v>90.17</c:v>
                </c:pt>
                <c:pt idx="70">
                  <c:v>99.31</c:v>
                </c:pt>
                <c:pt idx="71">
                  <c:v>73.06</c:v>
                </c:pt>
                <c:pt idx="72">
                  <c:v>70.25</c:v>
                </c:pt>
                <c:pt idx="73">
                  <c:v>83.01</c:v>
                </c:pt>
                <c:pt idx="74">
                  <c:v>72.78</c:v>
                </c:pt>
                <c:pt idx="75">
                  <c:v>92.45</c:v>
                </c:pt>
                <c:pt idx="76">
                  <c:v>97.44</c:v>
                </c:pt>
                <c:pt idx="77">
                  <c:v>83.02</c:v>
                </c:pt>
                <c:pt idx="78">
                  <c:v>77.760000000000005</c:v>
                </c:pt>
                <c:pt idx="79">
                  <c:v>83.03</c:v>
                </c:pt>
                <c:pt idx="80">
                  <c:v>91.7</c:v>
                </c:pt>
                <c:pt idx="81">
                  <c:v>70.27</c:v>
                </c:pt>
                <c:pt idx="82">
                  <c:v>87.68</c:v>
                </c:pt>
                <c:pt idx="83">
                  <c:v>88.4</c:v>
                </c:pt>
                <c:pt idx="84">
                  <c:v>89.13</c:v>
                </c:pt>
                <c:pt idx="85">
                  <c:v>77.260000000000005</c:v>
                </c:pt>
                <c:pt idx="86">
                  <c:v>91.42</c:v>
                </c:pt>
                <c:pt idx="87">
                  <c:v>72.739999999999995</c:v>
                </c:pt>
                <c:pt idx="88">
                  <c:v>75.98</c:v>
                </c:pt>
                <c:pt idx="89">
                  <c:v>96.32</c:v>
                </c:pt>
                <c:pt idx="90">
                  <c:v>92.16</c:v>
                </c:pt>
                <c:pt idx="91">
                  <c:v>70.41</c:v>
                </c:pt>
                <c:pt idx="92">
                  <c:v>77.45</c:v>
                </c:pt>
                <c:pt idx="93">
                  <c:v>76.430000000000007</c:v>
                </c:pt>
                <c:pt idx="94">
                  <c:v>78.12</c:v>
                </c:pt>
                <c:pt idx="95">
                  <c:v>77.430000000000007</c:v>
                </c:pt>
                <c:pt idx="96">
                  <c:v>71.88</c:v>
                </c:pt>
                <c:pt idx="97">
                  <c:v>83.77</c:v>
                </c:pt>
                <c:pt idx="98">
                  <c:v>91.98</c:v>
                </c:pt>
                <c:pt idx="99">
                  <c:v>88.2</c:v>
                </c:pt>
                <c:pt idx="100">
                  <c:v>90.19</c:v>
                </c:pt>
                <c:pt idx="101">
                  <c:v>72.430000000000007</c:v>
                </c:pt>
                <c:pt idx="102">
                  <c:v>98.54</c:v>
                </c:pt>
                <c:pt idx="103">
                  <c:v>95.15</c:v>
                </c:pt>
                <c:pt idx="104">
                  <c:v>94.15</c:v>
                </c:pt>
                <c:pt idx="105">
                  <c:v>94.69</c:v>
                </c:pt>
                <c:pt idx="106">
                  <c:v>97.98</c:v>
                </c:pt>
                <c:pt idx="107">
                  <c:v>86.33</c:v>
                </c:pt>
                <c:pt idx="108">
                  <c:v>76.010000000000005</c:v>
                </c:pt>
                <c:pt idx="109">
                  <c:v>88.5</c:v>
                </c:pt>
                <c:pt idx="110">
                  <c:v>92.29</c:v>
                </c:pt>
                <c:pt idx="111">
                  <c:v>92.14</c:v>
                </c:pt>
                <c:pt idx="112">
                  <c:v>85.64</c:v>
                </c:pt>
                <c:pt idx="113">
                  <c:v>72.05</c:v>
                </c:pt>
                <c:pt idx="114">
                  <c:v>81.13</c:v>
                </c:pt>
                <c:pt idx="115">
                  <c:v>97.62</c:v>
                </c:pt>
                <c:pt idx="116">
                  <c:v>87.53</c:v>
                </c:pt>
                <c:pt idx="117">
                  <c:v>86.15</c:v>
                </c:pt>
                <c:pt idx="118">
                  <c:v>78.069999999999993</c:v>
                </c:pt>
                <c:pt idx="119">
                  <c:v>81.05</c:v>
                </c:pt>
                <c:pt idx="120">
                  <c:v>96.86</c:v>
                </c:pt>
                <c:pt idx="121">
                  <c:v>89.99</c:v>
                </c:pt>
                <c:pt idx="122">
                  <c:v>93.62</c:v>
                </c:pt>
                <c:pt idx="123">
                  <c:v>83.63</c:v>
                </c:pt>
                <c:pt idx="124">
                  <c:v>88.91</c:v>
                </c:pt>
                <c:pt idx="125">
                  <c:v>77.45</c:v>
                </c:pt>
                <c:pt idx="126">
                  <c:v>91.16</c:v>
                </c:pt>
                <c:pt idx="127">
                  <c:v>82.83</c:v>
                </c:pt>
                <c:pt idx="128">
                  <c:v>83.28</c:v>
                </c:pt>
                <c:pt idx="129">
                  <c:v>89.48</c:v>
                </c:pt>
                <c:pt idx="130">
                  <c:v>98.09</c:v>
                </c:pt>
                <c:pt idx="131">
                  <c:v>71.92</c:v>
                </c:pt>
                <c:pt idx="132">
                  <c:v>94.74</c:v>
                </c:pt>
                <c:pt idx="133">
                  <c:v>78.77</c:v>
                </c:pt>
                <c:pt idx="134">
                  <c:v>83.32</c:v>
                </c:pt>
                <c:pt idx="135">
                  <c:v>70.66</c:v>
                </c:pt>
                <c:pt idx="136">
                  <c:v>79.03</c:v>
                </c:pt>
                <c:pt idx="137">
                  <c:v>85.08</c:v>
                </c:pt>
                <c:pt idx="138">
                  <c:v>71.69</c:v>
                </c:pt>
                <c:pt idx="139">
                  <c:v>84.73</c:v>
                </c:pt>
                <c:pt idx="140">
                  <c:v>97.81</c:v>
                </c:pt>
                <c:pt idx="141">
                  <c:v>73.16</c:v>
                </c:pt>
                <c:pt idx="142">
                  <c:v>92.93</c:v>
                </c:pt>
                <c:pt idx="143">
                  <c:v>82.29</c:v>
                </c:pt>
                <c:pt idx="144">
                  <c:v>89.66</c:v>
                </c:pt>
                <c:pt idx="145">
                  <c:v>77.81</c:v>
                </c:pt>
                <c:pt idx="146">
                  <c:v>74.78</c:v>
                </c:pt>
                <c:pt idx="147">
                  <c:v>74.81</c:v>
                </c:pt>
                <c:pt idx="148">
                  <c:v>72.11</c:v>
                </c:pt>
                <c:pt idx="149">
                  <c:v>75.569999999999993</c:v>
                </c:pt>
                <c:pt idx="150">
                  <c:v>89.93</c:v>
                </c:pt>
                <c:pt idx="151">
                  <c:v>96.45</c:v>
                </c:pt>
                <c:pt idx="152">
                  <c:v>94.42</c:v>
                </c:pt>
                <c:pt idx="153">
                  <c:v>90.55</c:v>
                </c:pt>
                <c:pt idx="154">
                  <c:v>73.31</c:v>
                </c:pt>
                <c:pt idx="155">
                  <c:v>78.680000000000007</c:v>
                </c:pt>
                <c:pt idx="156">
                  <c:v>79.290000000000006</c:v>
                </c:pt>
                <c:pt idx="157">
                  <c:v>77.5</c:v>
                </c:pt>
                <c:pt idx="158">
                  <c:v>85.45</c:v>
                </c:pt>
                <c:pt idx="159">
                  <c:v>86.07</c:v>
                </c:pt>
                <c:pt idx="160">
                  <c:v>80.709999999999994</c:v>
                </c:pt>
                <c:pt idx="161">
                  <c:v>80.61</c:v>
                </c:pt>
                <c:pt idx="162">
                  <c:v>94.86</c:v>
                </c:pt>
                <c:pt idx="163">
                  <c:v>93.68</c:v>
                </c:pt>
                <c:pt idx="164">
                  <c:v>79.23</c:v>
                </c:pt>
                <c:pt idx="165">
                  <c:v>97.41</c:v>
                </c:pt>
                <c:pt idx="166">
                  <c:v>98.58</c:v>
                </c:pt>
                <c:pt idx="167">
                  <c:v>79.8</c:v>
                </c:pt>
                <c:pt idx="168">
                  <c:v>80.63</c:v>
                </c:pt>
                <c:pt idx="169">
                  <c:v>85.17</c:v>
                </c:pt>
                <c:pt idx="170">
                  <c:v>98.23</c:v>
                </c:pt>
                <c:pt idx="171">
                  <c:v>96.29</c:v>
                </c:pt>
                <c:pt idx="172">
                  <c:v>73.08</c:v>
                </c:pt>
                <c:pt idx="173">
                  <c:v>81.78</c:v>
                </c:pt>
                <c:pt idx="174">
                  <c:v>86.6</c:v>
                </c:pt>
                <c:pt idx="175">
                  <c:v>85.09</c:v>
                </c:pt>
                <c:pt idx="176">
                  <c:v>75.819999999999993</c:v>
                </c:pt>
                <c:pt idx="177">
                  <c:v>95.76</c:v>
                </c:pt>
                <c:pt idx="178">
                  <c:v>90.31</c:v>
                </c:pt>
                <c:pt idx="179">
                  <c:v>95.14</c:v>
                </c:pt>
                <c:pt idx="180">
                  <c:v>95.76</c:v>
                </c:pt>
                <c:pt idx="181">
                  <c:v>92.45</c:v>
                </c:pt>
                <c:pt idx="182">
                  <c:v>83.18</c:v>
                </c:pt>
                <c:pt idx="183">
                  <c:v>88.32</c:v>
                </c:pt>
                <c:pt idx="184">
                  <c:v>74.81</c:v>
                </c:pt>
                <c:pt idx="185">
                  <c:v>90.21</c:v>
                </c:pt>
                <c:pt idx="186">
                  <c:v>75.38</c:v>
                </c:pt>
                <c:pt idx="187">
                  <c:v>90.82</c:v>
                </c:pt>
                <c:pt idx="188">
                  <c:v>76.89</c:v>
                </c:pt>
                <c:pt idx="189">
                  <c:v>73.53</c:v>
                </c:pt>
                <c:pt idx="190">
                  <c:v>74.959999999999994</c:v>
                </c:pt>
                <c:pt idx="191">
                  <c:v>70.06</c:v>
                </c:pt>
                <c:pt idx="192">
                  <c:v>91.56</c:v>
                </c:pt>
                <c:pt idx="193">
                  <c:v>91.97</c:v>
                </c:pt>
                <c:pt idx="194">
                  <c:v>85.45</c:v>
                </c:pt>
                <c:pt idx="195">
                  <c:v>74.84</c:v>
                </c:pt>
                <c:pt idx="196">
                  <c:v>72.510000000000005</c:v>
                </c:pt>
                <c:pt idx="197">
                  <c:v>70.569999999999993</c:v>
                </c:pt>
                <c:pt idx="198">
                  <c:v>74.97</c:v>
                </c:pt>
                <c:pt idx="199">
                  <c:v>96.73</c:v>
                </c:pt>
                <c:pt idx="200">
                  <c:v>77.25</c:v>
                </c:pt>
                <c:pt idx="201">
                  <c:v>80.63</c:v>
                </c:pt>
                <c:pt idx="202">
                  <c:v>73.16</c:v>
                </c:pt>
                <c:pt idx="203">
                  <c:v>76.67</c:v>
                </c:pt>
                <c:pt idx="204">
                  <c:v>85.58</c:v>
                </c:pt>
                <c:pt idx="205">
                  <c:v>88.23</c:v>
                </c:pt>
                <c:pt idx="206">
                  <c:v>77.36</c:v>
                </c:pt>
                <c:pt idx="207">
                  <c:v>71.73</c:v>
                </c:pt>
                <c:pt idx="208">
                  <c:v>81.73</c:v>
                </c:pt>
                <c:pt idx="209">
                  <c:v>77.03</c:v>
                </c:pt>
                <c:pt idx="210">
                  <c:v>76.59</c:v>
                </c:pt>
                <c:pt idx="211">
                  <c:v>98.8</c:v>
                </c:pt>
                <c:pt idx="212">
                  <c:v>88.49</c:v>
                </c:pt>
                <c:pt idx="213">
                  <c:v>86.71</c:v>
                </c:pt>
                <c:pt idx="214">
                  <c:v>82.47</c:v>
                </c:pt>
                <c:pt idx="215">
                  <c:v>82.87</c:v>
                </c:pt>
                <c:pt idx="216">
                  <c:v>86.23</c:v>
                </c:pt>
                <c:pt idx="217">
                  <c:v>90.89</c:v>
                </c:pt>
                <c:pt idx="218">
                  <c:v>91.06</c:v>
                </c:pt>
                <c:pt idx="219">
                  <c:v>75.150000000000006</c:v>
                </c:pt>
                <c:pt idx="220">
                  <c:v>85</c:v>
                </c:pt>
                <c:pt idx="221">
                  <c:v>82.36</c:v>
                </c:pt>
                <c:pt idx="222">
                  <c:v>96.12</c:v>
                </c:pt>
                <c:pt idx="223">
                  <c:v>88.94</c:v>
                </c:pt>
                <c:pt idx="224">
                  <c:v>85.98</c:v>
                </c:pt>
                <c:pt idx="225">
                  <c:v>73.459999999999994</c:v>
                </c:pt>
                <c:pt idx="226">
                  <c:v>88.17</c:v>
                </c:pt>
                <c:pt idx="227">
                  <c:v>73.52</c:v>
                </c:pt>
                <c:pt idx="228">
                  <c:v>80.12</c:v>
                </c:pt>
                <c:pt idx="229">
                  <c:v>74.290000000000006</c:v>
                </c:pt>
                <c:pt idx="230">
                  <c:v>90.76</c:v>
                </c:pt>
                <c:pt idx="231">
                  <c:v>76.19</c:v>
                </c:pt>
                <c:pt idx="232">
                  <c:v>81.760000000000005</c:v>
                </c:pt>
                <c:pt idx="233">
                  <c:v>96.87</c:v>
                </c:pt>
                <c:pt idx="234">
                  <c:v>76.13</c:v>
                </c:pt>
                <c:pt idx="235">
                  <c:v>85.23</c:v>
                </c:pt>
                <c:pt idx="236">
                  <c:v>82.58</c:v>
                </c:pt>
                <c:pt idx="237">
                  <c:v>70.540000000000006</c:v>
                </c:pt>
                <c:pt idx="238">
                  <c:v>93.78</c:v>
                </c:pt>
                <c:pt idx="239">
                  <c:v>72.069999999999993</c:v>
                </c:pt>
                <c:pt idx="240">
                  <c:v>84.23</c:v>
                </c:pt>
                <c:pt idx="241">
                  <c:v>86.82</c:v>
                </c:pt>
                <c:pt idx="242">
                  <c:v>88.85</c:v>
                </c:pt>
                <c:pt idx="243">
                  <c:v>90.66</c:v>
                </c:pt>
                <c:pt idx="244">
                  <c:v>77.599999999999994</c:v>
                </c:pt>
                <c:pt idx="245">
                  <c:v>70.3</c:v>
                </c:pt>
                <c:pt idx="246">
                  <c:v>91.7</c:v>
                </c:pt>
                <c:pt idx="247">
                  <c:v>86.07</c:v>
                </c:pt>
                <c:pt idx="248">
                  <c:v>95.08</c:v>
                </c:pt>
                <c:pt idx="249">
                  <c:v>94.64</c:v>
                </c:pt>
                <c:pt idx="250">
                  <c:v>95.3</c:v>
                </c:pt>
                <c:pt idx="251">
                  <c:v>84.55</c:v>
                </c:pt>
                <c:pt idx="252">
                  <c:v>80.010000000000005</c:v>
                </c:pt>
                <c:pt idx="253">
                  <c:v>93.75</c:v>
                </c:pt>
                <c:pt idx="254">
                  <c:v>83.54</c:v>
                </c:pt>
                <c:pt idx="255">
                  <c:v>75.5</c:v>
                </c:pt>
                <c:pt idx="256">
                  <c:v>95.65</c:v>
                </c:pt>
                <c:pt idx="257">
                  <c:v>96.48</c:v>
                </c:pt>
                <c:pt idx="258">
                  <c:v>83.99</c:v>
                </c:pt>
                <c:pt idx="259">
                  <c:v>72.27</c:v>
                </c:pt>
                <c:pt idx="260">
                  <c:v>81.63</c:v>
                </c:pt>
                <c:pt idx="261">
                  <c:v>94.11</c:v>
                </c:pt>
                <c:pt idx="262">
                  <c:v>97.05</c:v>
                </c:pt>
                <c:pt idx="263">
                  <c:v>76.099999999999994</c:v>
                </c:pt>
                <c:pt idx="264">
                  <c:v>72.010000000000005</c:v>
                </c:pt>
                <c:pt idx="265">
                  <c:v>96.32</c:v>
                </c:pt>
                <c:pt idx="266">
                  <c:v>81.680000000000007</c:v>
                </c:pt>
                <c:pt idx="267">
                  <c:v>86.25</c:v>
                </c:pt>
                <c:pt idx="268">
                  <c:v>99.04</c:v>
                </c:pt>
                <c:pt idx="269">
                  <c:v>72</c:v>
                </c:pt>
                <c:pt idx="270">
                  <c:v>89.45</c:v>
                </c:pt>
                <c:pt idx="271">
                  <c:v>72.22</c:v>
                </c:pt>
                <c:pt idx="272">
                  <c:v>81.260000000000005</c:v>
                </c:pt>
                <c:pt idx="273">
                  <c:v>94.11</c:v>
                </c:pt>
                <c:pt idx="274">
                  <c:v>83</c:v>
                </c:pt>
                <c:pt idx="275">
                  <c:v>99.92</c:v>
                </c:pt>
                <c:pt idx="276">
                  <c:v>86.77</c:v>
                </c:pt>
                <c:pt idx="277">
                  <c:v>79.63</c:v>
                </c:pt>
                <c:pt idx="278">
                  <c:v>76.599999999999994</c:v>
                </c:pt>
                <c:pt idx="279">
                  <c:v>80.52</c:v>
                </c:pt>
              </c:numCache>
            </c:numRef>
          </c:yVal>
          <c:smooth val="0"/>
          <c:extLst>
            <c:ext xmlns:c16="http://schemas.microsoft.com/office/drawing/2014/chart" uri="{C3380CC4-5D6E-409C-BE32-E72D297353CC}">
              <c16:uniqueId val="{00000000-A8E6-45AE-98E5-88C4D9DCDCE8}"/>
            </c:ext>
          </c:extLst>
        </c:ser>
        <c:dLbls>
          <c:showLegendKey val="0"/>
          <c:showVal val="0"/>
          <c:showCatName val="0"/>
          <c:showSerName val="0"/>
          <c:showPercent val="0"/>
          <c:showBubbleSize val="0"/>
        </c:dLbls>
        <c:axId val="1227510320"/>
        <c:axId val="1227509360"/>
      </c:scatterChart>
      <c:valAx>
        <c:axId val="1227510320"/>
        <c:scaling>
          <c:orientation val="minMax"/>
          <c:max val="40"/>
          <c:min val="1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7509360"/>
        <c:crosses val="autoZero"/>
        <c:crossBetween val="midCat"/>
      </c:valAx>
      <c:valAx>
        <c:axId val="122750936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US"/>
                  <a:t>Muscle</a:t>
                </a:r>
                <a:r>
                  <a:rPr lang="en-US" baseline="0"/>
                  <a:t> Strength Score</a:t>
                </a:r>
                <a:endParaRPr lang="en-US"/>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275103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xdr:col>
      <xdr:colOff>28575</xdr:colOff>
      <xdr:row>5</xdr:row>
      <xdr:rowOff>47625</xdr:rowOff>
    </xdr:from>
    <xdr:to>
      <xdr:col>10</xdr:col>
      <xdr:colOff>123825</xdr:colOff>
      <xdr:row>16</xdr:row>
      <xdr:rowOff>30481</xdr:rowOff>
    </xdr:to>
    <xdr:sp macro="" textlink="">
      <xdr:nvSpPr>
        <xdr:cNvPr id="2" name="TextBox 1">
          <a:extLst>
            <a:ext uri="{FF2B5EF4-FFF2-40B4-BE49-F238E27FC236}">
              <a16:creationId xmlns:a16="http://schemas.microsoft.com/office/drawing/2014/main" id="{BC4DF60D-EA61-E825-0784-FD33A6697FFD}"/>
            </a:ext>
          </a:extLst>
        </xdr:cNvPr>
        <xdr:cNvSpPr txBox="1"/>
      </xdr:nvSpPr>
      <xdr:spPr>
        <a:xfrm>
          <a:off x="638175" y="1205865"/>
          <a:ext cx="5581650" cy="1994536"/>
        </a:xfrm>
        <a:prstGeom prst="rect">
          <a:avLst/>
        </a:prstGeom>
        <a:solidFill>
          <a:schemeClr val="accent2">
            <a:lumMod val="20000"/>
            <a:lumOff val="8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Goals scored is measured by the amount of successful goals the player or team scored during a match. </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This metric is significant to measure each player and team's effectiveness and growth during each match. </a:t>
          </a:r>
          <a:r>
            <a:rPr lang="en-US" sz="1100" b="0" i="0">
              <a:effectLst/>
              <a:latin typeface="+mn-lt"/>
              <a:ea typeface="+mn-ea"/>
              <a:cs typeface="+mn-cs"/>
            </a:rPr>
            <a:t>Players can take a look at the goals scored and figure how this speaks to their strengths and where they can get better. </a:t>
          </a:r>
        </a:p>
        <a:p>
          <a:endParaRPr lang="en-US" sz="1100" b="0" i="0">
            <a:effectLst/>
            <a:latin typeface="+mn-lt"/>
            <a:ea typeface="+mn-ea"/>
            <a:cs typeface="+mn-cs"/>
          </a:endParaRPr>
        </a:p>
        <a:p>
          <a:r>
            <a:rPr lang="en-US" sz="1100" b="0" i="0">
              <a:effectLst/>
              <a:latin typeface="+mn-lt"/>
              <a:ea typeface="+mn-ea"/>
              <a:cs typeface="+mn-cs"/>
            </a:rPr>
            <a:t>This metric is something worth investigating because it provides value to both the player and team by viewing their performance.</a:t>
          </a:r>
          <a:r>
            <a:rPr lang="en-US" sz="1100" b="0" i="0" baseline="0">
              <a:effectLst/>
              <a:latin typeface="+mn-lt"/>
              <a:ea typeface="+mn-ea"/>
              <a:cs typeface="+mn-cs"/>
            </a:rPr>
            <a:t> </a:t>
          </a:r>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 higher goal count shows they are able to observe and take opportunities to successfully score in the match. Overall, this metric is a key component in determining the match outcome.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xdr:colOff>
      <xdr:row>5</xdr:row>
      <xdr:rowOff>47625</xdr:rowOff>
    </xdr:from>
    <xdr:to>
      <xdr:col>10</xdr:col>
      <xdr:colOff>123825</xdr:colOff>
      <xdr:row>16</xdr:row>
      <xdr:rowOff>30481</xdr:rowOff>
    </xdr:to>
    <xdr:sp macro="" textlink="">
      <xdr:nvSpPr>
        <xdr:cNvPr id="2" name="TextBox 1">
          <a:extLst>
            <a:ext uri="{FF2B5EF4-FFF2-40B4-BE49-F238E27FC236}">
              <a16:creationId xmlns:a16="http://schemas.microsoft.com/office/drawing/2014/main" id="{48CED552-21D6-4F64-9C32-709CA4DDB3E1}"/>
            </a:ext>
          </a:extLst>
        </xdr:cNvPr>
        <xdr:cNvSpPr txBox="1"/>
      </xdr:nvSpPr>
      <xdr:spPr>
        <a:xfrm>
          <a:off x="638175" y="1205865"/>
          <a:ext cx="5581650" cy="1994536"/>
        </a:xfrm>
        <a:prstGeom prst="rect">
          <a:avLst/>
        </a:prstGeom>
        <a:solidFill>
          <a:schemeClr val="accent2">
            <a:lumMod val="20000"/>
            <a:lumOff val="8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Pass Accuracy is recorded as a percentage, via the successful passes of a player or team compared to their total passes in a match.</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This is relevant in understanding a player or team's ability to keep possession, collectively connect, and carry out a plan. A player or team's high pass accuracy reflects technical skill, awareness, conceptions, and love of the game to dictate play and create scoring chances.</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We find this metric interesting because it shows how well a team or player plays efficiently, and how well they can execute given information during play. Higher accuracy demonstrates the team was working as one, composed under pressure, and able to execute tactical plans. Generally, this metric represents core indicators of play control, and quality of performance.</a:t>
          </a:r>
        </a:p>
      </xdr:txBody>
    </xdr:sp>
    <xdr:clientData/>
  </xdr:twoCellAnchor>
  <xdr:twoCellAnchor>
    <xdr:from>
      <xdr:col>16</xdr:col>
      <xdr:colOff>200025</xdr:colOff>
      <xdr:row>7</xdr:row>
      <xdr:rowOff>104775</xdr:rowOff>
    </xdr:from>
    <xdr:to>
      <xdr:col>23</xdr:col>
      <xdr:colOff>352425</xdr:colOff>
      <xdr:row>21</xdr:row>
      <xdr:rowOff>180975</xdr:rowOff>
    </xdr:to>
    <xdr:graphicFrame macro="">
      <xdr:nvGraphicFramePr>
        <xdr:cNvPr id="68" name="Chart 2" descr="Chart type: Clustered Column. 'Field2'&#10;&#10;Description automatically generated">
          <a:extLst>
            <a:ext uri="{FF2B5EF4-FFF2-40B4-BE49-F238E27FC236}">
              <a16:creationId xmlns:a16="http://schemas.microsoft.com/office/drawing/2014/main" id="{FB30B680-252F-A362-FB0D-AD261D7B8459}"/>
            </a:ext>
            <a:ext uri="{147F2762-F138-4A5C-976F-8EAC2B608ADB}">
              <a16:predDERef xmlns:a16="http://schemas.microsoft.com/office/drawing/2014/main" pred="{48CED552-21D6-4F64-9C32-709CA4DDB3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190500</xdr:colOff>
      <xdr:row>22</xdr:row>
      <xdr:rowOff>123825</xdr:rowOff>
    </xdr:from>
    <xdr:to>
      <xdr:col>23</xdr:col>
      <xdr:colOff>342900</xdr:colOff>
      <xdr:row>37</xdr:row>
      <xdr:rowOff>9525</xdr:rowOff>
    </xdr:to>
    <xdr:graphicFrame macro="">
      <xdr:nvGraphicFramePr>
        <xdr:cNvPr id="71" name="Chart 3">
          <a:extLst>
            <a:ext uri="{FF2B5EF4-FFF2-40B4-BE49-F238E27FC236}">
              <a16:creationId xmlns:a16="http://schemas.microsoft.com/office/drawing/2014/main" id="{9CB1E6A1-0B60-48EC-C498-049D80C5CFAA}"/>
            </a:ext>
            <a:ext uri="{147F2762-F138-4A5C-976F-8EAC2B608ADB}">
              <a16:predDERef xmlns:a16="http://schemas.microsoft.com/office/drawing/2014/main" pred="{FB30B680-252F-A362-FB0D-AD261D7B84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28575</xdr:colOff>
      <xdr:row>5</xdr:row>
      <xdr:rowOff>47624</xdr:rowOff>
    </xdr:from>
    <xdr:to>
      <xdr:col>10</xdr:col>
      <xdr:colOff>123825</xdr:colOff>
      <xdr:row>17</xdr:row>
      <xdr:rowOff>129539</xdr:rowOff>
    </xdr:to>
    <xdr:sp macro="" textlink="">
      <xdr:nvSpPr>
        <xdr:cNvPr id="3" name="TextBox 2">
          <a:extLst>
            <a:ext uri="{FF2B5EF4-FFF2-40B4-BE49-F238E27FC236}">
              <a16:creationId xmlns:a16="http://schemas.microsoft.com/office/drawing/2014/main" id="{17CBF05D-A138-41FF-9F0C-2640D4AC2674}"/>
            </a:ext>
          </a:extLst>
        </xdr:cNvPr>
        <xdr:cNvSpPr txBox="1"/>
      </xdr:nvSpPr>
      <xdr:spPr>
        <a:xfrm>
          <a:off x="638175" y="1556384"/>
          <a:ext cx="5581650" cy="2276475"/>
        </a:xfrm>
        <a:prstGeom prst="rect">
          <a:avLst/>
        </a:prstGeom>
        <a:solidFill>
          <a:schemeClr val="accent2">
            <a:lumMod val="20000"/>
            <a:lumOff val="8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Injury Type refers to the specific physical ailment or damage a player experiences that may impact their ability to play or train.</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This metric is significant in evaluating the physical condition and risk exposure of players. Identifying the kinds of injuries can help coaches and medical staff perform better prevention and recovery strategies specific to a player or prevalence across a team.</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This measure is helpful to look at because it shows player health, the fitness management of the team, and where appropriate changes may be needed in practice or games. Frequent or severe injuries can reduce team effectiveness and disrupt performance consistency. Understanding injury patterns is essential for long-term player development and competitive stability.</a:t>
          </a:r>
        </a:p>
      </xdr:txBody>
    </xdr:sp>
    <xdr:clientData/>
  </xdr:twoCellAnchor>
  <xdr:twoCellAnchor>
    <xdr:from>
      <xdr:col>3</xdr:col>
      <xdr:colOff>76201</xdr:colOff>
      <xdr:row>30</xdr:row>
      <xdr:rowOff>0</xdr:rowOff>
    </xdr:from>
    <xdr:to>
      <xdr:col>6</xdr:col>
      <xdr:colOff>657226</xdr:colOff>
      <xdr:row>38</xdr:row>
      <xdr:rowOff>157161</xdr:rowOff>
    </xdr:to>
    <xdr:graphicFrame macro="">
      <xdr:nvGraphicFramePr>
        <xdr:cNvPr id="4" name="Chart 3">
          <a:extLst>
            <a:ext uri="{FF2B5EF4-FFF2-40B4-BE49-F238E27FC236}">
              <a16:creationId xmlns:a16="http://schemas.microsoft.com/office/drawing/2014/main" id="{EE5F74EB-88E7-48E4-0D9B-7D1246CFE2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28575</xdr:colOff>
      <xdr:row>5</xdr:row>
      <xdr:rowOff>47625</xdr:rowOff>
    </xdr:from>
    <xdr:to>
      <xdr:col>10</xdr:col>
      <xdr:colOff>123825</xdr:colOff>
      <xdr:row>16</xdr:row>
      <xdr:rowOff>30481</xdr:rowOff>
    </xdr:to>
    <xdr:sp macro="" textlink="">
      <xdr:nvSpPr>
        <xdr:cNvPr id="2" name="TextBox 1">
          <a:extLst>
            <a:ext uri="{FF2B5EF4-FFF2-40B4-BE49-F238E27FC236}">
              <a16:creationId xmlns:a16="http://schemas.microsoft.com/office/drawing/2014/main" id="{075EDC93-BA07-4D6C-BDD8-481F22AC6457}"/>
            </a:ext>
          </a:extLst>
        </xdr:cNvPr>
        <xdr:cNvSpPr txBox="1"/>
      </xdr:nvSpPr>
      <xdr:spPr>
        <a:xfrm>
          <a:off x="638175" y="1556385"/>
          <a:ext cx="5581650" cy="1994536"/>
        </a:xfrm>
        <a:prstGeom prst="rect">
          <a:avLst/>
        </a:prstGeom>
        <a:solidFill>
          <a:schemeClr val="accent2">
            <a:lumMod val="20000"/>
            <a:lumOff val="8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Nationality refers to the country of origin or citizenship of each player.</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This metric is significant in assessing team diversity, cultural dynamics, and potential playing styles brought by individuals from different football traditions. It can influence team communication, chemistry, and strategy, especially in international or mixed-league settings.</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This metric is worth analyzing because it highlights the global composition of a team and allows coaches and analysts to consider cultural strengths, adaptability, and experience in international competitions. It also plays a role in recruitment decisions and fan engagement. Overall, nationality contributes to understanding how different backgrounds shape team identity and performance.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190500</xdr:colOff>
      <xdr:row>6</xdr:row>
      <xdr:rowOff>121920</xdr:rowOff>
    </xdr:from>
    <xdr:to>
      <xdr:col>9</xdr:col>
      <xdr:colOff>285750</xdr:colOff>
      <xdr:row>20</xdr:row>
      <xdr:rowOff>83820</xdr:rowOff>
    </xdr:to>
    <xdr:sp macro="" textlink="">
      <xdr:nvSpPr>
        <xdr:cNvPr id="2" name="TextBox 1">
          <a:extLst>
            <a:ext uri="{FF2B5EF4-FFF2-40B4-BE49-F238E27FC236}">
              <a16:creationId xmlns:a16="http://schemas.microsoft.com/office/drawing/2014/main" id="{03C966AF-B8E3-49D0-94C0-C5BDFB9055F7}"/>
            </a:ext>
          </a:extLst>
        </xdr:cNvPr>
        <xdr:cNvSpPr txBox="1"/>
      </xdr:nvSpPr>
      <xdr:spPr>
        <a:xfrm>
          <a:off x="190500" y="1584960"/>
          <a:ext cx="9513570" cy="2522220"/>
        </a:xfrm>
        <a:prstGeom prst="rect">
          <a:avLst/>
        </a:prstGeom>
        <a:solidFill>
          <a:schemeClr val="accent2">
            <a:lumMod val="20000"/>
            <a:lumOff val="8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The typical range of values for Goals Scored is between 0 to 4. The typical range of</a:t>
          </a:r>
          <a:r>
            <a:rPr lang="en-US" sz="11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 values for Pass Accuracy is between 50% to 95%. A strong performance would be if a player scores greater than or equal to 2 goals and has a pass accuracy greater than or equal to 65%. A weak perfomance would be if a player scores less than 2 goals and has a pass accuracy less than 65%. </a:t>
          </a:r>
        </a:p>
        <a:p>
          <a:pPr marL="0" indent="0" algn="l"/>
          <a:endParaRPr lang="en-US" sz="11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As for Injury Type, since this metric is categorical, the distinct categories would be from: None (No current injury), Ankle Sprain (Short-Term/Recurring but variable severity), Hamstring Strain (Moderate severity and Speed-Impacting), ACL Tear (Severe and often long term). In terms of the relationship this variable has on performance, players with no injuries will tend to perform better and all other injuries may correlate with reduced goals, pass accuracy, speed, and overall effectiveness. </a:t>
          </a:r>
        </a:p>
        <a:p>
          <a:pPr marL="0" indent="0" algn="l"/>
          <a:endParaRPr lang="en-US" sz="11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In terms of Nationality, since this metric is also categorical, the distinct categories would be from: </a:t>
          </a:r>
          <a:r>
            <a:rPr lang="en-US"/>
            <a:t>Spain, UK, Brazil, Germany, Argentina, USA. Nationality</a:t>
          </a:r>
          <a:r>
            <a:rPr lang="en-US" baseline="0"/>
            <a:t> could potentially correlate with training style, league, or position preference. Furthermore, it's plausible that specific nationalities could show higher goals scored or pass accuracy. </a:t>
          </a:r>
        </a:p>
        <a:p>
          <a:pPr marL="0" indent="0" algn="l"/>
          <a:endParaRPr lang="en-US" sz="11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baseline="0">
              <a:solidFill>
                <a:srgbClr val="000000"/>
              </a:solidFill>
              <a:latin typeface="Calibri" panose="020F0502020204030204" pitchFamily="34" charset="0"/>
              <a:ea typeface="Calibri" panose="020F0502020204030204" pitchFamily="34" charset="0"/>
              <a:cs typeface="Calibri" panose="020F0502020204030204" pitchFamily="34" charset="0"/>
            </a:rPr>
            <a:t>Frequency charts have been plotted below to show the distribution of each selected metric.</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487680</xdr:colOff>
      <xdr:row>39</xdr:row>
      <xdr:rowOff>121920</xdr:rowOff>
    </xdr:from>
    <xdr:to>
      <xdr:col>8</xdr:col>
      <xdr:colOff>152400</xdr:colOff>
      <xdr:row>49</xdr:row>
      <xdr:rowOff>106680</xdr:rowOff>
    </xdr:to>
    <xdr:graphicFrame macro="">
      <xdr:nvGraphicFramePr>
        <xdr:cNvPr id="6" name="Chart 5">
          <a:extLst>
            <a:ext uri="{FF2B5EF4-FFF2-40B4-BE49-F238E27FC236}">
              <a16:creationId xmlns:a16="http://schemas.microsoft.com/office/drawing/2014/main" id="{4640D750-7464-1AF1-8F6E-8B8B89F7BB33}"/>
            </a:ext>
            <a:ext uri="{147F2762-F138-4A5C-976F-8EAC2B608ADB}">
              <a16:predDERef xmlns:a16="http://schemas.microsoft.com/office/drawing/2014/main" pred="{03C966AF-B8E3-49D0-94C0-C5BDFB9055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495300</xdr:colOff>
      <xdr:row>51</xdr:row>
      <xdr:rowOff>167640</xdr:rowOff>
    </xdr:from>
    <xdr:to>
      <xdr:col>8</xdr:col>
      <xdr:colOff>160020</xdr:colOff>
      <xdr:row>61</xdr:row>
      <xdr:rowOff>152400</xdr:rowOff>
    </xdr:to>
    <xdr:graphicFrame macro="">
      <xdr:nvGraphicFramePr>
        <xdr:cNvPr id="7" name="Chart 6">
          <a:extLst>
            <a:ext uri="{FF2B5EF4-FFF2-40B4-BE49-F238E27FC236}">
              <a16:creationId xmlns:a16="http://schemas.microsoft.com/office/drawing/2014/main" id="{04CABDE0-FA36-1D15-73E3-00CEC80C43F4}"/>
            </a:ext>
            <a:ext uri="{147F2762-F138-4A5C-976F-8EAC2B608ADB}">
              <a16:predDERef xmlns:a16="http://schemas.microsoft.com/office/drawing/2014/main" pred="{4640D750-7464-1AF1-8F6E-8B8B89F7BB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510540</xdr:colOff>
      <xdr:row>63</xdr:row>
      <xdr:rowOff>11430</xdr:rowOff>
    </xdr:from>
    <xdr:to>
      <xdr:col>8</xdr:col>
      <xdr:colOff>160020</xdr:colOff>
      <xdr:row>78</xdr:row>
      <xdr:rowOff>11430</xdr:rowOff>
    </xdr:to>
    <xdr:graphicFrame macro="">
      <xdr:nvGraphicFramePr>
        <xdr:cNvPr id="9" name="Chart 8">
          <a:extLst>
            <a:ext uri="{FF2B5EF4-FFF2-40B4-BE49-F238E27FC236}">
              <a16:creationId xmlns:a16="http://schemas.microsoft.com/office/drawing/2014/main" id="{2A1C5DC1-9EB3-A16D-54AF-8EFB06198B96}"/>
            </a:ext>
            <a:ext uri="{147F2762-F138-4A5C-976F-8EAC2B608ADB}">
              <a16:predDERef xmlns:a16="http://schemas.microsoft.com/office/drawing/2014/main" pred="{04CABDE0-FA36-1D15-73E3-00CEC80C43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541020</xdr:colOff>
      <xdr:row>79</xdr:row>
      <xdr:rowOff>34290</xdr:rowOff>
    </xdr:from>
    <xdr:to>
      <xdr:col>8</xdr:col>
      <xdr:colOff>152400</xdr:colOff>
      <xdr:row>94</xdr:row>
      <xdr:rowOff>34290</xdr:rowOff>
    </xdr:to>
    <xdr:graphicFrame macro="">
      <xdr:nvGraphicFramePr>
        <xdr:cNvPr id="10" name="Chart 9">
          <a:extLst>
            <a:ext uri="{FF2B5EF4-FFF2-40B4-BE49-F238E27FC236}">
              <a16:creationId xmlns:a16="http://schemas.microsoft.com/office/drawing/2014/main" id="{8F8C323F-92A9-DF57-0E0D-6D009BF6AC99}"/>
            </a:ext>
            <a:ext uri="{147F2762-F138-4A5C-976F-8EAC2B608ADB}">
              <a16:predDERef xmlns:a16="http://schemas.microsoft.com/office/drawing/2014/main" pred="{2A1C5DC1-9EB3-A16D-54AF-8EFB06198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8</xdr:col>
      <xdr:colOff>409575</xdr:colOff>
      <xdr:row>0</xdr:row>
      <xdr:rowOff>285750</xdr:rowOff>
    </xdr:from>
    <xdr:to>
      <xdr:col>14</xdr:col>
      <xdr:colOff>219075</xdr:colOff>
      <xdr:row>3</xdr:row>
      <xdr:rowOff>200025</xdr:rowOff>
    </xdr:to>
    <xdr:sp macro="" textlink="">
      <xdr:nvSpPr>
        <xdr:cNvPr id="41" name="TextBox 4">
          <a:extLst>
            <a:ext uri="{FF2B5EF4-FFF2-40B4-BE49-F238E27FC236}">
              <a16:creationId xmlns:a16="http://schemas.microsoft.com/office/drawing/2014/main" id="{6CC3377B-A263-D82D-5639-80B6A325EACD}"/>
            </a:ext>
          </a:extLst>
        </xdr:cNvPr>
        <xdr:cNvSpPr txBox="1"/>
      </xdr:nvSpPr>
      <xdr:spPr>
        <a:xfrm>
          <a:off x="6924675" y="285750"/>
          <a:ext cx="6410325" cy="1800225"/>
        </a:xfrm>
        <a:prstGeom prst="rect">
          <a:avLst/>
        </a:prstGeom>
        <a:solidFill>
          <a:schemeClr val="accent2">
            <a:lumMod val="20000"/>
            <a:lumOff val="8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As displayed to the right of the data, Thursday is played the least amount of matches of 34 and Wednesday as the max amount of matches at 44 during the season. There is a relative even distribution of games played on each day  of the week throughout the season shown by the low variablility of the 3.42 standard deviation. </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Utilizing the players performance through goals scored, assists, and pass accuracy to analyze peak performance days of the week. The data shows that when there are less assists there are less goals scored with Friday displaying the most assists and goals throughout the week. The average of pass accuracy remains between 70 - 74.5% showing consistency throughout the matches. Friday and Saturday are the highest averages for pass accuracy which aligns well with the most goals scored on Friday. </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123825</xdr:colOff>
      <xdr:row>3</xdr:row>
      <xdr:rowOff>180975</xdr:rowOff>
    </xdr:from>
    <xdr:to>
      <xdr:col>19</xdr:col>
      <xdr:colOff>9525</xdr:colOff>
      <xdr:row>15</xdr:row>
      <xdr:rowOff>47625</xdr:rowOff>
    </xdr:to>
    <xdr:graphicFrame macro="">
      <xdr:nvGraphicFramePr>
        <xdr:cNvPr id="11" name="Chart 10">
          <a:extLst>
            <a:ext uri="{FF2B5EF4-FFF2-40B4-BE49-F238E27FC236}">
              <a16:creationId xmlns:a16="http://schemas.microsoft.com/office/drawing/2014/main" id="{13EEA9ED-F513-E860-D965-6C83DDF83B70}"/>
            </a:ext>
            <a:ext uri="{147F2762-F138-4A5C-976F-8EAC2B608ADB}">
              <a16:predDERef xmlns:a16="http://schemas.microsoft.com/office/drawing/2014/main" pred="{6CC3377B-A263-D82D-5639-80B6A325E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104775</xdr:colOff>
      <xdr:row>15</xdr:row>
      <xdr:rowOff>38100</xdr:rowOff>
    </xdr:from>
    <xdr:to>
      <xdr:col>19</xdr:col>
      <xdr:colOff>28575</xdr:colOff>
      <xdr:row>30</xdr:row>
      <xdr:rowOff>38100</xdr:rowOff>
    </xdr:to>
    <xdr:graphicFrame macro="">
      <xdr:nvGraphicFramePr>
        <xdr:cNvPr id="13" name="Chart 12">
          <a:extLst>
            <a:ext uri="{FF2B5EF4-FFF2-40B4-BE49-F238E27FC236}">
              <a16:creationId xmlns:a16="http://schemas.microsoft.com/office/drawing/2014/main" id="{76E75D8A-C1A1-4091-D55C-BDD0F3A9456A}"/>
            </a:ext>
            <a:ext uri="{147F2762-F138-4A5C-976F-8EAC2B608ADB}">
              <a16:predDERef xmlns:a16="http://schemas.microsoft.com/office/drawing/2014/main" pred="{13EEA9ED-F513-E860-D965-6C83DDF83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38100</xdr:colOff>
      <xdr:row>31</xdr:row>
      <xdr:rowOff>9525</xdr:rowOff>
    </xdr:from>
    <xdr:to>
      <xdr:col>18</xdr:col>
      <xdr:colOff>590550</xdr:colOff>
      <xdr:row>45</xdr:row>
      <xdr:rowOff>85725</xdr:rowOff>
    </xdr:to>
    <xdr:graphicFrame macro="">
      <xdr:nvGraphicFramePr>
        <xdr:cNvPr id="4" name="Chart 1">
          <a:extLst>
            <a:ext uri="{FF2B5EF4-FFF2-40B4-BE49-F238E27FC236}">
              <a16:creationId xmlns:a16="http://schemas.microsoft.com/office/drawing/2014/main" id="{D22C9A09-885D-678A-C8D1-757E1FDD989C}"/>
            </a:ext>
            <a:ext uri="{147F2762-F138-4A5C-976F-8EAC2B608ADB}">
              <a16:predDERef xmlns:a16="http://schemas.microsoft.com/office/drawing/2014/main" pred="{76E75D8A-C1A1-4091-D55C-BDD0F3A945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114300</xdr:colOff>
      <xdr:row>2</xdr:row>
      <xdr:rowOff>228600</xdr:rowOff>
    </xdr:from>
    <xdr:to>
      <xdr:col>3</xdr:col>
      <xdr:colOff>447675</xdr:colOff>
      <xdr:row>2</xdr:row>
      <xdr:rowOff>914400</xdr:rowOff>
    </xdr:to>
    <xdr:sp macro="" textlink="">
      <xdr:nvSpPr>
        <xdr:cNvPr id="36" name="TextBox 2">
          <a:extLst>
            <a:ext uri="{FF2B5EF4-FFF2-40B4-BE49-F238E27FC236}">
              <a16:creationId xmlns:a16="http://schemas.microsoft.com/office/drawing/2014/main" id="{B318FF75-A3C0-4DE3-A7D5-C498A9DA5566}"/>
            </a:ext>
            <a:ext uri="{147F2762-F138-4A5C-976F-8EAC2B608ADB}">
              <a16:predDERef xmlns:a16="http://schemas.microsoft.com/office/drawing/2014/main" pred="{D22C9A09-885D-678A-C8D1-757E1FDD989C}"/>
            </a:ext>
          </a:extLst>
        </xdr:cNvPr>
        <xdr:cNvSpPr txBox="1"/>
      </xdr:nvSpPr>
      <xdr:spPr>
        <a:xfrm>
          <a:off x="952500" y="819150"/>
          <a:ext cx="2276475" cy="685800"/>
        </a:xfrm>
        <a:prstGeom prst="rect">
          <a:avLst/>
        </a:prstGeom>
        <a:solidFill>
          <a:schemeClr val="accent2">
            <a:lumMod val="20000"/>
            <a:lumOff val="80000"/>
          </a:schemeClr>
        </a:solidFill>
        <a:ln w="9525" cmpd="sng">
          <a:solidFill>
            <a:schemeClr val="lt1">
              <a:shade val="50000"/>
            </a:schemeClr>
          </a:solidFill>
        </a:ln>
      </xdr:spPr>
      <xdr:txBody>
        <a:bodyPr spcFirstLastPara="0" wrap="square" lIns="91440" tIns="45720" rIns="91440" bIns="45720" rtlCol="0" anchor="t">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Goals Scored: 514</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Assists: 875</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Average Pass Accuracy: 72.7%</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257175</xdr:colOff>
      <xdr:row>4</xdr:row>
      <xdr:rowOff>142875</xdr:rowOff>
    </xdr:from>
    <xdr:to>
      <xdr:col>8</xdr:col>
      <xdr:colOff>476250</xdr:colOff>
      <xdr:row>38</xdr:row>
      <xdr:rowOff>85725</xdr:rowOff>
    </xdr:to>
    <xdr:sp macro="" textlink="">
      <xdr:nvSpPr>
        <xdr:cNvPr id="8" name="TextBox 3">
          <a:extLst>
            <a:ext uri="{FF2B5EF4-FFF2-40B4-BE49-F238E27FC236}">
              <a16:creationId xmlns:a16="http://schemas.microsoft.com/office/drawing/2014/main" id="{FE0524D3-D130-B049-04FA-17237531BDC2}"/>
            </a:ext>
            <a:ext uri="{147F2762-F138-4A5C-976F-8EAC2B608ADB}">
              <a16:predDERef xmlns:a16="http://schemas.microsoft.com/office/drawing/2014/main" pred="{8801F90F-3346-224D-6501-F7B870C33E58}"/>
            </a:ext>
          </a:extLst>
        </xdr:cNvPr>
        <xdr:cNvSpPr txBox="1"/>
      </xdr:nvSpPr>
      <xdr:spPr>
        <a:xfrm>
          <a:off x="257175" y="1457325"/>
          <a:ext cx="5095875" cy="6105525"/>
        </a:xfrm>
        <a:prstGeom prst="rect">
          <a:avLst/>
        </a:prstGeom>
        <a:solidFill>
          <a:schemeClr val="accent2">
            <a:lumMod val="20000"/>
            <a:lumOff val="80000"/>
          </a:schemeClr>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Overall Goals and Assists: </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Away Total- </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Goals: 263</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Assists: 436</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Minutes Played: 7,811</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Home Total- </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Goals: 251</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Assists: 439 </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Minutes PLayed: 7,890</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While the number of assists are almost equal, teams have scored slightly more goals in away matches suggesting more offensive effectiveness. </a:t>
          </a:r>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Analysis on Player Postion Home vs. Away </a:t>
          </a:r>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Defenders have more assists at home (183) compared to away (135),  showing more playmaking at home games which could be because of the support of the home crowd.</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Forwards score more goals away compared to home, 53 vs. 39, and assist more as well, 53 vs. 37. This could be that offense players are more aggresive or get more chances to score on the road. </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Midfielders have more goals and assists at away games. This supports the trend of stronger offense on the road. </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Goalkeepers have more minutes played at away games compared to home, 315 minutes vs. 180 minutes, which could be due to different strategies on the road.</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 Summary: </a:t>
          </a:r>
        </a:p>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Overall teams score more goals during away games which is largely due to the goals scored by forwards and midfielders. Defenders, do contribute more at home games which could be due to playing better in a familar environment. These trends could impact team lineups and support that there is an emphasis on offensive pressure when playing away games.</a:t>
          </a: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42</xdr:col>
      <xdr:colOff>419100</xdr:colOff>
      <xdr:row>1</xdr:row>
      <xdr:rowOff>9525</xdr:rowOff>
    </xdr:from>
    <xdr:to>
      <xdr:col>47</xdr:col>
      <xdr:colOff>190500</xdr:colOff>
      <xdr:row>17</xdr:row>
      <xdr:rowOff>114300</xdr:rowOff>
    </xdr:to>
    <xdr:graphicFrame macro="">
      <xdr:nvGraphicFramePr>
        <xdr:cNvPr id="5" name="Chart 7">
          <a:extLst>
            <a:ext uri="{FF2B5EF4-FFF2-40B4-BE49-F238E27FC236}">
              <a16:creationId xmlns:a16="http://schemas.microsoft.com/office/drawing/2014/main" id="{73EA7D5A-343C-1029-3DED-B0C506A490C4}"/>
            </a:ext>
            <a:ext uri="{147F2762-F138-4A5C-976F-8EAC2B608ADB}">
              <a16:predDERef xmlns:a16="http://schemas.microsoft.com/office/drawing/2014/main" pred="{FE0524D3-D130-B049-04FA-17237531BD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514350</xdr:colOff>
      <xdr:row>35</xdr:row>
      <xdr:rowOff>9525</xdr:rowOff>
    </xdr:from>
    <xdr:to>
      <xdr:col>43</xdr:col>
      <xdr:colOff>819150</xdr:colOff>
      <xdr:row>50</xdr:row>
      <xdr:rowOff>19050</xdr:rowOff>
    </xdr:to>
    <xdr:graphicFrame macro="">
      <xdr:nvGraphicFramePr>
        <xdr:cNvPr id="6" name="Chart 14">
          <a:extLst>
            <a:ext uri="{FF2B5EF4-FFF2-40B4-BE49-F238E27FC236}">
              <a16:creationId xmlns:a16="http://schemas.microsoft.com/office/drawing/2014/main" id="{4EAD157A-9F4B-C53A-4E47-AD9C397E3319}"/>
            </a:ext>
            <a:ext uri="{147F2762-F138-4A5C-976F-8EAC2B608ADB}">
              <a16:predDERef xmlns:a16="http://schemas.microsoft.com/office/drawing/2014/main" pred="{73EA7D5A-343C-1029-3DED-B0C506A490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42</xdr:col>
      <xdr:colOff>428625</xdr:colOff>
      <xdr:row>52</xdr:row>
      <xdr:rowOff>66675</xdr:rowOff>
    </xdr:from>
    <xdr:to>
      <xdr:col>44</xdr:col>
      <xdr:colOff>1562100</xdr:colOff>
      <xdr:row>67</xdr:row>
      <xdr:rowOff>95250</xdr:rowOff>
    </xdr:to>
    <xdr:graphicFrame macro="">
      <xdr:nvGraphicFramePr>
        <xdr:cNvPr id="36" name="Chart 15">
          <a:extLst>
            <a:ext uri="{FF2B5EF4-FFF2-40B4-BE49-F238E27FC236}">
              <a16:creationId xmlns:a16="http://schemas.microsoft.com/office/drawing/2014/main" id="{C93108A1-F8BA-D228-EF65-6750B45B60EA}"/>
            </a:ext>
            <a:ext uri="{147F2762-F138-4A5C-976F-8EAC2B608ADB}">
              <a16:predDERef xmlns:a16="http://schemas.microsoft.com/office/drawing/2014/main" pred="{4EAD157A-9F4B-C53A-4E47-AD9C397E33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12</xdr:col>
      <xdr:colOff>152400</xdr:colOff>
      <xdr:row>0</xdr:row>
      <xdr:rowOff>504825</xdr:rowOff>
    </xdr:from>
    <xdr:to>
      <xdr:col>14</xdr:col>
      <xdr:colOff>1962150</xdr:colOff>
      <xdr:row>13</xdr:row>
      <xdr:rowOff>66675</xdr:rowOff>
    </xdr:to>
    <xdr:graphicFrame macro="">
      <xdr:nvGraphicFramePr>
        <xdr:cNvPr id="2" name="Chart 28">
          <a:extLst>
            <a:ext uri="{FF2B5EF4-FFF2-40B4-BE49-F238E27FC236}">
              <a16:creationId xmlns:a16="http://schemas.microsoft.com/office/drawing/2014/main" id="{B10840E5-374E-FDB7-3308-F86CE4B383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15</xdr:col>
      <xdr:colOff>141817</xdr:colOff>
      <xdr:row>4</xdr:row>
      <xdr:rowOff>420687</xdr:rowOff>
    </xdr:from>
    <xdr:to>
      <xdr:col>22</xdr:col>
      <xdr:colOff>446617</xdr:colOff>
      <xdr:row>18</xdr:row>
      <xdr:rowOff>120121</xdr:rowOff>
    </xdr:to>
    <xdr:graphicFrame macro="">
      <xdr:nvGraphicFramePr>
        <xdr:cNvPr id="10" name="Chart 3">
          <a:extLst>
            <a:ext uri="{FF2B5EF4-FFF2-40B4-BE49-F238E27FC236}">
              <a16:creationId xmlns:a16="http://schemas.microsoft.com/office/drawing/2014/main" id="{F175C433-30BE-5879-E5B0-24AEC0B60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361950</xdr:colOff>
      <xdr:row>3</xdr:row>
      <xdr:rowOff>171450</xdr:rowOff>
    </xdr:from>
    <xdr:to>
      <xdr:col>8</xdr:col>
      <xdr:colOff>419100</xdr:colOff>
      <xdr:row>22</xdr:row>
      <xdr:rowOff>28575</xdr:rowOff>
    </xdr:to>
    <xdr:sp macro="" textlink="">
      <xdr:nvSpPr>
        <xdr:cNvPr id="5" name="TextBox 4">
          <a:extLst>
            <a:ext uri="{FF2B5EF4-FFF2-40B4-BE49-F238E27FC236}">
              <a16:creationId xmlns:a16="http://schemas.microsoft.com/office/drawing/2014/main" id="{D4842E56-48F4-EE6A-AFFF-8B536B41CBFD}"/>
            </a:ext>
            <a:ext uri="{147F2762-F138-4A5C-976F-8EAC2B608ADB}">
              <a16:predDERef xmlns:a16="http://schemas.microsoft.com/office/drawing/2014/main" pred="{94D2FAEF-9A16-AAA5-374D-BDB58C1DCD94}"/>
            </a:ext>
          </a:extLst>
        </xdr:cNvPr>
        <xdr:cNvSpPr txBox="1"/>
      </xdr:nvSpPr>
      <xdr:spPr>
        <a:xfrm>
          <a:off x="1581150" y="1323975"/>
          <a:ext cx="3867150" cy="3486150"/>
        </a:xfrm>
        <a:prstGeom prst="rect">
          <a:avLst/>
        </a:prstGeom>
        <a:solidFill>
          <a:schemeClr val="accent2">
            <a:lumMod val="20000"/>
            <a:lumOff val="80000"/>
          </a:schemeClr>
        </a:solidFill>
        <a:ln/>
      </xdr:spPr>
      <xdr:style>
        <a:lnRef idx="2">
          <a:schemeClr val="accent2">
            <a:shade val="15000"/>
          </a:schemeClr>
        </a:lnRef>
        <a:fillRef idx="1">
          <a:schemeClr val="accent2"/>
        </a:fillRef>
        <a:effectRef idx="0">
          <a:schemeClr val="accent2"/>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Summary: </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Correlation : 0.055</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R- Squared : 0.0031</a:t>
          </a: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P-Value : 0.3566</a:t>
          </a:r>
        </a:p>
        <a:p>
          <a:pPr marL="0" indent="0" algn="l"/>
          <a:endPar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Analysis between training hours per week and distance covered. The correlation between the two variables is 0.055 which represents a weak linear relationship between training hours per week and distance covered. After creating a scatter plot and inputting a trendline, the R-Squared is 0.0031 which indiacates that only .31% of the variation for distance covered is explained by training hours per week. </a:t>
          </a:r>
        </a:p>
        <a:p>
          <a:pPr marL="0" indent="0" algn="l"/>
          <a:endPar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indent="0" algn="l"/>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The regression results of training hours as X and distance covered as Y, Training Hours per week had a P-Value of 0.357 which is greater than the alpha of 0.05 and is not statistically significant. The workload variation must be influenced by other factors like player position or minutes played not just the hours trained per week. </a:t>
          </a:r>
        </a:p>
      </xdr:txBody>
    </xdr:sp>
    <xdr:clientData/>
  </xdr:twoCellAnchor>
  <xdr:twoCellAnchor>
    <xdr:from>
      <xdr:col>9</xdr:col>
      <xdr:colOff>563880</xdr:colOff>
      <xdr:row>1</xdr:row>
      <xdr:rowOff>689610</xdr:rowOff>
    </xdr:from>
    <xdr:to>
      <xdr:col>14</xdr:col>
      <xdr:colOff>541020</xdr:colOff>
      <xdr:row>16</xdr:row>
      <xdr:rowOff>140970</xdr:rowOff>
    </xdr:to>
    <xdr:graphicFrame macro="">
      <xdr:nvGraphicFramePr>
        <xdr:cNvPr id="2" name="Chart 1">
          <a:extLst>
            <a:ext uri="{FF2B5EF4-FFF2-40B4-BE49-F238E27FC236}">
              <a16:creationId xmlns:a16="http://schemas.microsoft.com/office/drawing/2014/main" id="{08D04C05-68EB-3B96-56E0-8ACF8AFFF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190500</xdr:colOff>
      <xdr:row>4</xdr:row>
      <xdr:rowOff>80962</xdr:rowOff>
    </xdr:from>
    <xdr:to>
      <xdr:col>13</xdr:col>
      <xdr:colOff>495300</xdr:colOff>
      <xdr:row>18</xdr:row>
      <xdr:rowOff>157162</xdr:rowOff>
    </xdr:to>
    <xdr:graphicFrame macro="">
      <xdr:nvGraphicFramePr>
        <xdr:cNvPr id="3" name="Chart 2">
          <a:extLst>
            <a:ext uri="{FF2B5EF4-FFF2-40B4-BE49-F238E27FC236}">
              <a16:creationId xmlns:a16="http://schemas.microsoft.com/office/drawing/2014/main" id="{6804699E-5F43-7C4B-EE29-6CEED4C8E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16</xdr:col>
      <xdr:colOff>15240</xdr:colOff>
      <xdr:row>15</xdr:row>
      <xdr:rowOff>163830</xdr:rowOff>
    </xdr:from>
    <xdr:to>
      <xdr:col>23</xdr:col>
      <xdr:colOff>182880</xdr:colOff>
      <xdr:row>30</xdr:row>
      <xdr:rowOff>163830</xdr:rowOff>
    </xdr:to>
    <xdr:graphicFrame macro="">
      <xdr:nvGraphicFramePr>
        <xdr:cNvPr id="12" name="Chart 11">
          <a:extLst>
            <a:ext uri="{FF2B5EF4-FFF2-40B4-BE49-F238E27FC236}">
              <a16:creationId xmlns:a16="http://schemas.microsoft.com/office/drawing/2014/main" id="{8B417E29-FF83-4E6F-ED78-27D18EBF7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531495</xdr:colOff>
      <xdr:row>0</xdr:row>
      <xdr:rowOff>133350</xdr:rowOff>
    </xdr:from>
    <xdr:to>
      <xdr:col>13</xdr:col>
      <xdr:colOff>226695</xdr:colOff>
      <xdr:row>12</xdr:row>
      <xdr:rowOff>133350</xdr:rowOff>
    </xdr:to>
    <xdr:graphicFrame macro="">
      <xdr:nvGraphicFramePr>
        <xdr:cNvPr id="2" name="Chart 1">
          <a:extLst>
            <a:ext uri="{FF2B5EF4-FFF2-40B4-BE49-F238E27FC236}">
              <a16:creationId xmlns:a16="http://schemas.microsoft.com/office/drawing/2014/main" id="{DC159C30-33BA-8697-0031-3EC94AB873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571500</xdr:colOff>
      <xdr:row>14</xdr:row>
      <xdr:rowOff>0</xdr:rowOff>
    </xdr:from>
    <xdr:to>
      <xdr:col>13</xdr:col>
      <xdr:colOff>266700</xdr:colOff>
      <xdr:row>29</xdr:row>
      <xdr:rowOff>0</xdr:rowOff>
    </xdr:to>
    <xdr:graphicFrame macro="">
      <xdr:nvGraphicFramePr>
        <xdr:cNvPr id="5" name="Chart 4">
          <a:extLst>
            <a:ext uri="{FF2B5EF4-FFF2-40B4-BE49-F238E27FC236}">
              <a16:creationId xmlns:a16="http://schemas.microsoft.com/office/drawing/2014/main" id="{63DBE5FF-DD09-7933-B2C6-06CF7F9CCB49}"/>
            </a:ext>
            <a:ext uri="{147F2762-F138-4A5C-976F-8EAC2B608ADB}">
              <a16:predDERef xmlns:a16="http://schemas.microsoft.com/office/drawing/2014/main" pred="{DC159C30-33BA-8697-0031-3EC94AB873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561975</xdr:colOff>
      <xdr:row>0</xdr:row>
      <xdr:rowOff>714375</xdr:rowOff>
    </xdr:from>
    <xdr:to>
      <xdr:col>20</xdr:col>
      <xdr:colOff>561975</xdr:colOff>
      <xdr:row>24</xdr:row>
      <xdr:rowOff>95250</xdr:rowOff>
    </xdr:to>
    <xdr:sp macro="" textlink="">
      <xdr:nvSpPr>
        <xdr:cNvPr id="3" name="TextBox 2">
          <a:extLst>
            <a:ext uri="{FF2B5EF4-FFF2-40B4-BE49-F238E27FC236}">
              <a16:creationId xmlns:a16="http://schemas.microsoft.com/office/drawing/2014/main" id="{ECD975CE-80A4-3F2F-8EFF-30D2A45B65E8}"/>
            </a:ext>
            <a:ext uri="{147F2762-F138-4A5C-976F-8EAC2B608ADB}">
              <a16:predDERef xmlns:a16="http://schemas.microsoft.com/office/drawing/2014/main" pred="{63DBE5FF-DD09-7933-B2C6-06CF7F9CCB49}"/>
            </a:ext>
          </a:extLst>
        </xdr:cNvPr>
        <xdr:cNvSpPr txBox="1"/>
      </xdr:nvSpPr>
      <xdr:spPr>
        <a:xfrm>
          <a:off x="8401050" y="714375"/>
          <a:ext cx="4267200" cy="4267200"/>
        </a:xfrm>
        <a:prstGeom prst="rect">
          <a:avLst/>
        </a:prstGeom>
        <a:solidFill>
          <a:schemeClr val="accent2">
            <a:lumMod val="20000"/>
            <a:lumOff val="80000"/>
          </a:schemeClr>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marR="0" indent="0" algn="l">
            <a:lnSpc>
              <a:spcPct val="100000"/>
            </a:lnSpc>
            <a:spcBef>
              <a:spcPts val="0"/>
            </a:spcBef>
            <a:spcAft>
              <a:spcPts val="0"/>
            </a:spcAft>
          </a:pPr>
          <a:r>
            <a:rPr lang="en-US" sz="1100" b="1" i="1" u="sng" strike="noStrike">
              <a:solidFill>
                <a:schemeClr val="tx1"/>
              </a:solidFill>
              <a:latin typeface="Calibri" panose="020F0502020204030204" pitchFamily="34" charset="0"/>
              <a:ea typeface="Calibri" panose="020F0502020204030204" pitchFamily="34" charset="0"/>
              <a:cs typeface="Calibri" panose="020F0502020204030204" pitchFamily="34" charset="0"/>
            </a:rPr>
            <a:t>Summary</a:t>
          </a:r>
          <a:endPar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0" i="0">
              <a:effectLst/>
              <a:latin typeface="+mn-lt"/>
              <a:ea typeface="+mn-ea"/>
              <a:cs typeface="+mn-cs"/>
            </a:rPr>
            <a:t>Looking at the R-squared for both data</a:t>
          </a:r>
          <a:r>
            <a:rPr lang="en-US" sz="1100" b="0" i="0" baseline="0">
              <a:effectLst/>
              <a:latin typeface="+mn-lt"/>
              <a:ea typeface="+mn-ea"/>
              <a:cs typeface="+mn-cs"/>
            </a:rPr>
            <a:t> set, they are considerably low. </a:t>
          </a:r>
          <a:endPar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endPar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Fatique Index:</a:t>
          </a:r>
        </a:p>
        <a:p>
          <a:pPr marL="0" marR="0" indent="0" algn="l">
            <a:lnSpc>
              <a:spcPct val="100000"/>
            </a:lnSpc>
            <a:spcBef>
              <a:spcPts val="0"/>
            </a:spcBef>
            <a:spcAft>
              <a:spcPts val="0"/>
            </a:spcAft>
          </a:pPr>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R-Squared .0002</a:t>
          </a:r>
        </a:p>
        <a:p>
          <a:pPr marL="0" marR="0" indent="0" algn="l">
            <a:lnSpc>
              <a:spcPct val="100000"/>
            </a:lnSpc>
            <a:spcBef>
              <a:spcPts val="0"/>
            </a:spcBef>
            <a:spcAft>
              <a:spcPts val="0"/>
            </a:spcAft>
          </a:pPr>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y= 0.0008x</a:t>
          </a:r>
          <a:r>
            <a:rPr lang="en-US" sz="11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 + 1.0032</a:t>
          </a:r>
          <a:endPar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100" b="0" i="0" baseline="0">
              <a:effectLst/>
              <a:latin typeface="+mn-lt"/>
              <a:ea typeface="+mn-ea"/>
              <a:cs typeface="+mn-cs"/>
            </a:rPr>
            <a:t>This suggests a weak correlation between training hours and fatigue index. There are factors other than numbers of training hours that affect fatigue levels in the players. The coefficient of x, .0008, indicates a positive relationship. Therefore, for every additional hour of training per week, after the baseline fatigue index of 1.0032, the fatigue index will increase by 0.0008. I conclude that number of training hours has very little affect on player fatigue according to the data. </a:t>
          </a:r>
          <a:endPar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endPar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Muscle Strength Score by Age:</a:t>
          </a:r>
        </a:p>
        <a:p>
          <a:pPr marL="0" marR="0" indent="0" algn="l">
            <a:lnSpc>
              <a:spcPct val="100000"/>
            </a:lnSpc>
            <a:spcBef>
              <a:spcPts val="0"/>
            </a:spcBef>
            <a:spcAft>
              <a:spcPts val="0"/>
            </a:spcAft>
          </a:pPr>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R-Squared .0021</a:t>
          </a:r>
        </a:p>
        <a:p>
          <a:pPr marL="0" marR="0" indent="0" algn="l">
            <a:lnSpc>
              <a:spcPct val="100000"/>
            </a:lnSpc>
            <a:spcBef>
              <a:spcPts val="0"/>
            </a:spcBef>
            <a:spcAft>
              <a:spcPts val="0"/>
            </a:spcAft>
          </a:pPr>
          <a:r>
            <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y= -0.0602x + 86.135</a:t>
          </a:r>
        </a:p>
        <a:p>
          <a:pPr marL="0" marR="0" indent="0" algn="l">
            <a:lnSpc>
              <a:spcPct val="100000"/>
            </a:lnSpc>
            <a:spcBef>
              <a:spcPts val="0"/>
            </a:spcBef>
            <a:spcAft>
              <a:spcPts val="0"/>
            </a:spcAft>
          </a:pPr>
          <a:r>
            <a:rPr lang="en-US" sz="1100" b="0" i="0" baseline="0">
              <a:effectLst/>
              <a:latin typeface="+mn-lt"/>
              <a:ea typeface="+mn-ea"/>
              <a:cs typeface="+mn-cs"/>
            </a:rPr>
            <a:t>This suggests a weak correlation between age and muscle strength core. The coefficient of x, -0.0602, indicates a negative relationship. Therefore, for every year increase in age, after the baseline muscle strength score of 86.135, the muscle strength score will decrease by 0.0602. I conclude that the age of the player has very little affect on player muscle strength score according to the data. </a:t>
          </a:r>
          <a:endParaRPr lang="en-US" sz="1100" b="0" i="0" u="none" strike="noStrike">
            <a:solidFill>
              <a:schemeClr val="tx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5</xdr:col>
      <xdr:colOff>685800</xdr:colOff>
      <xdr:row>20</xdr:row>
      <xdr:rowOff>30480</xdr:rowOff>
    </xdr:from>
    <xdr:to>
      <xdr:col>19</xdr:col>
      <xdr:colOff>335280</xdr:colOff>
      <xdr:row>34</xdr:row>
      <xdr:rowOff>114300</xdr:rowOff>
    </xdr:to>
    <xdr:sp macro="" textlink="">
      <xdr:nvSpPr>
        <xdr:cNvPr id="7" name="TextBox 1">
          <a:extLst>
            <a:ext uri="{FF2B5EF4-FFF2-40B4-BE49-F238E27FC236}">
              <a16:creationId xmlns:a16="http://schemas.microsoft.com/office/drawing/2014/main" id="{5F2485BE-EE85-73BA-4E39-88EF74D80F7E}"/>
            </a:ext>
          </a:extLst>
        </xdr:cNvPr>
        <xdr:cNvSpPr txBox="1"/>
      </xdr:nvSpPr>
      <xdr:spPr>
        <a:xfrm>
          <a:off x="5707380" y="3710940"/>
          <a:ext cx="12138660" cy="2644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To predict the number of assists, scenarios at a regression multiple linear regression model for the four different variables (minutes played per match, pass accuracy, age, and training hours per week). The model fit well (R-squared = 0.979), implying that since the model was able to explain up to 98% of the variability in assists, it was due to the four predictors combined, but the tests of significance of the predictors showed that they were not all statistically useful in predicting assists. The training hours per week predictor was the best predictor (significant p-value = 0.0003, coefficient ~ 0.29), implying that for every one-hour increase in training hours per week, there would be an increase of 0.29 assists, holding the other variables constant. The pass accuracy predictor had a coefficient of ~ 0.051 and a p-value equal to 0.054, which is just above a p-value of 0.050 (traditional cutoff), making it borderline significant. The minutes played per match predictor had a p-value of 0.62, and age had a p-value of 0.82, indicating significant predictors sound like a very modest amount even for a sample size of 100; however, these predictors were statistically insignificant in predicting variation in assists.</a:t>
          </a:r>
        </a:p>
        <a:p>
          <a:r>
            <a:rPr lang="en-US" sz="1100">
              <a:solidFill>
                <a:schemeClr val="dk1"/>
              </a:solidFill>
              <a:effectLst/>
              <a:latin typeface="+mn-lt"/>
              <a:ea typeface="+mn-ea"/>
              <a:cs typeface="+mn-cs"/>
            </a:rPr>
            <a:t>Consequently, minutes played and age were eliminated from the model, and a further regression was implemented using only the variables pass accuracy and hours of training per week. The simplified model retained virtually the same explanatory power, resulting in the same R-squared value of .979. This suggested that pass accuracy and hours of training accounted for almost all of the predictive ability of the initial model. In the refined model, training hours were the key predictor and were statistically significant (p = .0003), whereas pass accuracy was marginally significant (p = .054). The interpretation of the coefficients was unchanged: each additional hour of training predicted an increase of 0.29 assists, and for each 1% increase in pass accuracy, the predicted increase in assists was equal to 0.051. This finding suggests that the commitment to training hours is of major importance to a player’s ability to deliver assists, whereas, on average, pass accuracy has a secondary role. The model constant also highlights the ‘real world’ importance of training focus on assist performance and develops a more direct interpretation and stronger statistical interpretation as clearer predictive insight is developed by eliminating the variables that do not provide meaningful predictions.</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ysho" refreshedDate="45811.760676620368" createdVersion="8" refreshedVersion="8" minRefreshableVersion="3" recordCount="280" xr:uid="{21550F10-8DDA-4BF9-9365-1F20AD5D42AB}">
  <cacheSource type="worksheet">
    <worksheetSource ref="N1:AN281" sheet="1a_Injury Type "/>
  </cacheSource>
  <cacheFields count="27">
    <cacheField name="Player ID" numFmtId="0">
      <sharedItems count="280">
        <s v="PID0001"/>
        <s v="PID0002"/>
        <s v="PID0003"/>
        <s v="PID0004"/>
        <s v="PID0005"/>
        <s v="PID0006"/>
        <s v="PID0007"/>
        <s v="PID0008"/>
        <s v="PID0009"/>
        <s v="PID0010"/>
        <s v="PID0011"/>
        <s v="PID0012"/>
        <s v="PID0013"/>
        <s v="PID0014"/>
        <s v="PID0015"/>
        <s v="PID0016"/>
        <s v="PID0017"/>
        <s v="PID0018"/>
        <s v="PID0019"/>
        <s v="PID0020"/>
        <s v="PID0021"/>
        <s v="PID0022"/>
        <s v="PID0023"/>
        <s v="PID0024"/>
        <s v="PID0025"/>
        <s v="PID0026"/>
        <s v="PID0027"/>
        <s v="PID0028"/>
        <s v="PID0029"/>
        <s v="PID0030"/>
        <s v="PID0031"/>
        <s v="PID0032"/>
        <s v="PID0033"/>
        <s v="PID0034"/>
        <s v="PID0035"/>
        <s v="PID0036"/>
        <s v="PID0037"/>
        <s v="PID0038"/>
        <s v="PID0039"/>
        <s v="PID0040"/>
        <s v="PID0041"/>
        <s v="PID0042"/>
        <s v="PID0043"/>
        <s v="PID0044"/>
        <s v="PID0045"/>
        <s v="PID0046"/>
        <s v="PID0047"/>
        <s v="PID0048"/>
        <s v="PID0049"/>
        <s v="PID0050"/>
        <s v="PID0051"/>
        <s v="PID0052"/>
        <s v="PID0053"/>
        <s v="PID0054"/>
        <s v="PID0055"/>
        <s v="PID0056"/>
        <s v="PID0057"/>
        <s v="PID0058"/>
        <s v="PID0059"/>
        <s v="PID0060"/>
        <s v="PID0061"/>
        <s v="PID0062"/>
        <s v="PID0063"/>
        <s v="PID0064"/>
        <s v="PID0065"/>
        <s v="PID0066"/>
        <s v="PID0067"/>
        <s v="PID0068"/>
        <s v="PID0069"/>
        <s v="PID0070"/>
        <s v="PID0071"/>
        <s v="PID0072"/>
        <s v="PID0073"/>
        <s v="PID0074"/>
        <s v="PID0075"/>
        <s v="PID0076"/>
        <s v="PID0077"/>
        <s v="PID0078"/>
        <s v="PID0079"/>
        <s v="PID0080"/>
        <s v="PID0081"/>
        <s v="PID0082"/>
        <s v="PID0083"/>
        <s v="PID0084"/>
        <s v="PID0085"/>
        <s v="PID0086"/>
        <s v="PID0087"/>
        <s v="PID0088"/>
        <s v="PID0089"/>
        <s v="PID0090"/>
        <s v="PID0091"/>
        <s v="PID0092"/>
        <s v="PID0093"/>
        <s v="PID0094"/>
        <s v="PID0095"/>
        <s v="PID0096"/>
        <s v="PID0097"/>
        <s v="PID0098"/>
        <s v="PID0099"/>
        <s v="PID0100"/>
        <s v="PID0101"/>
        <s v="PID0102"/>
        <s v="PID0103"/>
        <s v="PID0104"/>
        <s v="PID0105"/>
        <s v="PID0106"/>
        <s v="PID0107"/>
        <s v="PID0108"/>
        <s v="PID0109"/>
        <s v="PID0110"/>
        <s v="PID0111"/>
        <s v="PID0112"/>
        <s v="PID0113"/>
        <s v="PID0114"/>
        <s v="PID0115"/>
        <s v="PID0116"/>
        <s v="PID0117"/>
        <s v="PID0118"/>
        <s v="PID0119"/>
        <s v="PID0120"/>
        <s v="PID0121"/>
        <s v="PID0122"/>
        <s v="PID0123"/>
        <s v="PID0124"/>
        <s v="PID0125"/>
        <s v="PID0126"/>
        <s v="PID0127"/>
        <s v="PID0128"/>
        <s v="PID0129"/>
        <s v="PID0130"/>
        <s v="PID0131"/>
        <s v="PID0132"/>
        <s v="PID0133"/>
        <s v="PID0134"/>
        <s v="PID0135"/>
        <s v="PID0136"/>
        <s v="PID0137"/>
        <s v="PID0138"/>
        <s v="PID0139"/>
        <s v="PID0140"/>
        <s v="PID0141"/>
        <s v="PID0142"/>
        <s v="PID0143"/>
        <s v="PID0144"/>
        <s v="PID0145"/>
        <s v="PID0146"/>
        <s v="PID0147"/>
        <s v="PID0148"/>
        <s v="PID0149"/>
        <s v="PID0150"/>
        <s v="PID0151"/>
        <s v="PID0152"/>
        <s v="PID0153"/>
        <s v="PID0154"/>
        <s v="PID0155"/>
        <s v="PID0156"/>
        <s v="PID0157"/>
        <s v="PID0158"/>
        <s v="PID0159"/>
        <s v="PID0160"/>
        <s v="PID0161"/>
        <s v="PID0162"/>
        <s v="PID0163"/>
        <s v="PID0164"/>
        <s v="PID0165"/>
        <s v="PID0166"/>
        <s v="PID0167"/>
        <s v="PID0168"/>
        <s v="PID0169"/>
        <s v="PID0170"/>
        <s v="PID0171"/>
        <s v="PID0172"/>
        <s v="PID0173"/>
        <s v="PID0174"/>
        <s v="PID0175"/>
        <s v="PID0176"/>
        <s v="PID0177"/>
        <s v="PID0178"/>
        <s v="PID0179"/>
        <s v="PID0180"/>
        <s v="PID0181"/>
        <s v="PID0182"/>
        <s v="PID0183"/>
        <s v="PID0184"/>
        <s v="PID0185"/>
        <s v="PID0186"/>
        <s v="PID0187"/>
        <s v="PID0188"/>
        <s v="PID0189"/>
        <s v="PID0190"/>
        <s v="PID0191"/>
        <s v="PID0192"/>
        <s v="PID0193"/>
        <s v="PID0194"/>
        <s v="PID0195"/>
        <s v="PID0196"/>
        <s v="PID0197"/>
        <s v="PID0198"/>
        <s v="PID0199"/>
        <s v="PID0200"/>
        <s v="PID0201"/>
        <s v="PID0202"/>
        <s v="PID0203"/>
        <s v="PID0204"/>
        <s v="PID0205"/>
        <s v="PID0206"/>
        <s v="PID0207"/>
        <s v="PID0208"/>
        <s v="PID0209"/>
        <s v="PID0210"/>
        <s v="PID0211"/>
        <s v="PID0212"/>
        <s v="PID0213"/>
        <s v="PID0214"/>
        <s v="PID0215"/>
        <s v="PID0216"/>
        <s v="PID0217"/>
        <s v="PID0218"/>
        <s v="PID0219"/>
        <s v="PID0220"/>
        <s v="PID0221"/>
        <s v="PID0222"/>
        <s v="PID0223"/>
        <s v="PID0224"/>
        <s v="PID0225"/>
        <s v="PID0226"/>
        <s v="PID0227"/>
        <s v="PID0228"/>
        <s v="PID0229"/>
        <s v="PID0230"/>
        <s v="PID0231"/>
        <s v="PID0232"/>
        <s v="PID0233"/>
        <s v="PID0234"/>
        <s v="PID0235"/>
        <s v="PID0236"/>
        <s v="PID0237"/>
        <s v="PID0238"/>
        <s v="PID0239"/>
        <s v="PID0240"/>
        <s v="PID0241"/>
        <s v="PID0242"/>
        <s v="PID0243"/>
        <s v="PID0244"/>
        <s v="PID0245"/>
        <s v="PID0246"/>
        <s v="PID0247"/>
        <s v="PID0248"/>
        <s v="PID0249"/>
        <s v="PID0250"/>
        <s v="PID0251"/>
        <s v="PID0252"/>
        <s v="PID0253"/>
        <s v="PID0254"/>
        <s v="PID0255"/>
        <s v="PID0256"/>
        <s v="PID0257"/>
        <s v="PID0258"/>
        <s v="PID0259"/>
        <s v="PID0260"/>
        <s v="PID0261"/>
        <s v="PID0262"/>
        <s v="PID0263"/>
        <s v="PID0264"/>
        <s v="PID0265"/>
        <s v="PID0266"/>
        <s v="PID0267"/>
        <s v="PID0268"/>
        <s v="PID0269"/>
        <s v="PID0270"/>
        <s v="PID0271"/>
        <s v="PID0272"/>
        <s v="PID0273"/>
        <s v="PID0274"/>
        <s v="PID0275"/>
        <s v="PID0276"/>
        <s v="PID0277"/>
        <s v="PID0278"/>
        <s v="PID0279"/>
        <s v="PID0280"/>
      </sharedItems>
    </cacheField>
    <cacheField name="Team Name" numFmtId="0">
      <sharedItems count="4">
        <s v="Team A"/>
        <s v="Team C"/>
        <s v="Team B"/>
        <s v="Team D"/>
      </sharedItems>
    </cacheField>
    <cacheField name="Player Position" numFmtId="0">
      <sharedItems count="4">
        <s v="Defender"/>
        <s v="Midfielder"/>
        <s v="Forward"/>
        <s v="Goalkeeper"/>
      </sharedItems>
    </cacheField>
    <cacheField name="Match Date" numFmtId="0">
      <sharedItems/>
    </cacheField>
    <cacheField name="Day of Week Played" numFmtId="0">
      <sharedItems/>
    </cacheField>
    <cacheField name="Match Location" numFmtId="0">
      <sharedItems/>
    </cacheField>
    <cacheField name="Minutes Played per Match" numFmtId="0">
      <sharedItems containsSemiMixedTypes="0" containsString="0" containsNumber="1" containsInteger="1" minValue="20" maxValue="94"/>
    </cacheField>
    <cacheField name="Goals Scored" numFmtId="0">
      <sharedItems containsSemiMixedTypes="0" containsString="0" containsNumber="1" containsInteger="1" minValue="0" maxValue="4"/>
    </cacheField>
    <cacheField name="Assists" numFmtId="0">
      <sharedItems containsSemiMixedTypes="0" containsString="0" containsNumber="1" containsInteger="1" minValue="0" maxValue="6"/>
    </cacheField>
    <cacheField name="Pass Accuracy (%)" numFmtId="0">
      <sharedItems containsSemiMixedTypes="0" containsString="0" containsNumber="1" minValue="50.01" maxValue="94.97"/>
    </cacheField>
    <cacheField name="Training Hours per Week" numFmtId="0">
      <sharedItems containsSemiMixedTypes="0" containsString="0" containsNumber="1" minValue="5.2" maxValue="19.899999999999999"/>
    </cacheField>
    <cacheField name="Distance Covered (km)" numFmtId="0">
      <sharedItems containsSemiMixedTypes="0" containsString="0" containsNumber="1" minValue="5.01" maxValue="14.92"/>
    </cacheField>
    <cacheField name="Injury Date" numFmtId="0">
      <sharedItems containsNonDate="0" containsDate="1" containsString="0" containsBlank="1" minDate="2023-01-11T00:00:00" maxDate="2023-12-28T00:00:00"/>
    </cacheField>
    <cacheField name="Injury Type" numFmtId="0">
      <sharedItems count="4">
        <s v="ACL Tear"/>
        <s v="Ankle Sprain"/>
        <s v="Hamstring Strain"/>
        <s v="None"/>
      </sharedItems>
    </cacheField>
    <cacheField name="Recovery Date" numFmtId="0">
      <sharedItems containsNonDate="0" containsDate="1" containsString="0" containsBlank="1" minDate="2023-01-01T00:00:00" maxDate="2023-12-15T00:00:00"/>
    </cacheField>
    <cacheField name="Days to Full Recovery" numFmtId="0">
      <sharedItems containsString="0" containsBlank="1" containsNumber="1" containsInteger="1" minValue="10" maxValue="89"/>
    </cacheField>
    <cacheField name="Red Flag" numFmtId="0">
      <sharedItems containsSemiMixedTypes="0" containsString="0" containsNumber="1" containsInteger="1" minValue="0" maxValue="1"/>
    </cacheField>
    <cacheField name="Number of Past Injuries" numFmtId="0">
      <sharedItems containsSemiMixedTypes="0" containsString="0" containsNumber="1" containsInteger="1" minValue="0" maxValue="4"/>
    </cacheField>
    <cacheField name="Specific Past Injuries" numFmtId="0">
      <sharedItems/>
    </cacheField>
    <cacheField name="Age" numFmtId="0">
      <sharedItems containsSemiMixedTypes="0" containsString="0" containsNumber="1" containsInteger="1" minValue="18" maxValue="39" count="22">
        <n v="29"/>
        <n v="27"/>
        <n v="24"/>
        <n v="30"/>
        <n v="34"/>
        <n v="21"/>
        <n v="37"/>
        <n v="39"/>
        <n v="18"/>
        <n v="32"/>
        <n v="38"/>
        <n v="26"/>
        <n v="25"/>
        <n v="33"/>
        <n v="22"/>
        <n v="35"/>
        <n v="36"/>
        <n v="20"/>
        <n v="19"/>
        <n v="28"/>
        <n v="31"/>
        <n v="23"/>
      </sharedItems>
    </cacheField>
    <cacheField name="Height (cm)" numFmtId="0">
      <sharedItems containsSemiMixedTypes="0" containsString="0" containsNumber="1" containsInteger="1" minValue="160" maxValue="199"/>
    </cacheField>
    <cacheField name="Weight (kg)" numFmtId="0">
      <sharedItems containsSemiMixedTypes="0" containsString="0" containsNumber="1" containsInteger="1" minValue="60" maxValue="99"/>
    </cacheField>
    <cacheField name="Nationality" numFmtId="0">
      <sharedItems/>
    </cacheField>
    <cacheField name="VO2 Max" numFmtId="0">
      <sharedItems containsSemiMixedTypes="0" containsString="0" containsNumber="1" minValue="40" maxValue="69.900000000000006"/>
    </cacheField>
    <cacheField name="Sprint Speed (m/s)" numFmtId="0">
      <sharedItems containsSemiMixedTypes="0" containsString="0" containsNumber="1" minValue="6" maxValue="9.99"/>
    </cacheField>
    <cacheField name="Fatigue Index" numFmtId="0">
      <sharedItems containsSemiMixedTypes="0" containsString="0" containsNumber="1" minValue="0.5" maxValue="1.49"/>
    </cacheField>
    <cacheField name="Muscle Strength Score" numFmtId="0">
      <sharedItems containsSemiMixedTypes="0" containsString="0" containsNumber="1" minValue="70.06" maxValue="99.9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xus The Destroyer" refreshedDate="45812.156349074074" createdVersion="8" refreshedVersion="8" minRefreshableVersion="3" recordCount="280" xr:uid="{FCF1A7D9-3DA9-4BD4-BB02-CFDB9FE799B6}">
  <cacheSource type="worksheet">
    <worksheetSource ref="M1:P281" sheet="1b_Analyze the Metric"/>
  </cacheSource>
  <cacheFields count="4">
    <cacheField name="Goals Scored" numFmtId="0">
      <sharedItems containsSemiMixedTypes="0" containsString="0" containsNumber="1" containsInteger="1" minValue="0" maxValue="4"/>
    </cacheField>
    <cacheField name="Pass Accuracy (%)" numFmtId="0">
      <sharedItems containsSemiMixedTypes="0" containsString="0" containsNumber="1" minValue="50.01" maxValue="94.97"/>
    </cacheField>
    <cacheField name="Injury Type" numFmtId="0">
      <sharedItems count="4">
        <s v="ACL Tear"/>
        <s v="Ankle Sprain"/>
        <s v="Hamstring Strain"/>
        <s v="None"/>
      </sharedItems>
    </cacheField>
    <cacheField name="Nationality" numFmtId="0">
      <sharedItems count="6">
        <s v="Spain"/>
        <s v="UK"/>
        <s v="Brazil"/>
        <s v="Germany"/>
        <s v="Argentina"/>
        <s v="USA"/>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12.484972685183" createdVersion="8" refreshedVersion="8" minRefreshableVersion="3" recordCount="280" xr:uid="{F48A7E13-5388-4D95-BE1F-C89927FDC882}">
  <cacheSource type="worksheet">
    <worksheetSource ref="J1:AI281" sheet="2b_Location Based Trends"/>
  </cacheSource>
  <cacheFields count="26">
    <cacheField name="Player ID" numFmtId="0">
      <sharedItems/>
    </cacheField>
    <cacheField name="Team Name" numFmtId="0">
      <sharedItems count="4">
        <s v="Team A"/>
        <s v="Team C"/>
        <s v="Team B"/>
        <s v="Team D"/>
      </sharedItems>
    </cacheField>
    <cacheField name="Player Position" numFmtId="0">
      <sharedItems count="4">
        <s v="Defender"/>
        <s v="Midfielder"/>
        <s v="Forward"/>
        <s v="Goalkeeper"/>
      </sharedItems>
    </cacheField>
    <cacheField name="Match Date" numFmtId="0">
      <sharedItems/>
    </cacheField>
    <cacheField name="Day of Week Played" numFmtId="0">
      <sharedItems/>
    </cacheField>
    <cacheField name="Match Location" numFmtId="0">
      <sharedItems count="2">
        <s v="Home"/>
        <s v="Away"/>
      </sharedItems>
    </cacheField>
    <cacheField name="Minutes Played per Match" numFmtId="0">
      <sharedItems containsSemiMixedTypes="0" containsString="0" containsNumber="1" containsInteger="1" minValue="20" maxValue="94"/>
    </cacheField>
    <cacheField name="Goals Scored" numFmtId="0">
      <sharedItems containsSemiMixedTypes="0" containsString="0" containsNumber="1" containsInteger="1" minValue="0" maxValue="4"/>
    </cacheField>
    <cacheField name="Assists" numFmtId="0">
      <sharedItems containsSemiMixedTypes="0" containsString="0" containsNumber="1" containsInteger="1" minValue="0" maxValue="6"/>
    </cacheField>
    <cacheField name="Pass Accuracy (%)" numFmtId="0">
      <sharedItems containsSemiMixedTypes="0" containsString="0" containsNumber="1" minValue="50.01" maxValue="94.97"/>
    </cacheField>
    <cacheField name="Training Hours per Week" numFmtId="0">
      <sharedItems containsSemiMixedTypes="0" containsString="0" containsNumber="1" minValue="5.2" maxValue="19.899999999999999"/>
    </cacheField>
    <cacheField name="Distance Covered (km)" numFmtId="0">
      <sharedItems containsSemiMixedTypes="0" containsString="0" containsNumber="1" minValue="5.01" maxValue="14.92"/>
    </cacheField>
    <cacheField name="Injury Date" numFmtId="0">
      <sharedItems containsNonDate="0" containsDate="1" containsString="0" containsBlank="1" minDate="2023-01-11T00:00:00" maxDate="2023-12-28T00:00:00"/>
    </cacheField>
    <cacheField name="Injury Type" numFmtId="0">
      <sharedItems/>
    </cacheField>
    <cacheField name="Recovery Date" numFmtId="0">
      <sharedItems containsNonDate="0" containsDate="1" containsString="0" containsBlank="1" minDate="2023-01-01T00:00:00" maxDate="2023-12-15T00:00:00"/>
    </cacheField>
    <cacheField name="Days to Full Recovery" numFmtId="0">
      <sharedItems containsString="0" containsBlank="1" containsNumber="1" containsInteger="1" minValue="10" maxValue="89"/>
    </cacheField>
    <cacheField name="Red Flag" numFmtId="0">
      <sharedItems containsSemiMixedTypes="0" containsString="0" containsNumber="1" containsInteger="1" minValue="0" maxValue="1"/>
    </cacheField>
    <cacheField name="Number of Past Injuries" numFmtId="0">
      <sharedItems containsSemiMixedTypes="0" containsString="0" containsNumber="1" containsInteger="1" minValue="0" maxValue="4"/>
    </cacheField>
    <cacheField name="Specific Past Injuries" numFmtId="0">
      <sharedItems/>
    </cacheField>
    <cacheField name="Age" numFmtId="0">
      <sharedItems containsSemiMixedTypes="0" containsString="0" containsNumber="1" containsInteger="1" minValue="18" maxValue="39"/>
    </cacheField>
    <cacheField name="Height (cm)" numFmtId="0">
      <sharedItems containsSemiMixedTypes="0" containsString="0" containsNumber="1" containsInteger="1" minValue="160" maxValue="199"/>
    </cacheField>
    <cacheField name="Weight (kg)" numFmtId="0">
      <sharedItems containsSemiMixedTypes="0" containsString="0" containsNumber="1" containsInteger="1" minValue="60" maxValue="99"/>
    </cacheField>
    <cacheField name="Nationality" numFmtId="0">
      <sharedItems/>
    </cacheField>
    <cacheField name="VO2 Max" numFmtId="0">
      <sharedItems containsSemiMixedTypes="0" containsString="0" containsNumber="1" minValue="40" maxValue="69.900000000000006"/>
    </cacheField>
    <cacheField name="Sprint Speed (m/s)" numFmtId="0">
      <sharedItems containsSemiMixedTypes="0" containsString="0" containsNumber="1" minValue="6" maxValue="9.99"/>
    </cacheField>
    <cacheField name="Fatigue Index" numFmtId="0">
      <sharedItems containsSemiMixedTypes="0" containsString="0" containsNumber="1" minValue="0.5" maxValue="1.4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12.505836689816" createdVersion="8" refreshedVersion="8" minRefreshableVersion="3" recordCount="279" xr:uid="{EA57A3F8-5E5F-41C9-9E6B-9375F13F112D}">
  <cacheSource type="worksheet">
    <worksheetSource ref="C7:C286" sheet="4b_Workload Analysis"/>
  </cacheSource>
  <cacheFields count="1">
    <cacheField name="Field1" numFmtId="0">
      <sharedItems count="4">
        <s v="Ankle Sprain"/>
        <s v="Hamstring Strain"/>
        <s v="ACL Tear"/>
        <s v="None"/>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12.689445254633" createdVersion="8" refreshedVersion="8" minRefreshableVersion="3" recordCount="280" xr:uid="{FCEE0361-1D9D-40CC-86F0-4C4EE1ED8A0B}">
  <cacheSource type="worksheet">
    <worksheetSource ref="A4:H284" sheet="2a_Match and Opponent Analysis "/>
  </cacheSource>
  <cacheFields count="11">
    <cacheField name="Player ID" numFmtId="0">
      <sharedItems count="280">
        <s v="PID0001"/>
        <s v="PID0002"/>
        <s v="PID0003"/>
        <s v="PID0004"/>
        <s v="PID0005"/>
        <s v="PID0006"/>
        <s v="PID0007"/>
        <s v="PID0008"/>
        <s v="PID0009"/>
        <s v="PID0010"/>
        <s v="PID0011"/>
        <s v="PID0012"/>
        <s v="PID0013"/>
        <s v="PID0014"/>
        <s v="PID0015"/>
        <s v="PID0016"/>
        <s v="PID0017"/>
        <s v="PID0018"/>
        <s v="PID0019"/>
        <s v="PID0020"/>
        <s v="PID0021"/>
        <s v="PID0022"/>
        <s v="PID0023"/>
        <s v="PID0024"/>
        <s v="PID0025"/>
        <s v="PID0026"/>
        <s v="PID0027"/>
        <s v="PID0028"/>
        <s v="PID0029"/>
        <s v="PID0030"/>
        <s v="PID0031"/>
        <s v="PID0032"/>
        <s v="PID0033"/>
        <s v="PID0034"/>
        <s v="PID0035"/>
        <s v="PID0036"/>
        <s v="PID0037"/>
        <s v="PID0038"/>
        <s v="PID0039"/>
        <s v="PID0040"/>
        <s v="PID0041"/>
        <s v="PID0042"/>
        <s v="PID0043"/>
        <s v="PID0044"/>
        <s v="PID0045"/>
        <s v="PID0046"/>
        <s v="PID0047"/>
        <s v="PID0048"/>
        <s v="PID0049"/>
        <s v="PID0050"/>
        <s v="PID0051"/>
        <s v="PID0052"/>
        <s v="PID0053"/>
        <s v="PID0054"/>
        <s v="PID0055"/>
        <s v="PID0056"/>
        <s v="PID0057"/>
        <s v="PID0058"/>
        <s v="PID0059"/>
        <s v="PID0060"/>
        <s v="PID0061"/>
        <s v="PID0062"/>
        <s v="PID0063"/>
        <s v="PID0064"/>
        <s v="PID0065"/>
        <s v="PID0066"/>
        <s v="PID0067"/>
        <s v="PID0068"/>
        <s v="PID0069"/>
        <s v="PID0070"/>
        <s v="PID0071"/>
        <s v="PID0072"/>
        <s v="PID0073"/>
        <s v="PID0074"/>
        <s v="PID0075"/>
        <s v="PID0076"/>
        <s v="PID0077"/>
        <s v="PID0078"/>
        <s v="PID0079"/>
        <s v="PID0080"/>
        <s v="PID0081"/>
        <s v="PID0082"/>
        <s v="PID0083"/>
        <s v="PID0084"/>
        <s v="PID0085"/>
        <s v="PID0086"/>
        <s v="PID0087"/>
        <s v="PID0088"/>
        <s v="PID0089"/>
        <s v="PID0090"/>
        <s v="PID0091"/>
        <s v="PID0092"/>
        <s v="PID0093"/>
        <s v="PID0094"/>
        <s v="PID0095"/>
        <s v="PID0096"/>
        <s v="PID0097"/>
        <s v="PID0098"/>
        <s v="PID0099"/>
        <s v="PID0100"/>
        <s v="PID0101"/>
        <s v="PID0102"/>
        <s v="PID0103"/>
        <s v="PID0104"/>
        <s v="PID0105"/>
        <s v="PID0106"/>
        <s v="PID0107"/>
        <s v="PID0108"/>
        <s v="PID0109"/>
        <s v="PID0110"/>
        <s v="PID0111"/>
        <s v="PID0112"/>
        <s v="PID0113"/>
        <s v="PID0114"/>
        <s v="PID0115"/>
        <s v="PID0116"/>
        <s v="PID0117"/>
        <s v="PID0118"/>
        <s v="PID0119"/>
        <s v="PID0120"/>
        <s v="PID0121"/>
        <s v="PID0122"/>
        <s v="PID0123"/>
        <s v="PID0124"/>
        <s v="PID0125"/>
        <s v="PID0126"/>
        <s v="PID0127"/>
        <s v="PID0128"/>
        <s v="PID0129"/>
        <s v="PID0130"/>
        <s v="PID0131"/>
        <s v="PID0132"/>
        <s v="PID0133"/>
        <s v="PID0134"/>
        <s v="PID0135"/>
        <s v="PID0136"/>
        <s v="PID0137"/>
        <s v="PID0138"/>
        <s v="PID0139"/>
        <s v="PID0140"/>
        <s v="PID0141"/>
        <s v="PID0142"/>
        <s v="PID0143"/>
        <s v="PID0144"/>
        <s v="PID0145"/>
        <s v="PID0146"/>
        <s v="PID0147"/>
        <s v="PID0148"/>
        <s v="PID0149"/>
        <s v="PID0150"/>
        <s v="PID0151"/>
        <s v="PID0152"/>
        <s v="PID0153"/>
        <s v="PID0154"/>
        <s v="PID0155"/>
        <s v="PID0156"/>
        <s v="PID0157"/>
        <s v="PID0158"/>
        <s v="PID0159"/>
        <s v="PID0160"/>
        <s v="PID0161"/>
        <s v="PID0162"/>
        <s v="PID0163"/>
        <s v="PID0164"/>
        <s v="PID0165"/>
        <s v="PID0166"/>
        <s v="PID0167"/>
        <s v="PID0168"/>
        <s v="PID0169"/>
        <s v="PID0170"/>
        <s v="PID0171"/>
        <s v="PID0172"/>
        <s v="PID0173"/>
        <s v="PID0174"/>
        <s v="PID0175"/>
        <s v="PID0176"/>
        <s v="PID0177"/>
        <s v="PID0178"/>
        <s v="PID0179"/>
        <s v="PID0180"/>
        <s v="PID0181"/>
        <s v="PID0182"/>
        <s v="PID0183"/>
        <s v="PID0184"/>
        <s v="PID0185"/>
        <s v="PID0186"/>
        <s v="PID0187"/>
        <s v="PID0188"/>
        <s v="PID0189"/>
        <s v="PID0190"/>
        <s v="PID0191"/>
        <s v="PID0192"/>
        <s v="PID0193"/>
        <s v="PID0194"/>
        <s v="PID0195"/>
        <s v="PID0196"/>
        <s v="PID0197"/>
        <s v="PID0198"/>
        <s v="PID0199"/>
        <s v="PID0200"/>
        <s v="PID0201"/>
        <s v="PID0202"/>
        <s v="PID0203"/>
        <s v="PID0204"/>
        <s v="PID0205"/>
        <s v="PID0206"/>
        <s v="PID0207"/>
        <s v="PID0208"/>
        <s v="PID0209"/>
        <s v="PID0210"/>
        <s v="PID0211"/>
        <s v="PID0212"/>
        <s v="PID0213"/>
        <s v="PID0214"/>
        <s v="PID0215"/>
        <s v="PID0216"/>
        <s v="PID0217"/>
        <s v="PID0218"/>
        <s v="PID0219"/>
        <s v="PID0220"/>
        <s v="PID0221"/>
        <s v="PID0222"/>
        <s v="PID0223"/>
        <s v="PID0224"/>
        <s v="PID0225"/>
        <s v="PID0226"/>
        <s v="PID0227"/>
        <s v="PID0228"/>
        <s v="PID0229"/>
        <s v="PID0230"/>
        <s v="PID0231"/>
        <s v="PID0232"/>
        <s v="PID0233"/>
        <s v="PID0234"/>
        <s v="PID0235"/>
        <s v="PID0236"/>
        <s v="PID0237"/>
        <s v="PID0238"/>
        <s v="PID0239"/>
        <s v="PID0240"/>
        <s v="PID0241"/>
        <s v="PID0242"/>
        <s v="PID0243"/>
        <s v="PID0244"/>
        <s v="PID0245"/>
        <s v="PID0246"/>
        <s v="PID0247"/>
        <s v="PID0248"/>
        <s v="PID0249"/>
        <s v="PID0250"/>
        <s v="PID0251"/>
        <s v="PID0252"/>
        <s v="PID0253"/>
        <s v="PID0254"/>
        <s v="PID0255"/>
        <s v="PID0256"/>
        <s v="PID0257"/>
        <s v="PID0258"/>
        <s v="PID0259"/>
        <s v="PID0260"/>
        <s v="PID0261"/>
        <s v="PID0262"/>
        <s v="PID0263"/>
        <s v="PID0264"/>
        <s v="PID0265"/>
        <s v="PID0266"/>
        <s v="PID0267"/>
        <s v="PID0268"/>
        <s v="PID0269"/>
        <s v="PID0270"/>
        <s v="PID0271"/>
        <s v="PID0272"/>
        <s v="PID0273"/>
        <s v="PID0274"/>
        <s v="PID0275"/>
        <s v="PID0276"/>
        <s v="PID0277"/>
        <s v="PID0278"/>
        <s v="PID0279"/>
        <s v="PID0280"/>
      </sharedItems>
    </cacheField>
    <cacheField name="Team Name" numFmtId="0">
      <sharedItems count="4">
        <s v="Team A"/>
        <s v="Team C"/>
        <s v="Team B"/>
        <s v="Team D"/>
      </sharedItems>
    </cacheField>
    <cacheField name="Player Position" numFmtId="0">
      <sharedItems/>
    </cacheField>
    <cacheField name="Match Date" numFmtId="0">
      <sharedItems count="280">
        <s v="2023-01-01"/>
        <s v="2023-01-02"/>
        <s v="2023-01-03"/>
        <s v="2023-01-04"/>
        <s v="2023-01-05"/>
        <s v="2023-01-06"/>
        <s v="2023-01-07"/>
        <s v="2023-01-08"/>
        <s v="2023-01-09"/>
        <s v="2023-01-10"/>
        <s v="2023-01-11"/>
        <s v="2023-01-12"/>
        <s v="2023-01-13"/>
        <s v="2023-01-14"/>
        <s v="2023-01-15"/>
        <s v="2023-01-16"/>
        <s v="2023-01-17"/>
        <s v="2023-01-18"/>
        <s v="2023-01-19"/>
        <s v="2023-01-20"/>
        <s v="2023-01-21"/>
        <s v="2023-01-22"/>
        <s v="2023-01-23"/>
        <s v="2023-01-24"/>
        <s v="2023-01-25"/>
        <s v="2023-01-26"/>
        <s v="2023-01-27"/>
        <s v="2023-01-28"/>
        <s v="2023-01-29"/>
        <s v="2023-01-30"/>
        <s v="2023-01-31"/>
        <s v="2023-02-01"/>
        <s v="2023-02-02"/>
        <s v="2023-02-03"/>
        <s v="2023-02-04"/>
        <s v="2023-02-05"/>
        <s v="2023-02-06"/>
        <s v="2023-02-07"/>
        <s v="2023-02-08"/>
        <s v="2023-02-09"/>
        <s v="2023-02-10"/>
        <s v="2023-02-11"/>
        <s v="2023-02-12"/>
        <s v="2023-02-13"/>
        <s v="2023-02-14"/>
        <s v="2023-02-15"/>
        <s v="2023-02-16"/>
        <s v="2023-02-17"/>
        <s v="2023-02-18"/>
        <s v="2023-02-19"/>
        <s v="2023-02-20"/>
        <s v="2023-02-21"/>
        <s v="2023-02-22"/>
        <s v="2023-02-23"/>
        <s v="2023-02-24"/>
        <s v="2023-02-25"/>
        <s v="2023-02-26"/>
        <s v="2023-02-27"/>
        <s v="2023-02-28"/>
        <s v="2023-03-01"/>
        <s v="2023-03-02"/>
        <s v="2023-03-03"/>
        <s v="2023-03-04"/>
        <s v="2023-03-05"/>
        <s v="2023-03-06"/>
        <s v="2023-03-07"/>
        <s v="2023-03-08"/>
        <s v="2023-03-09"/>
        <s v="2023-03-10"/>
        <s v="2023-03-11"/>
        <s v="2023-03-12"/>
        <s v="2023-03-13"/>
        <s v="2023-03-14"/>
        <s v="2023-03-15"/>
        <s v="2023-03-16"/>
        <s v="2023-03-17"/>
        <s v="2023-03-18"/>
        <s v="2023-03-19"/>
        <s v="2023-03-20"/>
        <s v="2023-03-21"/>
        <s v="2023-03-22"/>
        <s v="2023-03-23"/>
        <s v="2023-03-24"/>
        <s v="2023-03-25"/>
        <s v="2023-03-26"/>
        <s v="2023-03-27"/>
        <s v="2023-03-28"/>
        <s v="2023-03-29"/>
        <s v="2023-03-30"/>
        <s v="2023-03-31"/>
        <s v="2023-04-01"/>
        <s v="2023-04-02"/>
        <s v="2023-04-03"/>
        <s v="2023-04-04"/>
        <s v="2023-04-05"/>
        <s v="2023-04-06"/>
        <s v="2023-04-07"/>
        <s v="2023-04-08"/>
        <s v="2023-04-09"/>
        <s v="2023-04-10"/>
        <s v="2023-04-11"/>
        <s v="2023-04-12"/>
        <s v="2023-04-13"/>
        <s v="2023-04-14"/>
        <s v="2023-04-15"/>
        <s v="2023-04-16"/>
        <s v="2023-04-17"/>
        <s v="2023-04-18"/>
        <s v="2023-04-19"/>
        <s v="2023-04-20"/>
        <s v="2023-04-21"/>
        <s v="2023-04-22"/>
        <s v="2023-04-23"/>
        <s v="2023-04-24"/>
        <s v="2023-04-25"/>
        <s v="2023-04-26"/>
        <s v="2023-04-27"/>
        <s v="2023-04-28"/>
        <s v="2023-04-29"/>
        <s v="2023-04-30"/>
        <s v="2023-05-01"/>
        <s v="2023-05-02"/>
        <s v="2023-05-03"/>
        <s v="2023-05-04"/>
        <s v="2023-05-05"/>
        <s v="2023-05-06"/>
        <s v="2023-05-07"/>
        <s v="2023-05-08"/>
        <s v="2023-05-09"/>
        <s v="2023-05-10"/>
        <s v="2023-05-11"/>
        <s v="2023-05-12"/>
        <s v="2023-05-13"/>
        <s v="2023-05-14"/>
        <s v="2023-05-15"/>
        <s v="2023-05-16"/>
        <s v="2023-05-17"/>
        <s v="2023-05-18"/>
        <s v="2023-05-19"/>
        <s v="2023-05-20"/>
        <s v="2023-05-21"/>
        <s v="2023-05-22"/>
        <s v="2023-05-23"/>
        <s v="2023-05-24"/>
        <s v="2023-05-25"/>
        <s v="2023-05-26"/>
        <s v="2023-05-27"/>
        <s v="2023-05-28"/>
        <s v="2023-05-29"/>
        <s v="2023-05-30"/>
        <s v="2023-05-31"/>
        <s v="2023-06-01"/>
        <s v="2023-06-02"/>
        <s v="2023-06-03"/>
        <s v="2023-06-04"/>
        <s v="2023-06-05"/>
        <s v="2023-06-06"/>
        <s v="2023-06-07"/>
        <s v="2023-06-08"/>
        <s v="2023-06-09"/>
        <s v="2023-06-10"/>
        <s v="2023-06-11"/>
        <s v="2023-06-12"/>
        <s v="2023-06-13"/>
        <s v="2023-06-14"/>
        <s v="2023-06-15"/>
        <s v="2023-06-16"/>
        <s v="2023-06-17"/>
        <s v="2023-06-18"/>
        <s v="2023-06-19"/>
        <s v="2023-06-20"/>
        <s v="2023-06-21"/>
        <s v="2023-06-22"/>
        <s v="2023-06-23"/>
        <s v="2023-06-24"/>
        <s v="2023-06-25"/>
        <s v="2023-06-26"/>
        <s v="2023-06-27"/>
        <s v="2023-06-28"/>
        <s v="2023-06-29"/>
        <s v="2023-06-30"/>
        <s v="2023-07-01"/>
        <s v="2023-07-02"/>
        <s v="2023-07-03"/>
        <s v="2023-07-04"/>
        <s v="2023-07-05"/>
        <s v="2023-07-06"/>
        <s v="2023-07-07"/>
        <s v="2023-07-08"/>
        <s v="2023-07-09"/>
        <s v="2023-07-10"/>
        <s v="2023-07-11"/>
        <s v="2023-07-12"/>
        <s v="2023-07-13"/>
        <s v="2023-07-14"/>
        <s v="2023-07-15"/>
        <s v="2023-07-16"/>
        <s v="2023-07-17"/>
        <s v="2023-07-18"/>
        <s v="2023-07-19"/>
        <s v="2023-07-20"/>
        <s v="2023-07-21"/>
        <s v="2023-07-22"/>
        <s v="2023-07-23"/>
        <s v="2023-07-24"/>
        <s v="2023-07-25"/>
        <s v="2023-07-26"/>
        <s v="2023-07-27"/>
        <s v="2023-07-28"/>
        <s v="2023-07-29"/>
        <s v="2023-07-30"/>
        <s v="2023-07-31"/>
        <s v="2023-08-01"/>
        <s v="2023-08-02"/>
        <s v="2023-08-03"/>
        <s v="2023-08-04"/>
        <s v="2023-08-05"/>
        <s v="2023-08-06"/>
        <s v="2023-08-07"/>
        <s v="2023-08-08"/>
        <s v="2023-08-09"/>
        <s v="2023-08-10"/>
        <s v="2023-08-11"/>
        <s v="2023-08-12"/>
        <s v="2023-08-13"/>
        <s v="2023-08-14"/>
        <s v="2023-08-15"/>
        <s v="2023-08-16"/>
        <s v="2023-08-17"/>
        <s v="2023-08-18"/>
        <s v="2023-08-19"/>
        <s v="2023-08-20"/>
        <s v="2023-08-21"/>
        <s v="2023-08-22"/>
        <s v="2023-08-23"/>
        <s v="2023-08-24"/>
        <s v="2023-08-25"/>
        <s v="2023-08-26"/>
        <s v="2023-08-27"/>
        <s v="2023-08-28"/>
        <s v="2023-08-29"/>
        <s v="2023-08-30"/>
        <s v="2023-08-31"/>
        <s v="2023-09-01"/>
        <s v="2023-09-02"/>
        <s v="2023-09-03"/>
        <s v="2023-09-04"/>
        <s v="2023-09-05"/>
        <s v="2023-09-06"/>
        <s v="2023-09-07"/>
        <s v="2023-09-08"/>
        <s v="2023-09-09"/>
        <s v="2023-09-10"/>
        <s v="2023-09-11"/>
        <s v="2023-09-12"/>
        <s v="2023-09-13"/>
        <s v="2023-09-14"/>
        <s v="2023-09-15"/>
        <s v="2023-09-16"/>
        <s v="2023-09-17"/>
        <s v="2023-09-18"/>
        <s v="2023-09-19"/>
        <s v="2023-09-20"/>
        <s v="2023-09-21"/>
        <s v="2023-09-22"/>
        <s v="2023-09-23"/>
        <s v="2023-09-24"/>
        <s v="2023-09-25"/>
        <s v="2023-09-26"/>
        <s v="2023-09-27"/>
        <s v="2023-09-28"/>
        <s v="2023-09-29"/>
        <s v="2023-09-30"/>
        <s v="2023-10-01"/>
        <s v="2023-10-02"/>
        <s v="2023-10-03"/>
        <s v="2023-10-04"/>
        <s v="2023-10-05"/>
        <s v="2023-10-06"/>
        <s v="2023-10-07"/>
      </sharedItems>
    </cacheField>
    <cacheField name="Day of Week Played" numFmtId="0">
      <sharedItems count="7">
        <s v="Sunday"/>
        <s v="Friday"/>
        <s v="Thursday"/>
        <s v="Monday"/>
        <s v="Wednesday"/>
        <s v="Tuesday"/>
        <s v="Saturday"/>
      </sharedItems>
    </cacheField>
    <cacheField name="Minutes Played per Match" numFmtId="0">
      <sharedItems containsSemiMixedTypes="0" containsString="0" containsNumber="1" containsInteger="1" minValue="20" maxValue="94" count="73">
        <n v="71"/>
        <n v="34"/>
        <n v="91"/>
        <n v="80"/>
        <n v="40"/>
        <n v="94"/>
        <n v="43"/>
        <n v="22"/>
        <n v="41"/>
        <n v="72"/>
        <n v="21"/>
        <n v="49"/>
        <n v="57"/>
        <n v="83"/>
        <n v="79"/>
        <n v="52"/>
        <n v="77"/>
        <n v="68"/>
        <n v="78"/>
        <n v="61"/>
        <n v="81"/>
        <n v="66"/>
        <n v="70"/>
        <n v="74"/>
        <n v="26"/>
        <n v="92"/>
        <n v="58"/>
        <n v="37"/>
        <n v="23"/>
        <n v="33"/>
        <n v="28"/>
        <n v="90"/>
        <n v="63"/>
        <n v="27"/>
        <n v="54"/>
        <n v="55"/>
        <n v="69"/>
        <n v="25"/>
        <n v="73"/>
        <n v="82"/>
        <n v="53"/>
        <n v="93"/>
        <n v="67"/>
        <n v="59"/>
        <n v="45"/>
        <n v="60"/>
        <n v="48"/>
        <n v="64"/>
        <n v="84"/>
        <n v="20"/>
        <n v="30"/>
        <n v="24"/>
        <n v="47"/>
        <n v="31"/>
        <n v="42"/>
        <n v="56"/>
        <n v="46"/>
        <n v="62"/>
        <n v="32"/>
        <n v="51"/>
        <n v="85"/>
        <n v="76"/>
        <n v="89"/>
        <n v="75"/>
        <n v="38"/>
        <n v="87"/>
        <n v="36"/>
        <n v="88"/>
        <n v="35"/>
        <n v="39"/>
        <n v="86"/>
        <n v="50"/>
        <n v="44"/>
      </sharedItems>
    </cacheField>
    <cacheField name="Goals Scored" numFmtId="0">
      <sharedItems containsSemiMixedTypes="0" containsString="0" containsNumber="1" containsInteger="1" minValue="0" maxValue="4"/>
    </cacheField>
    <cacheField name="Assists" numFmtId="0">
      <sharedItems containsSemiMixedTypes="0" containsString="0" containsNumber="1" containsInteger="1" minValue="0" maxValue="6"/>
    </cacheField>
    <cacheField name="Pass Accuracy (%)" numFmtId="0">
      <sharedItems containsSemiMixedTypes="0" containsString="0" containsNumber="1" minValue="50.01" maxValue="94.97" count="267">
        <n v="69.209999999999994"/>
        <n v="94.97"/>
        <n v="68.989999999999995"/>
        <n v="87.71"/>
        <n v="87.7"/>
        <n v="68.98"/>
        <n v="94.84"/>
        <n v="61.65"/>
        <n v="74.290000000000006"/>
        <n v="94.62"/>
        <n v="94.57"/>
        <n v="82.2"/>
        <n v="54.93"/>
        <n v="74.23"/>
        <n v="87.67"/>
        <n v="94.51"/>
        <n v="68.790000000000006"/>
        <n v="73.97"/>
        <n v="81.72"/>
        <n v="87.38"/>
        <n v="54.8"/>
        <n v="54.76"/>
        <n v="81.45"/>
        <n v="68.58"/>
        <n v="94.34"/>
        <n v="54.64"/>
        <n v="73.86"/>
        <n v="87.18"/>
        <n v="61.64"/>
        <n v="61.37"/>
        <n v="81.31"/>
        <n v="68.239999999999995"/>
        <n v="61.28"/>
        <n v="54.13"/>
        <n v="87.13"/>
        <n v="87.02"/>
        <n v="81.19"/>
        <n v="94.2"/>
        <n v="94.13"/>
        <n v="73.83"/>
        <n v="81.099999999999994"/>
        <n v="73.63"/>
        <n v="93.85"/>
        <n v="81.08"/>
        <n v="80.739999999999995"/>
        <n v="80.150000000000006"/>
        <n v="93.55"/>
        <n v="73.510000000000005"/>
        <n v="79.8"/>
        <n v="61.04"/>
        <n v="68.2"/>
        <n v="93.3"/>
        <n v="68.11"/>
        <n v="73.459999999999994"/>
        <n v="60.74"/>
        <n v="68.069999999999993"/>
        <n v="67.92"/>
        <n v="79.77"/>
        <n v="73.41"/>
        <n v="67.849999999999994"/>
        <n v="86.9"/>
        <n v="60.38"/>
        <n v="86.84"/>
        <n v="86.68"/>
        <n v="93.29"/>
        <n v="93.26"/>
        <n v="60.29"/>
        <n v="86.33"/>
        <n v="67.650000000000006"/>
        <n v="73.319999999999993"/>
        <n v="59.88"/>
        <n v="79.260000000000005"/>
        <n v="86.18"/>
        <n v="59.81"/>
        <n v="54.07"/>
        <n v="53.98"/>
        <n v="93.14"/>
        <n v="73.22"/>
        <n v="67.62"/>
        <n v="73.19"/>
        <n v="73.06"/>
        <n v="72.41"/>
        <n v="72.39"/>
        <n v="79.099999999999994"/>
        <n v="79.03"/>
        <n v="93.12"/>
        <n v="59.73"/>
        <n v="53.9"/>
        <n v="72.239999999999995"/>
        <n v="93.08"/>
        <n v="58.69"/>
        <n v="53.78"/>
        <n v="86.03"/>
        <n v="67.599999999999994"/>
        <n v="79"/>
        <n v="85.91"/>
        <n v="53.5"/>
        <n v="85.79"/>
        <n v="67.28"/>
        <n v="93.04"/>
        <n v="53.42"/>
        <n v="85.55"/>
        <n v="78.75"/>
        <n v="78.680000000000007"/>
        <n v="58.67"/>
        <n v="85.5"/>
        <n v="72.099999999999994"/>
        <n v="85.09"/>
        <n v="92.99"/>
        <n v="53.15"/>
        <n v="53.07"/>
        <n v="92.93"/>
        <n v="84.82"/>
        <n v="92.72"/>
        <n v="91.97"/>
        <n v="78.489999999999995"/>
        <n v="91.92"/>
        <n v="53.02"/>
        <n v="78.34"/>
        <n v="52.92"/>
        <n v="58.51"/>
        <n v="71.819999999999993"/>
        <n v="52.77"/>
        <n v="78.05"/>
        <n v="58.35"/>
        <n v="52.47"/>
        <n v="66.95"/>
        <n v="91.85"/>
        <n v="71.77"/>
        <n v="52.37"/>
        <n v="58.3"/>
        <n v="66.41"/>
        <n v="84.69"/>
        <n v="58.19"/>
        <n v="91.2"/>
        <n v="58.08"/>
        <n v="66.34"/>
        <n v="57.82"/>
        <n v="66.319999999999993"/>
        <n v="52.32"/>
        <n v="65.92"/>
        <n v="65.819999999999993"/>
        <n v="71.650000000000006"/>
        <n v="65.53"/>
        <n v="65.5"/>
        <n v="52.2"/>
        <n v="90.97"/>
        <n v="71.59"/>
        <n v="78.03"/>
        <n v="52.11"/>
        <n v="52.03"/>
        <n v="77.47"/>
        <n v="90.89"/>
        <n v="65.14"/>
        <n v="84.16"/>
        <n v="57.29"/>
        <n v="71.45"/>
        <n v="57.22"/>
        <n v="77.040000000000006"/>
        <n v="52"/>
        <n v="90.79"/>
        <n v="51.99"/>
        <n v="71.34"/>
        <n v="51.69"/>
        <n v="51.65"/>
        <n v="71.290000000000006"/>
        <n v="84.13"/>
        <n v="84.05"/>
        <n v="71.2"/>
        <n v="90.67"/>
        <n v="76.92"/>
        <n v="51.59"/>
        <n v="90.65"/>
        <n v="51.57"/>
        <n v="76.88"/>
        <n v="83.92"/>
        <n v="90.53"/>
        <n v="65.11"/>
        <n v="65.03"/>
        <n v="64.81"/>
        <n v="83.65"/>
        <n v="83.53"/>
        <n v="76.510000000000005"/>
        <n v="51.54"/>
        <n v="76.48"/>
        <n v="76.47"/>
        <n v="83.45"/>
        <n v="64.69"/>
        <n v="57.08"/>
        <n v="50.83"/>
        <n v="83.38"/>
        <n v="64.16"/>
        <n v="90.38"/>
        <n v="56.96"/>
        <n v="56.3"/>
        <n v="83.2"/>
        <n v="71.03"/>
        <n v="50.43"/>
        <n v="56.08"/>
        <n v="83.08"/>
        <n v="83.03"/>
        <n v="64.08"/>
        <n v="90.27"/>
        <n v="70.95"/>
        <n v="50.41"/>
        <n v="76.13"/>
        <n v="90.25"/>
        <n v="89.82"/>
        <n v="63.37"/>
        <n v="55.95"/>
        <n v="55.78"/>
        <n v="62.75"/>
        <n v="82.95"/>
        <n v="55.6"/>
        <n v="70.849999999999994"/>
        <n v="50.24"/>
        <n v="89.79"/>
        <n v="89.73"/>
        <n v="70.790000000000006"/>
        <n v="55.42"/>
        <n v="89.67"/>
        <n v="75.8"/>
        <n v="50.23"/>
        <n v="89.56"/>
        <n v="62.66"/>
        <n v="89.45"/>
        <n v="62.48"/>
        <n v="89.07"/>
        <n v="75.760000000000005"/>
        <n v="50.15"/>
        <n v="88.9"/>
        <n v="75.709999999999994"/>
        <n v="62.28"/>
        <n v="62.23"/>
        <n v="50.11"/>
        <n v="70.69"/>
        <n v="88.75"/>
        <n v="62.15"/>
        <n v="82.9"/>
        <n v="82.58"/>
        <n v="61.99"/>
        <n v="70.58"/>
        <n v="70.48"/>
        <n v="75.459999999999994"/>
        <n v="82.47"/>
        <n v="75.23"/>
        <n v="82.41"/>
        <n v="88.71"/>
        <n v="88.38"/>
        <n v="55.21"/>
        <n v="88.35"/>
        <n v="55.19"/>
        <n v="88.09"/>
        <n v="50.05"/>
        <n v="87.87"/>
        <n v="75.19"/>
        <n v="61.87"/>
        <n v="75.03"/>
        <n v="61.71"/>
        <n v="69.849999999999994"/>
        <n v="75.010000000000005"/>
        <n v="69.67"/>
        <n v="55.14"/>
        <n v="50.01"/>
        <n v="87.81"/>
        <n v="74.47"/>
        <n v="69.45"/>
      </sharedItems>
    </cacheField>
    <cacheField name="Injury Type" numFmtId="0">
      <sharedItems count="4">
        <s v="ACL Tear"/>
        <s v="Ankle Sprain"/>
        <s v="Hamstring Strain"/>
        <s v="None"/>
      </sharedItems>
    </cacheField>
    <cacheField name="Nationality" numFmtId="0">
      <sharedItems count="6">
        <s v="Spain"/>
        <s v="UK"/>
        <s v="Brazil"/>
        <s v="Germany"/>
        <s v="Argentina"/>
        <s v="USA"/>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12.692272569446" createdVersion="8" refreshedVersion="8" minRefreshableVersion="3" recordCount="280" xr:uid="{58175661-33C0-4A54-9038-2B4324F83414}">
  <cacheSource type="worksheet">
    <worksheetSource ref="E4:G284" sheet="2a_Match and Opponent Analysis "/>
  </cacheSource>
  <cacheFields count="3">
    <cacheField name="Day of Week Played" numFmtId="0">
      <sharedItems count="7">
        <s v="Sunday"/>
        <s v="Friday"/>
        <s v="Thursday"/>
        <s v="Monday"/>
        <s v="Wednesday"/>
        <s v="Tuesday"/>
        <s v="Saturday"/>
      </sharedItems>
    </cacheField>
    <cacheField name="Goals Scored" numFmtId="0">
      <sharedItems containsSemiMixedTypes="0" containsString="0" containsNumber="1" containsInteger="1" minValue="0" maxValue="4"/>
    </cacheField>
    <cacheField name="Assists" numFmtId="0">
      <sharedItems containsSemiMixedTypes="0" containsString="0" containsNumber="1" containsInteger="1" minValue="0" maxValue="6"/>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ysho" refreshedDate="45812.774866319443" createdVersion="8" refreshedVersion="8" minRefreshableVersion="3" recordCount="280" xr:uid="{81314054-1623-4632-8FE9-2B655B388956}">
  <cacheSource type="worksheet">
    <worksheetSource ref="A5:I285" sheet="3b_Health and Fitness"/>
  </cacheSource>
  <cacheFields count="9">
    <cacheField name="VO2 Max" numFmtId="0">
      <sharedItems containsSemiMixedTypes="0" containsString="0" containsNumber="1" minValue="40" maxValue="69.900000000000006"/>
    </cacheField>
    <cacheField name="Fatigue Index" numFmtId="0">
      <sharedItems containsSemiMixedTypes="0" containsString="0" containsNumber="1" minValue="0.5" maxValue="1.49"/>
    </cacheField>
    <cacheField name="Muscle Strength Score" numFmtId="0">
      <sharedItems containsSemiMixedTypes="0" containsString="0" containsNumber="1" minValue="70.06" maxValue="99.92"/>
    </cacheField>
    <cacheField name="Injury Date" numFmtId="0">
      <sharedItems containsNonDate="0" containsDate="1" containsString="0" containsBlank="1" minDate="2023-01-11T00:00:00" maxDate="2023-12-28T00:00:00"/>
    </cacheField>
    <cacheField name="Injury Type" numFmtId="0">
      <sharedItems count="4">
        <s v="ACL Tear"/>
        <s v="Ankle Sprain"/>
        <s v="Hamstring Strain"/>
        <s v="None"/>
      </sharedItems>
    </cacheField>
    <cacheField name="Recovery Date" numFmtId="0">
      <sharedItems containsNonDate="0" containsDate="1" containsString="0" containsBlank="1" minDate="2023-01-01T00:00:00" maxDate="2023-12-15T00:00:00"/>
    </cacheField>
    <cacheField name="Days to Full Recovery" numFmtId="0">
      <sharedItems containsString="0" containsBlank="1" containsNumber="1" containsInteger="1" minValue="10" maxValue="89"/>
    </cacheField>
    <cacheField name="Number of Past Injuries" numFmtId="0">
      <sharedItems containsSemiMixedTypes="0" containsString="0" containsNumber="1" containsInteger="1" minValue="0" maxValue="4" count="5">
        <n v="3"/>
        <n v="2"/>
        <n v="0"/>
        <n v="4"/>
        <n v="1"/>
      </sharedItems>
    </cacheField>
    <cacheField name="Specific Past Injuries" numFmtId="0">
      <sharedItems count="4">
        <s v="ACL"/>
        <s v="None"/>
        <s v="Hamstring"/>
        <s v="Ankle"/>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ysho" refreshedDate="45816.39519166667" createdVersion="8" refreshedVersion="8" minRefreshableVersion="3" recordCount="280" xr:uid="{2777E2A7-3EC0-49BB-898B-73ABEEF348B5}">
  <cacheSource type="worksheet">
    <worksheetSource ref="B6:E286" sheet="4a_Avg Team or Nat"/>
  </cacheSource>
  <cacheFields count="4">
    <cacheField name="Team Name" numFmtId="0">
      <sharedItems count="4">
        <s v="Team A"/>
        <s v="Team C"/>
        <s v="Team B"/>
        <s v="Team D"/>
      </sharedItems>
    </cacheField>
    <cacheField name="Age" numFmtId="0">
      <sharedItems containsSemiMixedTypes="0" containsString="0" containsNumber="1" containsInteger="1" minValue="18" maxValue="39"/>
    </cacheField>
    <cacheField name="Height (cm)" numFmtId="0">
      <sharedItems containsSemiMixedTypes="0" containsString="0" containsNumber="1" containsInteger="1" minValue="160" maxValue="199"/>
    </cacheField>
    <cacheField name="Weight (kg)" numFmtId="0">
      <sharedItems containsSemiMixedTypes="0" containsString="0" containsNumber="1" containsInteger="1" minValue="60" maxValue="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x v="0"/>
    <x v="0"/>
    <x v="0"/>
    <s v="2023-01-01"/>
    <s v="Sunday"/>
    <s v="Home"/>
    <n v="71"/>
    <n v="0"/>
    <n v="2"/>
    <n v="69.209999999999994"/>
    <n v="11.7"/>
    <n v="14.47"/>
    <m/>
    <x v="0"/>
    <m/>
    <m/>
    <n v="0"/>
    <n v="3"/>
    <s v="ACL"/>
    <x v="0"/>
    <n v="188"/>
    <n v="79"/>
    <s v="Spain"/>
    <n v="66.099999999999994"/>
    <n v="7.58"/>
    <n v="1.08"/>
    <n v="98.33"/>
  </r>
  <r>
    <x v="1"/>
    <x v="1"/>
    <x v="1"/>
    <s v="2023-01-02"/>
    <s v="Friday"/>
    <s v="Away"/>
    <n v="34"/>
    <n v="2"/>
    <n v="6"/>
    <n v="94.97"/>
    <n v="19.899999999999999"/>
    <n v="6.66"/>
    <m/>
    <x v="1"/>
    <d v="2023-04-09T00:00:00"/>
    <n v="57"/>
    <n v="0"/>
    <n v="2"/>
    <s v="None"/>
    <x v="1"/>
    <n v="195"/>
    <n v="86"/>
    <s v="UK"/>
    <n v="63"/>
    <n v="6.16"/>
    <n v="0.65"/>
    <n v="89.25"/>
  </r>
  <r>
    <x v="2"/>
    <x v="1"/>
    <x v="0"/>
    <s v="2023-01-03"/>
    <s v="Sunday"/>
    <s v="Away"/>
    <n v="91"/>
    <n v="2"/>
    <n v="2"/>
    <n v="68.989999999999995"/>
    <n v="11.6"/>
    <n v="12.71"/>
    <d v="2023-08-16T00:00:00"/>
    <x v="2"/>
    <m/>
    <m/>
    <n v="0"/>
    <n v="0"/>
    <s v="ACL"/>
    <x v="2"/>
    <n v="197"/>
    <n v="74"/>
    <s v="Brazil"/>
    <n v="63.7"/>
    <n v="7.9"/>
    <n v="1.31"/>
    <n v="90.14"/>
  </r>
  <r>
    <x v="3"/>
    <x v="0"/>
    <x v="0"/>
    <s v="2023-01-04"/>
    <s v="Thursday"/>
    <s v="Home"/>
    <n v="80"/>
    <n v="0"/>
    <n v="5"/>
    <n v="87.71"/>
    <n v="17.899999999999999"/>
    <n v="12.09"/>
    <m/>
    <x v="1"/>
    <d v="2023-02-16T00:00:00"/>
    <m/>
    <n v="0"/>
    <n v="4"/>
    <s v="Hamstring"/>
    <x v="3"/>
    <n v="198"/>
    <n v="65"/>
    <s v="Germany"/>
    <n v="59.9"/>
    <n v="8.17"/>
    <n v="1.1399999999999999"/>
    <n v="88.97"/>
  </r>
  <r>
    <x v="4"/>
    <x v="0"/>
    <x v="1"/>
    <s v="2023-01-05"/>
    <s v="Monday"/>
    <s v="Away"/>
    <n v="40"/>
    <n v="4"/>
    <n v="5"/>
    <n v="87.7"/>
    <n v="17.8"/>
    <n v="9.74"/>
    <m/>
    <x v="0"/>
    <d v="2023-01-17T00:00:00"/>
    <m/>
    <n v="0"/>
    <n v="4"/>
    <s v="ACL"/>
    <x v="2"/>
    <n v="196"/>
    <n v="73"/>
    <s v="Germany"/>
    <n v="47.8"/>
    <n v="6.91"/>
    <n v="0.89"/>
    <n v="75.97"/>
  </r>
  <r>
    <x v="5"/>
    <x v="1"/>
    <x v="1"/>
    <s v="2023-01-06"/>
    <s v="Sunday"/>
    <s v="Away"/>
    <n v="94"/>
    <n v="0"/>
    <n v="2"/>
    <n v="68.98"/>
    <n v="11.6"/>
    <n v="5.58"/>
    <m/>
    <x v="1"/>
    <m/>
    <n v="22"/>
    <n v="0"/>
    <n v="0"/>
    <s v="Hamstring"/>
    <x v="4"/>
    <n v="194"/>
    <n v="70"/>
    <s v="Germany"/>
    <n v="67.2"/>
    <n v="9.86"/>
    <n v="1.17"/>
    <n v="82.55"/>
  </r>
  <r>
    <x v="6"/>
    <x v="0"/>
    <x v="1"/>
    <s v="2023-01-07"/>
    <s v="Monday"/>
    <s v="Home"/>
    <n v="94"/>
    <n v="1"/>
    <n v="6"/>
    <n v="94.84"/>
    <n v="19.899999999999999"/>
    <n v="5.75"/>
    <m/>
    <x v="1"/>
    <m/>
    <m/>
    <n v="0"/>
    <n v="0"/>
    <s v="Ankle"/>
    <x v="1"/>
    <n v="166"/>
    <n v="98"/>
    <s v="Argentina"/>
    <n v="60.1"/>
    <n v="9.64"/>
    <n v="0.76"/>
    <n v="92.53"/>
  </r>
  <r>
    <x v="7"/>
    <x v="2"/>
    <x v="2"/>
    <s v="2023-01-08"/>
    <s v="Sunday"/>
    <s v="Away"/>
    <n v="43"/>
    <n v="0"/>
    <n v="2"/>
    <n v="68.98"/>
    <n v="11.5"/>
    <n v="13.52"/>
    <d v="2023-11-17T00:00:00"/>
    <x v="0"/>
    <m/>
    <m/>
    <n v="0"/>
    <n v="4"/>
    <s v="Hamstring"/>
    <x v="1"/>
    <n v="186"/>
    <n v="68"/>
    <s v="Brazil"/>
    <n v="56.8"/>
    <n v="8.89"/>
    <n v="0.85"/>
    <n v="73.040000000000006"/>
  </r>
  <r>
    <x v="8"/>
    <x v="3"/>
    <x v="0"/>
    <s v="2023-01-09"/>
    <s v="Monday"/>
    <s v="Home"/>
    <n v="22"/>
    <n v="2"/>
    <n v="1"/>
    <n v="61.65"/>
    <n v="9.3000000000000007"/>
    <n v="14.9"/>
    <m/>
    <x v="3"/>
    <m/>
    <m/>
    <n v="0"/>
    <n v="2"/>
    <s v="ACL"/>
    <x v="5"/>
    <n v="187"/>
    <n v="85"/>
    <s v="USA"/>
    <n v="43.3"/>
    <n v="8.1300000000000008"/>
    <n v="1.42"/>
    <n v="78.34"/>
  </r>
  <r>
    <x v="9"/>
    <x v="1"/>
    <x v="0"/>
    <s v="2023-01-10"/>
    <s v="Thursday"/>
    <s v="Home"/>
    <n v="41"/>
    <n v="0"/>
    <n v="3"/>
    <n v="74.290000000000006"/>
    <n v="13.8"/>
    <n v="11.76"/>
    <m/>
    <x v="1"/>
    <m/>
    <m/>
    <n v="0"/>
    <n v="4"/>
    <s v="None"/>
    <x v="6"/>
    <n v="181"/>
    <n v="75"/>
    <s v="Germany"/>
    <n v="53.4"/>
    <n v="9.48"/>
    <n v="0.79"/>
    <n v="78.290000000000006"/>
  </r>
  <r>
    <x v="10"/>
    <x v="1"/>
    <x v="1"/>
    <s v="2023-01-11"/>
    <s v="Wednesday"/>
    <s v="Home"/>
    <n v="72"/>
    <n v="4"/>
    <n v="6"/>
    <n v="94.62"/>
    <n v="19.899999999999999"/>
    <n v="9.4600000000000009"/>
    <m/>
    <x v="0"/>
    <m/>
    <m/>
    <n v="0"/>
    <n v="0"/>
    <s v="Ankle"/>
    <x v="5"/>
    <n v="173"/>
    <n v="64"/>
    <s v="Germany"/>
    <n v="53.8"/>
    <n v="6.52"/>
    <n v="0.97"/>
    <n v="82.96"/>
  </r>
  <r>
    <x v="11"/>
    <x v="2"/>
    <x v="0"/>
    <s v="2023-01-12"/>
    <s v="Monday"/>
    <s v="Away"/>
    <n v="21"/>
    <n v="3"/>
    <n v="6"/>
    <n v="94.57"/>
    <n v="19.8"/>
    <n v="11.48"/>
    <m/>
    <x v="0"/>
    <m/>
    <m/>
    <n v="0"/>
    <n v="3"/>
    <s v="Ankle"/>
    <x v="7"/>
    <n v="166"/>
    <n v="69"/>
    <s v="USA"/>
    <n v="65.900000000000006"/>
    <n v="9.16"/>
    <n v="1.39"/>
    <n v="99.41"/>
  </r>
  <r>
    <x v="12"/>
    <x v="1"/>
    <x v="0"/>
    <s v="2023-01-13"/>
    <s v="Tuesday"/>
    <s v="Away"/>
    <n v="49"/>
    <n v="0"/>
    <n v="4"/>
    <n v="82.2"/>
    <n v="15.7"/>
    <n v="10.94"/>
    <m/>
    <x v="2"/>
    <m/>
    <n v="82"/>
    <n v="1"/>
    <n v="1"/>
    <s v="Hamstring"/>
    <x v="2"/>
    <n v="196"/>
    <n v="62"/>
    <s v="Brazil"/>
    <n v="56.4"/>
    <n v="6.5"/>
    <n v="1.21"/>
    <n v="72.03"/>
  </r>
  <r>
    <x v="13"/>
    <x v="2"/>
    <x v="3"/>
    <s v="2023-01-14"/>
    <s v="Wednesday"/>
    <s v="Away"/>
    <n v="57"/>
    <n v="0"/>
    <n v="0"/>
    <n v="54.93"/>
    <n v="6.5"/>
    <n v="8.84"/>
    <d v="2023-10-09T00:00:00"/>
    <x v="0"/>
    <m/>
    <m/>
    <n v="0"/>
    <n v="3"/>
    <s v="None"/>
    <x v="7"/>
    <n v="181"/>
    <n v="72"/>
    <s v="Brazil"/>
    <n v="51.4"/>
    <n v="9.18"/>
    <n v="0.56000000000000005"/>
    <n v="85.56"/>
  </r>
  <r>
    <x v="14"/>
    <x v="1"/>
    <x v="1"/>
    <s v="2023-01-15"/>
    <s v="Wednesday"/>
    <s v="Home"/>
    <n v="21"/>
    <n v="4"/>
    <n v="3"/>
    <n v="74.23"/>
    <n v="13.8"/>
    <n v="5.66"/>
    <m/>
    <x v="2"/>
    <d v="2023-03-05T00:00:00"/>
    <n v="86"/>
    <n v="0"/>
    <n v="3"/>
    <s v="None"/>
    <x v="8"/>
    <n v="164"/>
    <n v="89"/>
    <s v="Spain"/>
    <n v="69.3"/>
    <n v="7.1"/>
    <n v="0.65"/>
    <n v="75.38"/>
  </r>
  <r>
    <x v="15"/>
    <x v="0"/>
    <x v="0"/>
    <s v="2023-01-16"/>
    <s v="Monday"/>
    <s v="Home"/>
    <n v="83"/>
    <n v="2"/>
    <n v="5"/>
    <n v="87.67"/>
    <n v="17.8"/>
    <n v="13.22"/>
    <d v="2023-10-14T00:00:00"/>
    <x v="2"/>
    <d v="2023-06-02T00:00:00"/>
    <m/>
    <n v="0"/>
    <n v="0"/>
    <s v="ACL"/>
    <x v="0"/>
    <n v="161"/>
    <n v="65"/>
    <s v="Spain"/>
    <n v="43.3"/>
    <n v="9.51"/>
    <n v="0.51"/>
    <n v="99.12"/>
  </r>
  <r>
    <x v="16"/>
    <x v="3"/>
    <x v="1"/>
    <s v="2023-01-17"/>
    <s v="Tuesday"/>
    <s v="Away"/>
    <n v="79"/>
    <n v="4"/>
    <n v="6"/>
    <n v="94.51"/>
    <n v="19.8"/>
    <n v="8.7200000000000006"/>
    <m/>
    <x v="0"/>
    <m/>
    <n v="40"/>
    <n v="0"/>
    <n v="4"/>
    <s v="ACL"/>
    <x v="3"/>
    <n v="186"/>
    <n v="76"/>
    <s v="Spain"/>
    <n v="52.7"/>
    <n v="9.7799999999999994"/>
    <n v="1.1299999999999999"/>
    <n v="73.400000000000006"/>
  </r>
  <r>
    <x v="17"/>
    <x v="3"/>
    <x v="2"/>
    <s v="2023-01-18"/>
    <s v="Tuesday"/>
    <s v="Home"/>
    <n v="40"/>
    <n v="4"/>
    <n v="2"/>
    <n v="68.790000000000006"/>
    <n v="11.4"/>
    <n v="13.19"/>
    <m/>
    <x v="1"/>
    <m/>
    <m/>
    <n v="0"/>
    <n v="2"/>
    <s v="ACL"/>
    <x v="1"/>
    <n v="180"/>
    <n v="78"/>
    <s v="Brazil"/>
    <n v="41.3"/>
    <n v="6.6"/>
    <n v="0.95"/>
    <n v="82.11"/>
  </r>
  <r>
    <x v="18"/>
    <x v="2"/>
    <x v="2"/>
    <s v="2023-01-19"/>
    <s v="Saturday"/>
    <s v="Away"/>
    <n v="52"/>
    <n v="4"/>
    <n v="3"/>
    <n v="73.97"/>
    <n v="13.7"/>
    <n v="7.53"/>
    <m/>
    <x v="0"/>
    <d v="2023-09-18T00:00:00"/>
    <n v="84"/>
    <n v="0"/>
    <n v="3"/>
    <s v="ACL"/>
    <x v="9"/>
    <n v="197"/>
    <n v="94"/>
    <s v="UK"/>
    <n v="62.2"/>
    <n v="7.85"/>
    <n v="0.63"/>
    <n v="92.14"/>
  </r>
  <r>
    <x v="19"/>
    <x v="0"/>
    <x v="0"/>
    <s v="2023-01-20"/>
    <s v="Friday"/>
    <s v="Away"/>
    <n v="77"/>
    <n v="4"/>
    <n v="4"/>
    <n v="81.72"/>
    <n v="15.6"/>
    <n v="5.01"/>
    <m/>
    <x v="0"/>
    <m/>
    <m/>
    <n v="0"/>
    <n v="4"/>
    <s v="Hamstring"/>
    <x v="3"/>
    <n v="174"/>
    <n v="85"/>
    <s v="Germany"/>
    <n v="67.5"/>
    <n v="9.92"/>
    <n v="1.46"/>
    <n v="91.14"/>
  </r>
  <r>
    <x v="20"/>
    <x v="2"/>
    <x v="0"/>
    <s v="2023-01-21"/>
    <s v="Sunday"/>
    <s v="Away"/>
    <n v="41"/>
    <n v="1"/>
    <n v="5"/>
    <n v="87.38"/>
    <n v="17.8"/>
    <n v="6.59"/>
    <m/>
    <x v="3"/>
    <d v="2023-07-13T00:00:00"/>
    <n v="77"/>
    <n v="1"/>
    <n v="2"/>
    <s v="Hamstring"/>
    <x v="7"/>
    <n v="180"/>
    <n v="64"/>
    <s v="UK"/>
    <n v="48.4"/>
    <n v="7.93"/>
    <n v="1.03"/>
    <n v="82.68"/>
  </r>
  <r>
    <x v="21"/>
    <x v="3"/>
    <x v="0"/>
    <s v="2023-01-22"/>
    <s v="Wednesday"/>
    <s v="Away"/>
    <n v="68"/>
    <n v="1"/>
    <n v="0"/>
    <n v="54.8"/>
    <n v="6.4"/>
    <n v="9.69"/>
    <m/>
    <x v="2"/>
    <d v="2023-04-18T00:00:00"/>
    <m/>
    <n v="0"/>
    <n v="3"/>
    <s v="Hamstring"/>
    <x v="7"/>
    <n v="169"/>
    <n v="88"/>
    <s v="USA"/>
    <n v="65.8"/>
    <n v="9.4499999999999993"/>
    <n v="0.74"/>
    <n v="80.400000000000006"/>
  </r>
  <r>
    <x v="22"/>
    <x v="2"/>
    <x v="1"/>
    <s v="2023-01-23"/>
    <s v="Tuesday"/>
    <s v="Away"/>
    <n v="78"/>
    <n v="2"/>
    <n v="0"/>
    <n v="54.76"/>
    <n v="6.4"/>
    <n v="14.44"/>
    <m/>
    <x v="3"/>
    <m/>
    <m/>
    <n v="0"/>
    <n v="2"/>
    <s v="ACL"/>
    <x v="10"/>
    <n v="182"/>
    <n v="96"/>
    <s v="Brazil"/>
    <n v="48.8"/>
    <n v="8.35"/>
    <n v="1"/>
    <n v="81.93"/>
  </r>
  <r>
    <x v="23"/>
    <x v="2"/>
    <x v="0"/>
    <s v="2023-01-24"/>
    <s v="Thursday"/>
    <s v="Away"/>
    <n v="61"/>
    <n v="0"/>
    <n v="4"/>
    <n v="81.45"/>
    <n v="15.6"/>
    <n v="6.02"/>
    <m/>
    <x v="3"/>
    <d v="2023-08-09T00:00:00"/>
    <m/>
    <n v="0"/>
    <n v="4"/>
    <s v="Ankle"/>
    <x v="7"/>
    <n v="198"/>
    <n v="79"/>
    <s v="Germany"/>
    <n v="67.3"/>
    <n v="7.5"/>
    <n v="1.18"/>
    <n v="77.930000000000007"/>
  </r>
  <r>
    <x v="24"/>
    <x v="0"/>
    <x v="2"/>
    <s v="2023-01-25"/>
    <s v="Sunday"/>
    <s v="Away"/>
    <n v="79"/>
    <n v="4"/>
    <n v="4"/>
    <n v="81.45"/>
    <n v="15.5"/>
    <n v="13.54"/>
    <m/>
    <x v="1"/>
    <d v="2023-02-07T00:00:00"/>
    <n v="13"/>
    <n v="0"/>
    <n v="1"/>
    <s v="None"/>
    <x v="11"/>
    <n v="164"/>
    <n v="80"/>
    <s v="UK"/>
    <n v="62.6"/>
    <n v="7.14"/>
    <n v="0.57999999999999996"/>
    <n v="76.16"/>
  </r>
  <r>
    <x v="25"/>
    <x v="1"/>
    <x v="2"/>
    <s v="2023-01-26"/>
    <s v="Wednesday"/>
    <s v="Home"/>
    <n v="34"/>
    <n v="0"/>
    <n v="2"/>
    <n v="68.58"/>
    <n v="11.4"/>
    <n v="10.27"/>
    <m/>
    <x v="1"/>
    <m/>
    <m/>
    <n v="0"/>
    <n v="4"/>
    <s v="None"/>
    <x v="11"/>
    <n v="160"/>
    <n v="69"/>
    <s v="Germany"/>
    <n v="64.099999999999994"/>
    <n v="6.81"/>
    <n v="0.77"/>
    <n v="84.49"/>
  </r>
  <r>
    <x v="26"/>
    <x v="1"/>
    <x v="1"/>
    <s v="2023-01-27"/>
    <s v="Friday"/>
    <s v="Away"/>
    <n v="81"/>
    <n v="0"/>
    <n v="6"/>
    <n v="94.34"/>
    <n v="19.8"/>
    <n v="13.26"/>
    <d v="2023-07-15T00:00:00"/>
    <x v="2"/>
    <m/>
    <m/>
    <n v="0"/>
    <n v="0"/>
    <s v="Ankle"/>
    <x v="9"/>
    <n v="172"/>
    <n v="64"/>
    <s v="UK"/>
    <n v="40.5"/>
    <n v="9.0500000000000007"/>
    <n v="1.31"/>
    <n v="78.06"/>
  </r>
  <r>
    <x v="27"/>
    <x v="2"/>
    <x v="1"/>
    <s v="2023-01-28"/>
    <s v="Friday"/>
    <s v="Away"/>
    <n v="81"/>
    <n v="2"/>
    <n v="0"/>
    <n v="54.64"/>
    <n v="6.4"/>
    <n v="7.98"/>
    <m/>
    <x v="2"/>
    <m/>
    <m/>
    <n v="0"/>
    <n v="2"/>
    <s v="ACL"/>
    <x v="1"/>
    <n v="180"/>
    <n v="95"/>
    <s v="Brazil"/>
    <n v="68.900000000000006"/>
    <n v="7.55"/>
    <n v="0.96"/>
    <n v="78.62"/>
  </r>
  <r>
    <x v="28"/>
    <x v="3"/>
    <x v="0"/>
    <s v="2023-01-29"/>
    <s v="Sunday"/>
    <s v="Away"/>
    <n v="66"/>
    <n v="4"/>
    <n v="5"/>
    <n v="87.38"/>
    <n v="17.8"/>
    <n v="13.4"/>
    <m/>
    <x v="2"/>
    <m/>
    <m/>
    <n v="1"/>
    <n v="1"/>
    <s v="ACL"/>
    <x v="1"/>
    <n v="185"/>
    <n v="65"/>
    <s v="Argentina"/>
    <n v="61.8"/>
    <n v="8.0500000000000007"/>
    <n v="1.05"/>
    <n v="89.7"/>
  </r>
  <r>
    <x v="29"/>
    <x v="3"/>
    <x v="1"/>
    <s v="2023-01-30"/>
    <s v="Friday"/>
    <s v="Home"/>
    <n v="81"/>
    <n v="4"/>
    <n v="3"/>
    <n v="73.86"/>
    <n v="13.6"/>
    <n v="12.73"/>
    <m/>
    <x v="0"/>
    <m/>
    <n v="28"/>
    <n v="0"/>
    <n v="2"/>
    <s v="None"/>
    <x v="12"/>
    <n v="180"/>
    <n v="85"/>
    <s v="Germany"/>
    <n v="49.1"/>
    <n v="7.97"/>
    <n v="0.93"/>
    <n v="99.06"/>
  </r>
  <r>
    <x v="30"/>
    <x v="3"/>
    <x v="0"/>
    <s v="2023-01-31"/>
    <s v="Monday"/>
    <s v="Home"/>
    <n v="70"/>
    <n v="3"/>
    <n v="5"/>
    <n v="87.18"/>
    <n v="17.7"/>
    <n v="7.3"/>
    <d v="2023-07-15T00:00:00"/>
    <x v="0"/>
    <d v="2023-07-09T00:00:00"/>
    <n v="79"/>
    <n v="1"/>
    <n v="2"/>
    <s v="Ankle"/>
    <x v="13"/>
    <n v="177"/>
    <n v="63"/>
    <s v="Argentina"/>
    <n v="64.900000000000006"/>
    <n v="8.31"/>
    <n v="0.54"/>
    <n v="88.11"/>
  </r>
  <r>
    <x v="31"/>
    <x v="0"/>
    <x v="0"/>
    <s v="2023-02-01"/>
    <s v="Wednesday"/>
    <s v="Away"/>
    <n v="74"/>
    <n v="0"/>
    <n v="1"/>
    <n v="61.64"/>
    <n v="9.1999999999999993"/>
    <n v="6.31"/>
    <d v="2023-09-17T00:00:00"/>
    <x v="3"/>
    <m/>
    <n v="22"/>
    <n v="0"/>
    <n v="3"/>
    <s v="None"/>
    <x v="4"/>
    <n v="196"/>
    <n v="98"/>
    <s v="USA"/>
    <n v="48.4"/>
    <n v="9.4600000000000009"/>
    <n v="0.67"/>
    <n v="72.31"/>
  </r>
  <r>
    <x v="32"/>
    <x v="0"/>
    <x v="2"/>
    <s v="2023-02-02"/>
    <s v="Monday"/>
    <s v="Home"/>
    <n v="83"/>
    <n v="0"/>
    <n v="1"/>
    <n v="61.37"/>
    <n v="9.1999999999999993"/>
    <n v="13.68"/>
    <m/>
    <x v="1"/>
    <m/>
    <n v="32"/>
    <n v="0"/>
    <n v="0"/>
    <s v="Ankle"/>
    <x v="14"/>
    <n v="191"/>
    <n v="98"/>
    <s v="Brazil"/>
    <n v="66.2"/>
    <n v="9.92"/>
    <n v="0.95"/>
    <n v="72.27"/>
  </r>
  <r>
    <x v="33"/>
    <x v="3"/>
    <x v="1"/>
    <s v="2023-02-03"/>
    <s v="Monday"/>
    <s v="Home"/>
    <n v="22"/>
    <n v="1"/>
    <n v="4"/>
    <n v="81.31"/>
    <n v="15.5"/>
    <n v="14.63"/>
    <m/>
    <x v="0"/>
    <d v="2023-09-16T00:00:00"/>
    <m/>
    <n v="0"/>
    <n v="2"/>
    <s v="None"/>
    <x v="5"/>
    <n v="195"/>
    <n v="94"/>
    <s v="Argentina"/>
    <n v="43.4"/>
    <n v="7.63"/>
    <n v="0.71"/>
    <n v="98.54"/>
  </r>
  <r>
    <x v="34"/>
    <x v="2"/>
    <x v="1"/>
    <s v="2023-02-04"/>
    <s v="Wednesday"/>
    <s v="Home"/>
    <n v="70"/>
    <n v="3"/>
    <n v="2"/>
    <n v="68.239999999999995"/>
    <n v="11.4"/>
    <n v="5.31"/>
    <m/>
    <x v="3"/>
    <m/>
    <m/>
    <n v="1"/>
    <n v="4"/>
    <s v="Hamstring"/>
    <x v="15"/>
    <n v="176"/>
    <n v="60"/>
    <s v="Brazil"/>
    <n v="61.1"/>
    <n v="9.31"/>
    <n v="0.55000000000000004"/>
    <n v="78.92"/>
  </r>
  <r>
    <x v="35"/>
    <x v="2"/>
    <x v="2"/>
    <s v="2023-02-05"/>
    <s v="Thursday"/>
    <s v="Away"/>
    <n v="26"/>
    <n v="1"/>
    <n v="1"/>
    <n v="61.28"/>
    <n v="9.1999999999999993"/>
    <n v="12.31"/>
    <m/>
    <x v="0"/>
    <m/>
    <n v="84"/>
    <n v="0"/>
    <n v="4"/>
    <s v="Hamstring"/>
    <x v="16"/>
    <n v="194"/>
    <n v="83"/>
    <s v="USA"/>
    <n v="56.2"/>
    <n v="9.06"/>
    <n v="1.34"/>
    <n v="72.760000000000005"/>
  </r>
  <r>
    <x v="36"/>
    <x v="0"/>
    <x v="2"/>
    <s v="2023-02-06"/>
    <s v="Sunday"/>
    <s v="Home"/>
    <n v="40"/>
    <n v="1"/>
    <n v="0"/>
    <n v="54.13"/>
    <n v="6.4"/>
    <n v="14.1"/>
    <m/>
    <x v="2"/>
    <d v="2023-09-25T00:00:00"/>
    <m/>
    <n v="0"/>
    <n v="3"/>
    <s v="Hamstring"/>
    <x v="5"/>
    <n v="170"/>
    <n v="95"/>
    <s v="Spain"/>
    <n v="42.9"/>
    <n v="8.2899999999999991"/>
    <n v="1.48"/>
    <n v="87.97"/>
  </r>
  <r>
    <x v="37"/>
    <x v="2"/>
    <x v="0"/>
    <s v="2023-02-07"/>
    <s v="Friday"/>
    <s v="Away"/>
    <n v="92"/>
    <n v="1"/>
    <n v="5"/>
    <n v="87.13"/>
    <n v="17.5"/>
    <n v="13.57"/>
    <m/>
    <x v="1"/>
    <m/>
    <n v="10"/>
    <n v="0"/>
    <n v="0"/>
    <s v="Ankle"/>
    <x v="2"/>
    <n v="180"/>
    <n v="65"/>
    <s v="Brazil"/>
    <n v="47.3"/>
    <n v="9.82"/>
    <n v="1.29"/>
    <n v="88.71"/>
  </r>
  <r>
    <x v="38"/>
    <x v="3"/>
    <x v="0"/>
    <s v="2023-02-08"/>
    <s v="Wednesday"/>
    <s v="Home"/>
    <n v="58"/>
    <n v="2"/>
    <n v="5"/>
    <n v="87.02"/>
    <n v="17.399999999999999"/>
    <n v="14.65"/>
    <d v="2023-07-14T00:00:00"/>
    <x v="2"/>
    <d v="2023-09-01T00:00:00"/>
    <m/>
    <n v="0"/>
    <n v="0"/>
    <s v="Ankle"/>
    <x v="1"/>
    <n v="185"/>
    <n v="90"/>
    <s v="Spain"/>
    <n v="40.4"/>
    <n v="6.8"/>
    <n v="1.35"/>
    <n v="89.46"/>
  </r>
  <r>
    <x v="39"/>
    <x v="0"/>
    <x v="2"/>
    <s v="2023-02-09"/>
    <s v="Saturday"/>
    <s v="Away"/>
    <n v="37"/>
    <n v="2"/>
    <n v="4"/>
    <n v="81.19"/>
    <n v="15.5"/>
    <n v="12.6"/>
    <d v="2023-12-04T00:00:00"/>
    <x v="1"/>
    <m/>
    <n v="63"/>
    <n v="0"/>
    <n v="4"/>
    <s v="None"/>
    <x v="15"/>
    <n v="163"/>
    <n v="79"/>
    <s v="UK"/>
    <n v="54.1"/>
    <n v="6.44"/>
    <n v="0.74"/>
    <n v="78.02"/>
  </r>
  <r>
    <x v="40"/>
    <x v="2"/>
    <x v="1"/>
    <s v="2023-02-10"/>
    <s v="Monday"/>
    <s v="Away"/>
    <n v="23"/>
    <n v="1"/>
    <n v="6"/>
    <n v="94.2"/>
    <n v="19.8"/>
    <n v="9.42"/>
    <m/>
    <x v="3"/>
    <m/>
    <n v="80"/>
    <n v="0"/>
    <n v="1"/>
    <s v="Hamstring"/>
    <x v="16"/>
    <n v="193"/>
    <n v="83"/>
    <s v="Brazil"/>
    <n v="49"/>
    <n v="9.42"/>
    <n v="1.46"/>
    <n v="70.45"/>
  </r>
  <r>
    <x v="41"/>
    <x v="0"/>
    <x v="1"/>
    <s v="2023-02-11"/>
    <s v="Wednesday"/>
    <s v="Away"/>
    <n v="79"/>
    <n v="3"/>
    <n v="6"/>
    <n v="94.13"/>
    <n v="19.600000000000001"/>
    <n v="8.1199999999999992"/>
    <m/>
    <x v="1"/>
    <m/>
    <m/>
    <n v="0"/>
    <n v="3"/>
    <s v="Hamstring"/>
    <x v="5"/>
    <n v="177"/>
    <n v="84"/>
    <s v="Brazil"/>
    <n v="58"/>
    <n v="7.76"/>
    <n v="0.7"/>
    <n v="98.95"/>
  </r>
  <r>
    <x v="42"/>
    <x v="2"/>
    <x v="1"/>
    <s v="2023-02-12"/>
    <s v="Tuesday"/>
    <s v="Away"/>
    <n v="33"/>
    <n v="0"/>
    <n v="3"/>
    <n v="73.83"/>
    <n v="13.6"/>
    <n v="8.2100000000000009"/>
    <m/>
    <x v="0"/>
    <m/>
    <m/>
    <n v="0"/>
    <n v="3"/>
    <s v="Hamstring"/>
    <x v="1"/>
    <n v="199"/>
    <n v="95"/>
    <s v="Brazil"/>
    <n v="48.9"/>
    <n v="9.39"/>
    <n v="1.45"/>
    <n v="77.53"/>
  </r>
  <r>
    <x v="43"/>
    <x v="0"/>
    <x v="2"/>
    <s v="2023-02-13"/>
    <s v="Thursday"/>
    <s v="Away"/>
    <n v="28"/>
    <n v="3"/>
    <n v="4"/>
    <n v="81.099999999999994"/>
    <n v="15.5"/>
    <n v="12.24"/>
    <d v="2023-05-17T00:00:00"/>
    <x v="2"/>
    <d v="2023-03-20T00:00:00"/>
    <n v="24"/>
    <n v="0"/>
    <n v="4"/>
    <s v="Ankle"/>
    <x v="8"/>
    <n v="194"/>
    <n v="80"/>
    <s v="Brazil"/>
    <n v="49"/>
    <n v="9.57"/>
    <n v="1.49"/>
    <n v="90.28"/>
  </r>
  <r>
    <x v="44"/>
    <x v="2"/>
    <x v="2"/>
    <s v="2023-02-14"/>
    <s v="Saturday"/>
    <s v="Away"/>
    <n v="72"/>
    <n v="4"/>
    <n v="3"/>
    <n v="73.63"/>
    <n v="13.6"/>
    <n v="12.46"/>
    <m/>
    <x v="0"/>
    <d v="2023-04-25T00:00:00"/>
    <n v="74"/>
    <n v="0"/>
    <n v="4"/>
    <s v="ACL"/>
    <x v="15"/>
    <n v="188"/>
    <n v="89"/>
    <s v="Argentina"/>
    <n v="62.3"/>
    <n v="6.25"/>
    <n v="1.21"/>
    <n v="91.2"/>
  </r>
  <r>
    <x v="45"/>
    <x v="0"/>
    <x v="1"/>
    <s v="2023-02-15"/>
    <s v="Saturday"/>
    <s v="Home"/>
    <n v="21"/>
    <n v="2"/>
    <n v="6"/>
    <n v="93.85"/>
    <n v="19.600000000000001"/>
    <n v="7"/>
    <m/>
    <x v="0"/>
    <d v="2023-06-17T00:00:00"/>
    <n v="85"/>
    <n v="0"/>
    <n v="1"/>
    <s v="ACL"/>
    <x v="14"/>
    <n v="188"/>
    <n v="83"/>
    <s v="Germany"/>
    <n v="41.4"/>
    <n v="9.5299999999999994"/>
    <n v="1.48"/>
    <n v="88.3"/>
  </r>
  <r>
    <x v="46"/>
    <x v="3"/>
    <x v="0"/>
    <s v="2023-02-16"/>
    <s v="Wednesday"/>
    <s v="Home"/>
    <n v="79"/>
    <n v="0"/>
    <n v="4"/>
    <n v="81.08"/>
    <n v="15.5"/>
    <n v="13.68"/>
    <m/>
    <x v="2"/>
    <m/>
    <n v="80"/>
    <n v="1"/>
    <n v="1"/>
    <s v="Hamstring"/>
    <x v="9"/>
    <n v="197"/>
    <n v="89"/>
    <s v="Germany"/>
    <n v="67.099999999999994"/>
    <n v="7.79"/>
    <n v="1.07"/>
    <n v="79.39"/>
  </r>
  <r>
    <x v="47"/>
    <x v="1"/>
    <x v="0"/>
    <s v="2023-02-17"/>
    <s v="Wednesday"/>
    <s v="Home"/>
    <n v="90"/>
    <n v="0"/>
    <n v="4"/>
    <n v="80.739999999999995"/>
    <n v="15.5"/>
    <n v="12.15"/>
    <m/>
    <x v="2"/>
    <m/>
    <n v="24"/>
    <n v="0"/>
    <n v="0"/>
    <s v="Ankle"/>
    <x v="4"/>
    <n v="180"/>
    <n v="81"/>
    <s v="USA"/>
    <n v="65.599999999999994"/>
    <n v="8.0399999999999991"/>
    <n v="0.76"/>
    <n v="78.13"/>
  </r>
  <r>
    <x v="48"/>
    <x v="2"/>
    <x v="0"/>
    <s v="2023-02-18"/>
    <s v="Monday"/>
    <s v="Home"/>
    <n v="63"/>
    <n v="4"/>
    <n v="4"/>
    <n v="80.150000000000006"/>
    <n v="15.4"/>
    <n v="10.63"/>
    <m/>
    <x v="0"/>
    <d v="2023-08-09T00:00:00"/>
    <m/>
    <n v="0"/>
    <n v="3"/>
    <s v="Hamstring"/>
    <x v="17"/>
    <n v="172"/>
    <n v="87"/>
    <s v="Spain"/>
    <n v="60"/>
    <n v="8.51"/>
    <n v="0.94"/>
    <n v="87.93"/>
  </r>
  <r>
    <x v="49"/>
    <x v="3"/>
    <x v="1"/>
    <s v="2023-02-19"/>
    <s v="Sunday"/>
    <s v="Away"/>
    <n v="27"/>
    <n v="4"/>
    <n v="6"/>
    <n v="93.55"/>
    <n v="19.5"/>
    <n v="9.7200000000000006"/>
    <m/>
    <x v="0"/>
    <m/>
    <m/>
    <n v="0"/>
    <n v="3"/>
    <s v="ACL"/>
    <x v="0"/>
    <n v="176"/>
    <n v="66"/>
    <s v="Germany"/>
    <n v="57.8"/>
    <n v="9.7100000000000009"/>
    <n v="1.0900000000000001"/>
    <n v="95.98"/>
  </r>
  <r>
    <x v="50"/>
    <x v="2"/>
    <x v="1"/>
    <s v="2023-02-20"/>
    <s v="Saturday"/>
    <s v="Away"/>
    <n v="66"/>
    <n v="1"/>
    <n v="3"/>
    <n v="73.510000000000005"/>
    <n v="13.4"/>
    <n v="10.43"/>
    <m/>
    <x v="3"/>
    <d v="2023-01-19T00:00:00"/>
    <m/>
    <n v="0"/>
    <n v="4"/>
    <s v="Hamstring"/>
    <x v="18"/>
    <n v="168"/>
    <n v="94"/>
    <s v="Germany"/>
    <n v="66.8"/>
    <n v="6.08"/>
    <n v="0.56999999999999995"/>
    <n v="98.4"/>
  </r>
  <r>
    <x v="51"/>
    <x v="1"/>
    <x v="1"/>
    <s v="2023-02-21"/>
    <s v="Saturday"/>
    <s v="Away"/>
    <n v="54"/>
    <n v="2"/>
    <n v="3"/>
    <n v="73.510000000000005"/>
    <n v="13.4"/>
    <n v="6.59"/>
    <m/>
    <x v="0"/>
    <m/>
    <n v="30"/>
    <n v="0"/>
    <n v="0"/>
    <s v="None"/>
    <x v="8"/>
    <n v="160"/>
    <n v="87"/>
    <s v="UK"/>
    <n v="45.6"/>
    <n v="7.91"/>
    <n v="1.1200000000000001"/>
    <n v="73.180000000000007"/>
  </r>
  <r>
    <x v="52"/>
    <x v="3"/>
    <x v="0"/>
    <s v="2023-02-22"/>
    <s v="Wednesday"/>
    <s v="Home"/>
    <n v="55"/>
    <n v="2"/>
    <n v="4"/>
    <n v="79.8"/>
    <n v="15.4"/>
    <n v="7.04"/>
    <m/>
    <x v="2"/>
    <m/>
    <m/>
    <n v="1"/>
    <n v="3"/>
    <s v="None"/>
    <x v="10"/>
    <n v="161"/>
    <n v="73"/>
    <s v="Brazil"/>
    <n v="42.4"/>
    <n v="8.75"/>
    <n v="1.48"/>
    <n v="74.64"/>
  </r>
  <r>
    <x v="53"/>
    <x v="2"/>
    <x v="1"/>
    <s v="2023-02-23"/>
    <s v="Thursday"/>
    <s v="Home"/>
    <n v="69"/>
    <n v="3"/>
    <n v="1"/>
    <n v="61.04"/>
    <n v="9.1999999999999993"/>
    <n v="5.91"/>
    <m/>
    <x v="2"/>
    <d v="2023-08-21T00:00:00"/>
    <m/>
    <n v="0"/>
    <n v="0"/>
    <s v="ACL"/>
    <x v="4"/>
    <n v="188"/>
    <n v="69"/>
    <s v="Brazil"/>
    <n v="47.2"/>
    <n v="8.89"/>
    <n v="0.69"/>
    <n v="98.34"/>
  </r>
  <r>
    <x v="54"/>
    <x v="0"/>
    <x v="1"/>
    <s v="2023-02-24"/>
    <s v="Thursday"/>
    <s v="Home"/>
    <n v="23"/>
    <n v="1"/>
    <n v="2"/>
    <n v="68.2"/>
    <n v="11.3"/>
    <n v="6.54"/>
    <m/>
    <x v="0"/>
    <m/>
    <m/>
    <n v="0"/>
    <n v="0"/>
    <s v="Ankle"/>
    <x v="7"/>
    <n v="192"/>
    <n v="75"/>
    <s v="Brazil"/>
    <n v="63.8"/>
    <n v="8.77"/>
    <n v="1.29"/>
    <n v="92.1"/>
  </r>
  <r>
    <x v="55"/>
    <x v="3"/>
    <x v="1"/>
    <s v="2023-02-25"/>
    <s v="Monday"/>
    <s v="Away"/>
    <n v="21"/>
    <n v="1"/>
    <n v="6"/>
    <n v="93.3"/>
    <n v="19.5"/>
    <n v="9.5399999999999991"/>
    <m/>
    <x v="0"/>
    <m/>
    <m/>
    <n v="0"/>
    <n v="4"/>
    <s v="Hamstring"/>
    <x v="13"/>
    <n v="169"/>
    <n v="75"/>
    <s v="USA"/>
    <n v="41"/>
    <n v="6.54"/>
    <n v="1.41"/>
    <n v="96.49"/>
  </r>
  <r>
    <x v="56"/>
    <x v="0"/>
    <x v="0"/>
    <s v="2023-02-26"/>
    <s v="Sunday"/>
    <s v="Home"/>
    <n v="25"/>
    <n v="1"/>
    <n v="2"/>
    <n v="68.2"/>
    <n v="11.3"/>
    <n v="10.3"/>
    <d v="2023-08-03T00:00:00"/>
    <x v="0"/>
    <m/>
    <n v="28"/>
    <n v="0"/>
    <n v="0"/>
    <s v="Hamstring"/>
    <x v="14"/>
    <n v="199"/>
    <n v="90"/>
    <s v="USA"/>
    <n v="57.5"/>
    <n v="7.2"/>
    <n v="1.44"/>
    <n v="76.08"/>
  </r>
  <r>
    <x v="57"/>
    <x v="1"/>
    <x v="2"/>
    <s v="2023-02-27"/>
    <s v="Friday"/>
    <s v="Home"/>
    <n v="73"/>
    <n v="1"/>
    <n v="2"/>
    <n v="68.11"/>
    <n v="11.2"/>
    <n v="5.18"/>
    <m/>
    <x v="1"/>
    <m/>
    <m/>
    <n v="0"/>
    <n v="1"/>
    <s v="Ankle"/>
    <x v="9"/>
    <n v="180"/>
    <n v="84"/>
    <s v="UK"/>
    <n v="69.900000000000006"/>
    <n v="7.43"/>
    <n v="1.46"/>
    <n v="87.63"/>
  </r>
  <r>
    <x v="58"/>
    <x v="1"/>
    <x v="0"/>
    <s v="2023-02-28"/>
    <s v="Sunday"/>
    <s v="Away"/>
    <n v="23"/>
    <n v="2"/>
    <n v="3"/>
    <n v="73.459999999999994"/>
    <n v="13.3"/>
    <n v="12.97"/>
    <m/>
    <x v="1"/>
    <m/>
    <m/>
    <n v="1"/>
    <n v="1"/>
    <s v="Hamstring"/>
    <x v="17"/>
    <n v="187"/>
    <n v="72"/>
    <s v="Spain"/>
    <n v="65.7"/>
    <n v="9.2200000000000006"/>
    <n v="1.02"/>
    <n v="91.03"/>
  </r>
  <r>
    <x v="59"/>
    <x v="0"/>
    <x v="0"/>
    <s v="2023-03-01"/>
    <s v="Saturday"/>
    <s v="Away"/>
    <n v="73"/>
    <n v="2"/>
    <n v="3"/>
    <n v="73.459999999999994"/>
    <n v="13.3"/>
    <n v="7.94"/>
    <m/>
    <x v="3"/>
    <d v="2023-05-18T00:00:00"/>
    <m/>
    <n v="0"/>
    <n v="2"/>
    <s v="Hamstring"/>
    <x v="2"/>
    <n v="170"/>
    <n v="65"/>
    <s v="Germany"/>
    <n v="55.6"/>
    <n v="7.12"/>
    <n v="1.48"/>
    <n v="90.4"/>
  </r>
  <r>
    <x v="60"/>
    <x v="3"/>
    <x v="0"/>
    <s v="2023-03-02"/>
    <s v="Monday"/>
    <s v="Home"/>
    <n v="82"/>
    <n v="1"/>
    <n v="1"/>
    <n v="60.74"/>
    <n v="9.1999999999999993"/>
    <n v="14.12"/>
    <m/>
    <x v="2"/>
    <d v="2023-10-28T00:00:00"/>
    <m/>
    <n v="0"/>
    <n v="4"/>
    <s v="Hamstring"/>
    <x v="19"/>
    <n v="193"/>
    <n v="68"/>
    <s v="Spain"/>
    <n v="41.9"/>
    <n v="6.84"/>
    <n v="1.26"/>
    <n v="82.24"/>
  </r>
  <r>
    <x v="61"/>
    <x v="3"/>
    <x v="2"/>
    <s v="2023-03-03"/>
    <s v="Sunday"/>
    <s v="Home"/>
    <n v="37"/>
    <n v="3"/>
    <n v="2"/>
    <n v="68.069999999999993"/>
    <n v="11.1"/>
    <n v="14.68"/>
    <m/>
    <x v="2"/>
    <d v="2023-08-01T00:00:00"/>
    <m/>
    <n v="0"/>
    <n v="2"/>
    <s v="ACL"/>
    <x v="1"/>
    <n v="167"/>
    <n v="95"/>
    <s v="Brazil"/>
    <n v="64.900000000000006"/>
    <n v="9.83"/>
    <n v="0.66"/>
    <n v="70.459999999999994"/>
  </r>
  <r>
    <x v="62"/>
    <x v="3"/>
    <x v="2"/>
    <s v="2023-03-04"/>
    <s v="Monday"/>
    <s v="Away"/>
    <n v="63"/>
    <n v="0"/>
    <n v="2"/>
    <n v="67.92"/>
    <n v="11"/>
    <n v="6.85"/>
    <m/>
    <x v="2"/>
    <m/>
    <m/>
    <n v="0"/>
    <n v="1"/>
    <s v="None"/>
    <x v="11"/>
    <n v="181"/>
    <n v="79"/>
    <s v="Germany"/>
    <n v="58"/>
    <n v="6.04"/>
    <n v="0.98"/>
    <n v="87.49"/>
  </r>
  <r>
    <x v="63"/>
    <x v="3"/>
    <x v="0"/>
    <s v="2023-03-05"/>
    <s v="Wednesday"/>
    <s v="Home"/>
    <n v="53"/>
    <n v="0"/>
    <n v="4"/>
    <n v="79.77"/>
    <n v="15.4"/>
    <n v="9.6199999999999992"/>
    <d v="2023-06-28T00:00:00"/>
    <x v="1"/>
    <d v="2023-04-25T00:00:00"/>
    <m/>
    <n v="0"/>
    <n v="2"/>
    <s v="None"/>
    <x v="20"/>
    <n v="167"/>
    <n v="77"/>
    <s v="Brazil"/>
    <n v="43.4"/>
    <n v="9.99"/>
    <n v="1.22"/>
    <n v="77.59"/>
  </r>
  <r>
    <x v="64"/>
    <x v="1"/>
    <x v="0"/>
    <s v="2023-03-06"/>
    <s v="Friday"/>
    <s v="Home"/>
    <n v="93"/>
    <n v="3"/>
    <n v="3"/>
    <n v="73.41"/>
    <n v="13.2"/>
    <n v="5.01"/>
    <d v="2023-09-08T00:00:00"/>
    <x v="0"/>
    <m/>
    <n v="69"/>
    <n v="0"/>
    <n v="4"/>
    <s v="Ankle"/>
    <x v="3"/>
    <n v="174"/>
    <n v="80"/>
    <s v="UK"/>
    <n v="42.8"/>
    <n v="8.7100000000000009"/>
    <n v="0.75"/>
    <n v="83.51"/>
  </r>
  <r>
    <x v="65"/>
    <x v="0"/>
    <x v="0"/>
    <s v="2023-03-07"/>
    <s v="Friday"/>
    <s v="Away"/>
    <n v="81"/>
    <n v="1"/>
    <n v="2"/>
    <n v="67.849999999999994"/>
    <n v="10.8"/>
    <n v="10.98"/>
    <m/>
    <x v="3"/>
    <m/>
    <m/>
    <n v="0"/>
    <n v="4"/>
    <s v="ACL"/>
    <x v="18"/>
    <n v="176"/>
    <n v="63"/>
    <s v="UK"/>
    <n v="67.3"/>
    <n v="9.31"/>
    <n v="1.1399999999999999"/>
    <n v="98.73"/>
  </r>
  <r>
    <x v="66"/>
    <x v="1"/>
    <x v="0"/>
    <s v="2023-03-08"/>
    <s v="Friday"/>
    <s v="Home"/>
    <n v="33"/>
    <n v="2"/>
    <n v="5"/>
    <n v="86.9"/>
    <n v="17.3"/>
    <n v="11.07"/>
    <d v="2023-04-18T00:00:00"/>
    <x v="0"/>
    <m/>
    <m/>
    <n v="0"/>
    <n v="0"/>
    <s v="Ankle"/>
    <x v="17"/>
    <n v="182"/>
    <n v="92"/>
    <s v="Germany"/>
    <n v="60.1"/>
    <n v="7.18"/>
    <n v="1.17"/>
    <n v="81.97"/>
  </r>
  <r>
    <x v="67"/>
    <x v="2"/>
    <x v="0"/>
    <s v="2023-03-09"/>
    <s v="Tuesday"/>
    <s v="Home"/>
    <n v="67"/>
    <n v="0"/>
    <n v="1"/>
    <n v="60.38"/>
    <n v="9.1"/>
    <n v="7.48"/>
    <d v="2023-01-22T00:00:00"/>
    <x v="2"/>
    <m/>
    <m/>
    <n v="0"/>
    <n v="3"/>
    <s v="ACL"/>
    <x v="2"/>
    <n v="183"/>
    <n v="86"/>
    <s v="UK"/>
    <n v="64.900000000000006"/>
    <n v="6.06"/>
    <n v="0.66"/>
    <n v="95.19"/>
  </r>
  <r>
    <x v="68"/>
    <x v="1"/>
    <x v="1"/>
    <s v="2023-03-10"/>
    <s v="Friday"/>
    <s v="Away"/>
    <n v="34"/>
    <n v="4"/>
    <n v="5"/>
    <n v="86.84"/>
    <n v="17.3"/>
    <n v="10.58"/>
    <d v="2023-11-13T00:00:00"/>
    <x v="3"/>
    <m/>
    <n v="42"/>
    <n v="1"/>
    <n v="0"/>
    <s v="None"/>
    <x v="10"/>
    <n v="178"/>
    <n v="66"/>
    <s v="Argentina"/>
    <n v="66.400000000000006"/>
    <n v="8.9499999999999993"/>
    <n v="1.07"/>
    <n v="75.66"/>
  </r>
  <r>
    <x v="69"/>
    <x v="0"/>
    <x v="0"/>
    <s v="2023-03-11"/>
    <s v="Thursday"/>
    <s v="Home"/>
    <n v="91"/>
    <n v="4"/>
    <n v="5"/>
    <n v="86.68"/>
    <n v="17.3"/>
    <n v="7.26"/>
    <d v="2023-02-06T00:00:00"/>
    <x v="2"/>
    <d v="2023-05-02T00:00:00"/>
    <n v="58"/>
    <n v="0"/>
    <n v="4"/>
    <s v="Hamstring"/>
    <x v="15"/>
    <n v="164"/>
    <n v="65"/>
    <s v="Germany"/>
    <n v="57.2"/>
    <n v="9.34"/>
    <n v="1.27"/>
    <n v="90.17"/>
  </r>
  <r>
    <x v="70"/>
    <x v="2"/>
    <x v="0"/>
    <s v="2023-03-12"/>
    <s v="Thursday"/>
    <s v="Home"/>
    <n v="81"/>
    <n v="3"/>
    <n v="6"/>
    <n v="93.29"/>
    <n v="19.5"/>
    <n v="6.61"/>
    <m/>
    <x v="3"/>
    <m/>
    <m/>
    <n v="0"/>
    <n v="1"/>
    <s v="None"/>
    <x v="17"/>
    <n v="191"/>
    <n v="74"/>
    <s v="UK"/>
    <n v="55.5"/>
    <n v="8.9600000000000009"/>
    <n v="1"/>
    <n v="99.31"/>
  </r>
  <r>
    <x v="71"/>
    <x v="0"/>
    <x v="0"/>
    <s v="2023-03-13"/>
    <s v="Wednesday"/>
    <s v="Home"/>
    <n v="59"/>
    <n v="1"/>
    <n v="6"/>
    <n v="93.26"/>
    <n v="19.5"/>
    <n v="11.52"/>
    <m/>
    <x v="3"/>
    <m/>
    <n v="44"/>
    <n v="0"/>
    <n v="1"/>
    <s v="Hamstring"/>
    <x v="1"/>
    <n v="160"/>
    <n v="77"/>
    <s v="Brazil"/>
    <n v="52.9"/>
    <n v="6.57"/>
    <n v="0.51"/>
    <n v="73.06"/>
  </r>
  <r>
    <x v="72"/>
    <x v="0"/>
    <x v="0"/>
    <s v="2023-03-14"/>
    <s v="Monday"/>
    <s v="Home"/>
    <n v="72"/>
    <n v="0"/>
    <n v="1"/>
    <n v="60.29"/>
    <n v="8.8000000000000007"/>
    <n v="8.26"/>
    <m/>
    <x v="3"/>
    <d v="2023-07-06T00:00:00"/>
    <m/>
    <n v="0"/>
    <n v="0"/>
    <s v="None"/>
    <x v="7"/>
    <n v="182"/>
    <n v="91"/>
    <s v="Germany"/>
    <n v="49.5"/>
    <n v="9.01"/>
    <n v="0.51"/>
    <n v="70.25"/>
  </r>
  <r>
    <x v="73"/>
    <x v="0"/>
    <x v="1"/>
    <s v="2023-03-15"/>
    <s v="Thursday"/>
    <s v="Away"/>
    <n v="43"/>
    <n v="1"/>
    <n v="5"/>
    <n v="86.33"/>
    <n v="17.2"/>
    <n v="10.9"/>
    <d v="2023-08-06T00:00:00"/>
    <x v="1"/>
    <d v="2023-01-08T00:00:00"/>
    <m/>
    <n v="0"/>
    <n v="4"/>
    <s v="ACL"/>
    <x v="2"/>
    <n v="196"/>
    <n v="70"/>
    <s v="Brazil"/>
    <n v="53"/>
    <n v="9.08"/>
    <n v="0.86"/>
    <n v="83.01"/>
  </r>
  <r>
    <x v="74"/>
    <x v="0"/>
    <x v="0"/>
    <s v="2023-03-16"/>
    <s v="Sunday"/>
    <s v="Home"/>
    <n v="45"/>
    <n v="0"/>
    <n v="2"/>
    <n v="67.650000000000006"/>
    <n v="10.8"/>
    <n v="9.33"/>
    <m/>
    <x v="3"/>
    <m/>
    <m/>
    <n v="0"/>
    <n v="1"/>
    <s v="None"/>
    <x v="11"/>
    <n v="167"/>
    <n v="79"/>
    <s v="Spain"/>
    <n v="63.2"/>
    <n v="8.6300000000000008"/>
    <n v="1.43"/>
    <n v="72.78"/>
  </r>
  <r>
    <x v="75"/>
    <x v="1"/>
    <x v="1"/>
    <s v="2023-03-17"/>
    <s v="Thursday"/>
    <s v="Home"/>
    <n v="79"/>
    <n v="3"/>
    <n v="3"/>
    <n v="73.319999999999993"/>
    <n v="13.2"/>
    <n v="14.84"/>
    <m/>
    <x v="2"/>
    <m/>
    <m/>
    <n v="0"/>
    <n v="4"/>
    <s v="ACL"/>
    <x v="4"/>
    <n v="172"/>
    <n v="83"/>
    <s v="Spain"/>
    <n v="58.1"/>
    <n v="9.06"/>
    <n v="0.73"/>
    <n v="92.45"/>
  </r>
  <r>
    <x v="76"/>
    <x v="3"/>
    <x v="2"/>
    <s v="2023-03-18"/>
    <s v="Tuesday"/>
    <s v="Away"/>
    <n v="60"/>
    <n v="3"/>
    <n v="1"/>
    <n v="59.88"/>
    <n v="8.6999999999999993"/>
    <n v="6.5"/>
    <d v="2023-03-20T00:00:00"/>
    <x v="2"/>
    <m/>
    <m/>
    <n v="0"/>
    <n v="1"/>
    <s v="None"/>
    <x v="19"/>
    <n v="167"/>
    <n v="74"/>
    <s v="Germany"/>
    <n v="66.8"/>
    <n v="9.3800000000000008"/>
    <n v="1.1299999999999999"/>
    <n v="97.44"/>
  </r>
  <r>
    <x v="77"/>
    <x v="1"/>
    <x v="2"/>
    <s v="2023-03-19"/>
    <s v="Tuesday"/>
    <s v="Away"/>
    <n v="48"/>
    <n v="4"/>
    <n v="4"/>
    <n v="79.260000000000005"/>
    <n v="15.3"/>
    <n v="9.65"/>
    <m/>
    <x v="3"/>
    <m/>
    <m/>
    <n v="0"/>
    <n v="4"/>
    <s v="Ankle"/>
    <x v="2"/>
    <n v="182"/>
    <n v="66"/>
    <s v="USA"/>
    <n v="53.3"/>
    <n v="8.4499999999999993"/>
    <n v="0.72"/>
    <n v="83.02"/>
  </r>
  <r>
    <x v="78"/>
    <x v="1"/>
    <x v="1"/>
    <s v="2023-03-20"/>
    <s v="Monday"/>
    <s v="Home"/>
    <n v="34"/>
    <n v="1"/>
    <n v="5"/>
    <n v="86.18"/>
    <n v="17.2"/>
    <n v="11.8"/>
    <m/>
    <x v="0"/>
    <d v="2023-11-19T00:00:00"/>
    <m/>
    <n v="0"/>
    <n v="2"/>
    <s v="Hamstring"/>
    <x v="20"/>
    <n v="160"/>
    <n v="80"/>
    <s v="UK"/>
    <n v="58.2"/>
    <n v="6.35"/>
    <n v="0.82"/>
    <n v="77.760000000000005"/>
  </r>
  <r>
    <x v="79"/>
    <x v="3"/>
    <x v="1"/>
    <s v="2023-03-21"/>
    <s v="Friday"/>
    <s v="Away"/>
    <n v="64"/>
    <n v="4"/>
    <n v="1"/>
    <n v="59.81"/>
    <n v="8.4"/>
    <n v="8.9600000000000009"/>
    <m/>
    <x v="1"/>
    <m/>
    <n v="53"/>
    <n v="1"/>
    <n v="4"/>
    <s v="ACL"/>
    <x v="16"/>
    <n v="183"/>
    <n v="85"/>
    <s v="Brazil"/>
    <n v="58.9"/>
    <n v="7.95"/>
    <n v="1.35"/>
    <n v="83.03"/>
  </r>
  <r>
    <x v="80"/>
    <x v="3"/>
    <x v="1"/>
    <s v="2023-03-22"/>
    <s v="Wednesday"/>
    <s v="Away"/>
    <n v="84"/>
    <n v="1"/>
    <n v="0"/>
    <n v="54.07"/>
    <n v="6.3"/>
    <n v="14.75"/>
    <m/>
    <x v="0"/>
    <m/>
    <n v="20"/>
    <n v="0"/>
    <n v="4"/>
    <s v="None"/>
    <x v="5"/>
    <n v="194"/>
    <n v="73"/>
    <s v="USA"/>
    <n v="57.8"/>
    <n v="6.31"/>
    <n v="1.23"/>
    <n v="91.7"/>
  </r>
  <r>
    <x v="81"/>
    <x v="2"/>
    <x v="2"/>
    <s v="2023-03-23"/>
    <s v="Thursday"/>
    <s v="Away"/>
    <n v="90"/>
    <n v="4"/>
    <n v="0"/>
    <n v="53.98"/>
    <n v="6.3"/>
    <n v="12.22"/>
    <m/>
    <x v="0"/>
    <m/>
    <m/>
    <n v="0"/>
    <n v="0"/>
    <s v="Ankle"/>
    <x v="21"/>
    <n v="183"/>
    <n v="96"/>
    <s v="Germany"/>
    <n v="61.1"/>
    <n v="7.63"/>
    <n v="0.6"/>
    <n v="70.27"/>
  </r>
  <r>
    <x v="82"/>
    <x v="1"/>
    <x v="0"/>
    <s v="2023-03-24"/>
    <s v="Saturday"/>
    <s v="Home"/>
    <n v="28"/>
    <n v="2"/>
    <n v="6"/>
    <n v="93.14"/>
    <n v="19.399999999999999"/>
    <n v="11.57"/>
    <m/>
    <x v="2"/>
    <d v="2023-02-13T00:00:00"/>
    <m/>
    <n v="0"/>
    <n v="2"/>
    <s v="Ankle"/>
    <x v="1"/>
    <n v="176"/>
    <n v="80"/>
    <s v="Spain"/>
    <n v="47.1"/>
    <n v="7.63"/>
    <n v="0.93"/>
    <n v="87.68"/>
  </r>
  <r>
    <x v="83"/>
    <x v="2"/>
    <x v="1"/>
    <s v="2023-03-25"/>
    <s v="Saturday"/>
    <s v="Away"/>
    <n v="20"/>
    <n v="2"/>
    <n v="3"/>
    <n v="73.22"/>
    <n v="13.2"/>
    <n v="12.57"/>
    <m/>
    <x v="3"/>
    <m/>
    <m/>
    <n v="0"/>
    <n v="3"/>
    <s v="ACL"/>
    <x v="2"/>
    <n v="164"/>
    <n v="77"/>
    <s v="Brazil"/>
    <n v="55.4"/>
    <n v="6.26"/>
    <n v="0.53"/>
    <n v="88.4"/>
  </r>
  <r>
    <x v="84"/>
    <x v="0"/>
    <x v="0"/>
    <s v="2023-03-26"/>
    <s v="Wednesday"/>
    <s v="Home"/>
    <n v="27"/>
    <n v="2"/>
    <n v="2"/>
    <n v="67.62"/>
    <n v="10.8"/>
    <n v="14.53"/>
    <m/>
    <x v="0"/>
    <m/>
    <m/>
    <n v="0"/>
    <n v="0"/>
    <s v="Hamstring"/>
    <x v="3"/>
    <n v="179"/>
    <n v="64"/>
    <s v="Spain"/>
    <n v="43.1"/>
    <n v="7.4"/>
    <n v="0.98"/>
    <n v="89.13"/>
  </r>
  <r>
    <x v="85"/>
    <x v="0"/>
    <x v="1"/>
    <s v="2023-03-27"/>
    <s v="Thursday"/>
    <s v="Away"/>
    <n v="82"/>
    <n v="2"/>
    <n v="3"/>
    <n v="73.19"/>
    <n v="13.1"/>
    <n v="14.08"/>
    <m/>
    <x v="0"/>
    <m/>
    <m/>
    <n v="1"/>
    <n v="3"/>
    <s v="ACL"/>
    <x v="20"/>
    <n v="180"/>
    <n v="62"/>
    <s v="Argentina"/>
    <n v="51.5"/>
    <n v="6.44"/>
    <n v="1.1599999999999999"/>
    <n v="77.260000000000005"/>
  </r>
  <r>
    <x v="86"/>
    <x v="1"/>
    <x v="1"/>
    <s v="2023-03-28"/>
    <s v="Tuesday"/>
    <s v="Home"/>
    <n v="30"/>
    <n v="0"/>
    <n v="3"/>
    <n v="73.06"/>
    <n v="13.1"/>
    <n v="12.24"/>
    <d v="2023-03-23T00:00:00"/>
    <x v="2"/>
    <m/>
    <m/>
    <n v="1"/>
    <n v="1"/>
    <s v="ACL"/>
    <x v="5"/>
    <n v="199"/>
    <n v="82"/>
    <s v="Germany"/>
    <n v="54.6"/>
    <n v="9.23"/>
    <n v="0.62"/>
    <n v="91.42"/>
  </r>
  <r>
    <x v="87"/>
    <x v="3"/>
    <x v="1"/>
    <s v="2023-03-29"/>
    <s v="Tuesday"/>
    <s v="Away"/>
    <n v="27"/>
    <n v="2"/>
    <n v="3"/>
    <n v="72.41"/>
    <n v="13"/>
    <n v="12.49"/>
    <m/>
    <x v="1"/>
    <d v="2023-02-16T00:00:00"/>
    <m/>
    <n v="0"/>
    <n v="3"/>
    <s v="Hamstring"/>
    <x v="12"/>
    <n v="190"/>
    <n v="85"/>
    <s v="UK"/>
    <n v="59.6"/>
    <n v="9.7899999999999991"/>
    <n v="0.79"/>
    <n v="72.739999999999995"/>
  </r>
  <r>
    <x v="88"/>
    <x v="3"/>
    <x v="1"/>
    <s v="2023-03-30"/>
    <s v="Tuesday"/>
    <s v="Away"/>
    <n v="54"/>
    <n v="3"/>
    <n v="3"/>
    <n v="72.39"/>
    <n v="13"/>
    <n v="6.46"/>
    <m/>
    <x v="0"/>
    <m/>
    <m/>
    <n v="1"/>
    <n v="4"/>
    <s v="None"/>
    <x v="14"/>
    <n v="195"/>
    <n v="96"/>
    <s v="Brazil"/>
    <n v="68.5"/>
    <n v="6.29"/>
    <n v="0.9"/>
    <n v="75.98"/>
  </r>
  <r>
    <x v="89"/>
    <x v="1"/>
    <x v="1"/>
    <s v="2023-03-31"/>
    <s v="Wednesday"/>
    <s v="Away"/>
    <n v="54"/>
    <n v="3"/>
    <n v="4"/>
    <n v="79.099999999999994"/>
    <n v="15.2"/>
    <n v="6.03"/>
    <m/>
    <x v="1"/>
    <m/>
    <m/>
    <n v="1"/>
    <n v="3"/>
    <s v="Hamstring"/>
    <x v="8"/>
    <n v="170"/>
    <n v="83"/>
    <s v="UK"/>
    <n v="58"/>
    <n v="9.82"/>
    <n v="1.42"/>
    <n v="96.32"/>
  </r>
  <r>
    <x v="90"/>
    <x v="0"/>
    <x v="1"/>
    <s v="2023-04-01"/>
    <s v="Saturday"/>
    <s v="Home"/>
    <n v="52"/>
    <n v="0"/>
    <n v="4"/>
    <n v="79.03"/>
    <n v="15.1"/>
    <n v="10.71"/>
    <m/>
    <x v="2"/>
    <d v="2023-06-04T00:00:00"/>
    <m/>
    <n v="1"/>
    <n v="0"/>
    <s v="None"/>
    <x v="5"/>
    <n v="174"/>
    <n v="78"/>
    <s v="Argentina"/>
    <n v="62.3"/>
    <n v="8.09"/>
    <n v="1.49"/>
    <n v="92.16"/>
  </r>
  <r>
    <x v="91"/>
    <x v="0"/>
    <x v="1"/>
    <s v="2023-04-02"/>
    <s v="Monday"/>
    <s v="Home"/>
    <n v="24"/>
    <n v="2"/>
    <n v="6"/>
    <n v="93.12"/>
    <n v="19.399999999999999"/>
    <n v="5.18"/>
    <m/>
    <x v="3"/>
    <d v="2023-10-27T00:00:00"/>
    <m/>
    <n v="1"/>
    <n v="0"/>
    <s v="Hamstring"/>
    <x v="17"/>
    <n v="178"/>
    <n v="84"/>
    <s v="UK"/>
    <n v="55.2"/>
    <n v="7.2"/>
    <n v="0.54"/>
    <n v="70.41"/>
  </r>
  <r>
    <x v="92"/>
    <x v="2"/>
    <x v="2"/>
    <s v="2023-04-03"/>
    <s v="Monday"/>
    <s v="Home"/>
    <n v="60"/>
    <n v="2"/>
    <n v="1"/>
    <n v="59.73"/>
    <n v="8.1999999999999993"/>
    <n v="9.82"/>
    <m/>
    <x v="1"/>
    <m/>
    <n v="81"/>
    <n v="0"/>
    <n v="3"/>
    <s v="ACL"/>
    <x v="11"/>
    <n v="166"/>
    <n v="80"/>
    <s v="Brazil"/>
    <n v="59"/>
    <n v="6.31"/>
    <n v="1.26"/>
    <n v="77.45"/>
  </r>
  <r>
    <x v="93"/>
    <x v="1"/>
    <x v="1"/>
    <s v="2023-04-04"/>
    <s v="Wednesday"/>
    <s v="Home"/>
    <n v="47"/>
    <n v="2"/>
    <n v="0"/>
    <n v="53.9"/>
    <n v="6.3"/>
    <n v="7.1"/>
    <m/>
    <x v="2"/>
    <m/>
    <m/>
    <n v="0"/>
    <n v="0"/>
    <s v="ACL"/>
    <x v="12"/>
    <n v="187"/>
    <n v="71"/>
    <s v="Germany"/>
    <n v="42.1"/>
    <n v="8"/>
    <n v="0.87"/>
    <n v="76.430000000000007"/>
  </r>
  <r>
    <x v="94"/>
    <x v="0"/>
    <x v="1"/>
    <s v="2023-04-05"/>
    <s v="Saturday"/>
    <s v="Away"/>
    <n v="26"/>
    <n v="4"/>
    <n v="3"/>
    <n v="72.239999999999995"/>
    <n v="12.9"/>
    <n v="8.4600000000000009"/>
    <d v="2023-12-03T00:00:00"/>
    <x v="3"/>
    <m/>
    <n v="87"/>
    <n v="0"/>
    <n v="0"/>
    <s v="None"/>
    <x v="8"/>
    <n v="164"/>
    <n v="92"/>
    <s v="Spain"/>
    <n v="47.6"/>
    <n v="9.18"/>
    <n v="0.89"/>
    <n v="78.12"/>
  </r>
  <r>
    <x v="95"/>
    <x v="1"/>
    <x v="1"/>
    <s v="2023-04-06"/>
    <s v="Sunday"/>
    <s v="Home"/>
    <n v="92"/>
    <n v="1"/>
    <n v="6"/>
    <n v="93.08"/>
    <n v="19.399999999999999"/>
    <n v="12.76"/>
    <m/>
    <x v="0"/>
    <m/>
    <m/>
    <n v="0"/>
    <n v="3"/>
    <s v="ACL"/>
    <x v="21"/>
    <n v="164"/>
    <n v="63"/>
    <s v="Argentina"/>
    <n v="50.9"/>
    <n v="8.83"/>
    <n v="1.25"/>
    <n v="77.430000000000007"/>
  </r>
  <r>
    <x v="96"/>
    <x v="3"/>
    <x v="2"/>
    <s v="2023-04-07"/>
    <s v="Saturday"/>
    <s v="Away"/>
    <n v="91"/>
    <n v="4"/>
    <n v="1"/>
    <n v="58.69"/>
    <n v="7.9"/>
    <n v="14.41"/>
    <m/>
    <x v="1"/>
    <d v="2023-09-14T00:00:00"/>
    <m/>
    <n v="1"/>
    <n v="2"/>
    <s v="ACL"/>
    <x v="11"/>
    <n v="189"/>
    <n v="66"/>
    <s v="Germany"/>
    <n v="54.2"/>
    <n v="6.2"/>
    <n v="1.42"/>
    <n v="71.88"/>
  </r>
  <r>
    <x v="97"/>
    <x v="0"/>
    <x v="1"/>
    <s v="2023-04-08"/>
    <s v="Monday"/>
    <s v="Away"/>
    <n v="31"/>
    <n v="1"/>
    <n v="0"/>
    <n v="53.78"/>
    <n v="6.3"/>
    <n v="5.72"/>
    <m/>
    <x v="2"/>
    <m/>
    <m/>
    <n v="0"/>
    <n v="2"/>
    <s v="None"/>
    <x v="2"/>
    <n v="191"/>
    <n v="81"/>
    <s v="Germany"/>
    <n v="41.4"/>
    <n v="6.29"/>
    <n v="1.45"/>
    <n v="83.77"/>
  </r>
  <r>
    <x v="98"/>
    <x v="3"/>
    <x v="0"/>
    <s v="2023-04-09"/>
    <s v="Tuesday"/>
    <s v="Away"/>
    <n v="53"/>
    <n v="2"/>
    <n v="5"/>
    <n v="86.03"/>
    <n v="17.2"/>
    <n v="10.34"/>
    <d v="2023-04-22T00:00:00"/>
    <x v="3"/>
    <m/>
    <m/>
    <n v="0"/>
    <n v="1"/>
    <s v="None"/>
    <x v="5"/>
    <n v="167"/>
    <n v="92"/>
    <s v="Spain"/>
    <n v="44.2"/>
    <n v="7.61"/>
    <n v="1.08"/>
    <n v="91.98"/>
  </r>
  <r>
    <x v="99"/>
    <x v="3"/>
    <x v="0"/>
    <s v="2023-04-10"/>
    <s v="Wednesday"/>
    <s v="Home"/>
    <n v="52"/>
    <n v="2"/>
    <n v="2"/>
    <n v="67.599999999999994"/>
    <n v="10.8"/>
    <n v="13.83"/>
    <d v="2023-08-23T00:00:00"/>
    <x v="0"/>
    <d v="2023-08-09T00:00:00"/>
    <n v="83"/>
    <n v="1"/>
    <n v="0"/>
    <s v="Ankle"/>
    <x v="3"/>
    <n v="169"/>
    <n v="76"/>
    <s v="Spain"/>
    <n v="48.3"/>
    <n v="7.18"/>
    <n v="0.86"/>
    <n v="88.2"/>
  </r>
  <r>
    <x v="100"/>
    <x v="3"/>
    <x v="1"/>
    <s v="2023-04-11"/>
    <s v="Tuesday"/>
    <s v="Home"/>
    <n v="67"/>
    <n v="4"/>
    <n v="4"/>
    <n v="79"/>
    <n v="14.9"/>
    <n v="5.83"/>
    <m/>
    <x v="0"/>
    <m/>
    <n v="75"/>
    <n v="1"/>
    <n v="3"/>
    <s v="Hamstring"/>
    <x v="4"/>
    <n v="197"/>
    <n v="83"/>
    <s v="Argentina"/>
    <n v="69.099999999999994"/>
    <n v="6.93"/>
    <n v="1.29"/>
    <n v="90.19"/>
  </r>
  <r>
    <x v="101"/>
    <x v="3"/>
    <x v="1"/>
    <s v="2023-04-12"/>
    <s v="Tuesday"/>
    <s v="Home"/>
    <n v="42"/>
    <n v="4"/>
    <n v="5"/>
    <n v="85.91"/>
    <n v="17.2"/>
    <n v="13.25"/>
    <m/>
    <x v="3"/>
    <m/>
    <n v="55"/>
    <n v="1"/>
    <n v="0"/>
    <s v="Hamstring"/>
    <x v="18"/>
    <n v="191"/>
    <n v="93"/>
    <s v="Spain"/>
    <n v="49.9"/>
    <n v="7.12"/>
    <n v="0.75"/>
    <n v="72.430000000000007"/>
  </r>
  <r>
    <x v="102"/>
    <x v="2"/>
    <x v="2"/>
    <s v="2023-04-13"/>
    <s v="Sunday"/>
    <s v="Away"/>
    <n v="81"/>
    <n v="1"/>
    <n v="0"/>
    <n v="53.5"/>
    <n v="6.2"/>
    <n v="8.58"/>
    <m/>
    <x v="2"/>
    <m/>
    <m/>
    <n v="0"/>
    <n v="4"/>
    <s v="ACL"/>
    <x v="14"/>
    <n v="187"/>
    <n v="87"/>
    <s v="Spain"/>
    <n v="54.5"/>
    <n v="9.2100000000000009"/>
    <n v="1.06"/>
    <n v="98.54"/>
  </r>
  <r>
    <x v="103"/>
    <x v="2"/>
    <x v="1"/>
    <s v="2023-04-14"/>
    <s v="Thursday"/>
    <s v="Home"/>
    <n v="56"/>
    <n v="3"/>
    <n v="5"/>
    <n v="85.79"/>
    <n v="17.2"/>
    <n v="8.2200000000000006"/>
    <m/>
    <x v="3"/>
    <m/>
    <m/>
    <n v="0"/>
    <n v="0"/>
    <s v="ACL"/>
    <x v="0"/>
    <n v="176"/>
    <n v="98"/>
    <s v="Brazil"/>
    <n v="45.9"/>
    <n v="9.7200000000000006"/>
    <n v="0.86"/>
    <n v="95.15"/>
  </r>
  <r>
    <x v="104"/>
    <x v="3"/>
    <x v="0"/>
    <s v="2023-04-15"/>
    <s v="Sunday"/>
    <s v="Away"/>
    <n v="63"/>
    <n v="1"/>
    <n v="2"/>
    <n v="67.28"/>
    <n v="10.6"/>
    <n v="14.77"/>
    <m/>
    <x v="3"/>
    <d v="2023-02-17T00:00:00"/>
    <n v="18"/>
    <n v="0"/>
    <n v="0"/>
    <s v="Ankle"/>
    <x v="10"/>
    <n v="190"/>
    <n v="81"/>
    <s v="Argentina"/>
    <n v="58.3"/>
    <n v="7.62"/>
    <n v="1.1599999999999999"/>
    <n v="94.15"/>
  </r>
  <r>
    <x v="105"/>
    <x v="2"/>
    <x v="1"/>
    <s v="2023-04-16"/>
    <s v="Friday"/>
    <s v="Away"/>
    <n v="54"/>
    <n v="4"/>
    <n v="6"/>
    <n v="93.04"/>
    <n v="19.399999999999999"/>
    <n v="7.01"/>
    <d v="2023-10-14T00:00:00"/>
    <x v="3"/>
    <m/>
    <n v="12"/>
    <n v="0"/>
    <n v="2"/>
    <s v="Hamstring"/>
    <x v="12"/>
    <n v="167"/>
    <n v="76"/>
    <s v="USA"/>
    <n v="48.4"/>
    <n v="9.6199999999999992"/>
    <n v="0.74"/>
    <n v="94.69"/>
  </r>
  <r>
    <x v="106"/>
    <x v="3"/>
    <x v="3"/>
    <s v="2023-04-17"/>
    <s v="Wednesday"/>
    <s v="Away"/>
    <n v="84"/>
    <n v="0"/>
    <n v="0"/>
    <n v="53.42"/>
    <n v="6.2"/>
    <n v="11.93"/>
    <m/>
    <x v="3"/>
    <m/>
    <m/>
    <n v="0"/>
    <n v="3"/>
    <s v="ACL"/>
    <x v="21"/>
    <n v="199"/>
    <n v="93"/>
    <s v="USA"/>
    <n v="46.2"/>
    <n v="7.29"/>
    <n v="0.69"/>
    <n v="97.98"/>
  </r>
  <r>
    <x v="107"/>
    <x v="1"/>
    <x v="0"/>
    <s v="2023-04-18"/>
    <s v="Saturday"/>
    <s v="Home"/>
    <n v="66"/>
    <n v="0"/>
    <n v="5"/>
    <n v="85.55"/>
    <n v="17.100000000000001"/>
    <n v="13.21"/>
    <d v="2023-10-24T00:00:00"/>
    <x v="2"/>
    <m/>
    <m/>
    <n v="0"/>
    <n v="0"/>
    <s v="Ankle"/>
    <x v="12"/>
    <n v="184"/>
    <n v="65"/>
    <s v="Argentina"/>
    <n v="55.5"/>
    <n v="7.91"/>
    <n v="1.42"/>
    <n v="86.33"/>
  </r>
  <r>
    <x v="108"/>
    <x v="2"/>
    <x v="1"/>
    <s v="2023-04-19"/>
    <s v="Saturday"/>
    <s v="Home"/>
    <n v="22"/>
    <n v="4"/>
    <n v="4"/>
    <n v="78.75"/>
    <n v="14.9"/>
    <n v="5.41"/>
    <m/>
    <x v="0"/>
    <d v="2023-04-18T00:00:00"/>
    <m/>
    <n v="0"/>
    <n v="2"/>
    <s v="None"/>
    <x v="15"/>
    <n v="168"/>
    <n v="65"/>
    <s v="UK"/>
    <n v="40.200000000000003"/>
    <n v="6.9"/>
    <n v="0.6"/>
    <n v="76.010000000000005"/>
  </r>
  <r>
    <x v="109"/>
    <x v="0"/>
    <x v="2"/>
    <s v="2023-04-20"/>
    <s v="Sunday"/>
    <s v="Home"/>
    <n v="20"/>
    <n v="0"/>
    <n v="4"/>
    <n v="78.680000000000007"/>
    <n v="14.7"/>
    <n v="11.7"/>
    <d v="2023-04-13T00:00:00"/>
    <x v="3"/>
    <d v="2023-01-01T00:00:00"/>
    <m/>
    <n v="0"/>
    <n v="1"/>
    <s v="None"/>
    <x v="17"/>
    <n v="161"/>
    <n v="93"/>
    <s v="USA"/>
    <n v="40.200000000000003"/>
    <n v="8.56"/>
    <n v="1.01"/>
    <n v="88.5"/>
  </r>
  <r>
    <x v="110"/>
    <x v="3"/>
    <x v="0"/>
    <s v="2023-04-21"/>
    <s v="Sunday"/>
    <s v="Away"/>
    <n v="24"/>
    <n v="3"/>
    <n v="1"/>
    <n v="58.67"/>
    <n v="7.8"/>
    <n v="14.52"/>
    <d v="2023-12-15T00:00:00"/>
    <x v="1"/>
    <m/>
    <m/>
    <n v="0"/>
    <n v="2"/>
    <s v="Hamstring"/>
    <x v="7"/>
    <n v="174"/>
    <n v="60"/>
    <s v="Argentina"/>
    <n v="46.6"/>
    <n v="9.92"/>
    <n v="0.72"/>
    <n v="92.29"/>
  </r>
  <r>
    <x v="111"/>
    <x v="0"/>
    <x v="1"/>
    <s v="2023-04-22"/>
    <s v="Friday"/>
    <s v="Home"/>
    <n v="33"/>
    <n v="1"/>
    <n v="5"/>
    <n v="85.5"/>
    <n v="17.100000000000001"/>
    <n v="6.24"/>
    <m/>
    <x v="1"/>
    <m/>
    <m/>
    <n v="0"/>
    <n v="2"/>
    <s v="ACL"/>
    <x v="0"/>
    <n v="162"/>
    <n v="69"/>
    <s v="UK"/>
    <n v="41.1"/>
    <n v="8.41"/>
    <n v="0.54"/>
    <n v="92.14"/>
  </r>
  <r>
    <x v="112"/>
    <x v="1"/>
    <x v="1"/>
    <s v="2023-04-23"/>
    <s v="Thursday"/>
    <s v="Away"/>
    <n v="46"/>
    <n v="1"/>
    <n v="3"/>
    <n v="72.099999999999994"/>
    <n v="12.8"/>
    <n v="13.96"/>
    <m/>
    <x v="0"/>
    <m/>
    <m/>
    <n v="0"/>
    <n v="2"/>
    <s v="Ankle"/>
    <x v="17"/>
    <n v="195"/>
    <n v="80"/>
    <s v="Brazil"/>
    <n v="43.2"/>
    <n v="7.43"/>
    <n v="0.54"/>
    <n v="85.64"/>
  </r>
  <r>
    <x v="113"/>
    <x v="1"/>
    <x v="0"/>
    <s v="2023-04-24"/>
    <s v="Thursday"/>
    <s v="Home"/>
    <n v="28"/>
    <n v="0"/>
    <n v="5"/>
    <n v="85.09"/>
    <n v="17.100000000000001"/>
    <n v="10.95"/>
    <d v="2023-01-25T00:00:00"/>
    <x v="3"/>
    <m/>
    <m/>
    <n v="0"/>
    <n v="0"/>
    <s v="None"/>
    <x v="7"/>
    <n v="163"/>
    <n v="64"/>
    <s v="UK"/>
    <n v="50.2"/>
    <n v="8.59"/>
    <n v="0.68"/>
    <n v="72.05"/>
  </r>
  <r>
    <x v="114"/>
    <x v="2"/>
    <x v="1"/>
    <s v="2023-04-25"/>
    <s v="Friday"/>
    <s v="Away"/>
    <n v="34"/>
    <n v="1"/>
    <n v="6"/>
    <n v="92.99"/>
    <n v="19.3"/>
    <n v="11.17"/>
    <m/>
    <x v="2"/>
    <m/>
    <m/>
    <n v="0"/>
    <n v="0"/>
    <s v="Ankle"/>
    <x v="21"/>
    <n v="173"/>
    <n v="61"/>
    <s v="Germany"/>
    <n v="64.099999999999994"/>
    <n v="6.49"/>
    <n v="1.37"/>
    <n v="81.13"/>
  </r>
  <r>
    <x v="115"/>
    <x v="3"/>
    <x v="1"/>
    <s v="2023-04-26"/>
    <s v="Wednesday"/>
    <s v="Home"/>
    <n v="61"/>
    <n v="4"/>
    <n v="0"/>
    <n v="53.15"/>
    <n v="6.2"/>
    <n v="11.13"/>
    <d v="2023-09-25T00:00:00"/>
    <x v="3"/>
    <m/>
    <n v="35"/>
    <n v="0"/>
    <n v="1"/>
    <s v="Ankle"/>
    <x v="18"/>
    <n v="184"/>
    <n v="81"/>
    <s v="UK"/>
    <n v="57.2"/>
    <n v="9.5500000000000007"/>
    <n v="0.78"/>
    <n v="97.62"/>
  </r>
  <r>
    <x v="116"/>
    <x v="1"/>
    <x v="2"/>
    <s v="2023-04-27"/>
    <s v="Saturday"/>
    <s v="Home"/>
    <n v="70"/>
    <n v="2"/>
    <n v="0"/>
    <n v="53.07"/>
    <n v="6.1"/>
    <n v="7.99"/>
    <m/>
    <x v="3"/>
    <m/>
    <m/>
    <n v="0"/>
    <n v="4"/>
    <s v="None"/>
    <x v="0"/>
    <n v="169"/>
    <n v="61"/>
    <s v="Brazil"/>
    <n v="55.4"/>
    <n v="8.01"/>
    <n v="1.45"/>
    <n v="87.53"/>
  </r>
  <r>
    <x v="117"/>
    <x v="3"/>
    <x v="1"/>
    <s v="2023-04-28"/>
    <s v="Wednesday"/>
    <s v="Home"/>
    <n v="82"/>
    <n v="0"/>
    <n v="6"/>
    <n v="92.93"/>
    <n v="19.3"/>
    <n v="14.35"/>
    <m/>
    <x v="0"/>
    <m/>
    <n v="81"/>
    <n v="0"/>
    <n v="4"/>
    <s v="Ankle"/>
    <x v="18"/>
    <n v="180"/>
    <n v="69"/>
    <s v="Spain"/>
    <n v="48.8"/>
    <n v="7.8"/>
    <n v="1.08"/>
    <n v="86.15"/>
  </r>
  <r>
    <x v="118"/>
    <x v="2"/>
    <x v="0"/>
    <s v="2023-04-29"/>
    <s v="Saturday"/>
    <s v="Home"/>
    <n v="71"/>
    <n v="1"/>
    <n v="5"/>
    <n v="84.82"/>
    <n v="17"/>
    <n v="14.47"/>
    <m/>
    <x v="0"/>
    <d v="2023-01-05T00:00:00"/>
    <m/>
    <n v="1"/>
    <n v="4"/>
    <s v="Ankle"/>
    <x v="21"/>
    <n v="195"/>
    <n v="93"/>
    <s v="USA"/>
    <n v="68"/>
    <n v="8.34"/>
    <n v="0.94"/>
    <n v="78.069999999999993"/>
  </r>
  <r>
    <x v="119"/>
    <x v="2"/>
    <x v="1"/>
    <s v="2023-04-30"/>
    <s v="Wednesday"/>
    <s v="Away"/>
    <n v="23"/>
    <n v="0"/>
    <n v="6"/>
    <n v="92.72"/>
    <n v="19.3"/>
    <n v="11.25"/>
    <d v="2023-04-18T00:00:00"/>
    <x v="3"/>
    <d v="2023-03-01T00:00:00"/>
    <m/>
    <n v="0"/>
    <n v="1"/>
    <s v="None"/>
    <x v="4"/>
    <n v="171"/>
    <n v="75"/>
    <s v="Brazil"/>
    <n v="51.9"/>
    <n v="8.5"/>
    <n v="1.08"/>
    <n v="81.05"/>
  </r>
  <r>
    <x v="120"/>
    <x v="2"/>
    <x v="1"/>
    <s v="2023-05-01"/>
    <s v="Friday"/>
    <s v="Away"/>
    <n v="42"/>
    <n v="0"/>
    <n v="2"/>
    <n v="67.28"/>
    <n v="10.6"/>
    <n v="12.83"/>
    <m/>
    <x v="1"/>
    <m/>
    <m/>
    <n v="0"/>
    <n v="4"/>
    <s v="Ankle"/>
    <x v="17"/>
    <n v="186"/>
    <n v="98"/>
    <s v="UK"/>
    <n v="42.6"/>
    <n v="6.29"/>
    <n v="1.02"/>
    <n v="96.86"/>
  </r>
  <r>
    <x v="121"/>
    <x v="2"/>
    <x v="1"/>
    <s v="2023-05-02"/>
    <s v="Friday"/>
    <s v="Away"/>
    <n v="34"/>
    <n v="2"/>
    <n v="6"/>
    <n v="91.97"/>
    <n v="19.3"/>
    <n v="11.12"/>
    <m/>
    <x v="1"/>
    <m/>
    <m/>
    <n v="0"/>
    <n v="4"/>
    <s v="Ankle"/>
    <x v="18"/>
    <n v="199"/>
    <n v="81"/>
    <s v="Germany"/>
    <n v="58.5"/>
    <n v="8.73"/>
    <n v="1.26"/>
    <n v="89.99"/>
  </r>
  <r>
    <x v="122"/>
    <x v="1"/>
    <x v="1"/>
    <s v="2023-05-03"/>
    <s v="Wednesday"/>
    <s v="Home"/>
    <n v="62"/>
    <n v="4"/>
    <n v="4"/>
    <n v="78.489999999999995"/>
    <n v="14.7"/>
    <n v="9.84"/>
    <m/>
    <x v="1"/>
    <m/>
    <m/>
    <n v="1"/>
    <n v="2"/>
    <s v="ACL"/>
    <x v="6"/>
    <n v="161"/>
    <n v="71"/>
    <s v="Argentina"/>
    <n v="43.4"/>
    <n v="6.97"/>
    <n v="0.78"/>
    <n v="93.62"/>
  </r>
  <r>
    <x v="123"/>
    <x v="0"/>
    <x v="1"/>
    <s v="2023-05-04"/>
    <s v="Sunday"/>
    <s v="Home"/>
    <n v="48"/>
    <n v="0"/>
    <n v="6"/>
    <n v="91.92"/>
    <n v="19.3"/>
    <n v="11.61"/>
    <m/>
    <x v="1"/>
    <m/>
    <n v="57"/>
    <n v="0"/>
    <n v="0"/>
    <s v="ACL"/>
    <x v="12"/>
    <n v="172"/>
    <n v="83"/>
    <s v="Spain"/>
    <n v="50.4"/>
    <n v="8.86"/>
    <n v="0.85"/>
    <n v="83.63"/>
  </r>
  <r>
    <x v="124"/>
    <x v="2"/>
    <x v="1"/>
    <s v="2023-05-05"/>
    <s v="Tuesday"/>
    <s v="Away"/>
    <n v="55"/>
    <n v="1"/>
    <n v="0"/>
    <n v="53.02"/>
    <n v="6.1"/>
    <n v="10.53"/>
    <m/>
    <x v="2"/>
    <d v="2023-05-05T00:00:00"/>
    <m/>
    <n v="0"/>
    <n v="0"/>
    <s v="Ankle"/>
    <x v="7"/>
    <n v="191"/>
    <n v="99"/>
    <s v="Spain"/>
    <n v="55.2"/>
    <n v="9.2899999999999991"/>
    <n v="1.39"/>
    <n v="88.91"/>
  </r>
  <r>
    <x v="125"/>
    <x v="2"/>
    <x v="1"/>
    <s v="2023-05-06"/>
    <s v="Tuesday"/>
    <s v="Home"/>
    <n v="32"/>
    <n v="3"/>
    <n v="4"/>
    <n v="78.34"/>
    <n v="14.6"/>
    <n v="10.97"/>
    <m/>
    <x v="0"/>
    <m/>
    <n v="75"/>
    <n v="1"/>
    <n v="2"/>
    <s v="Ankle"/>
    <x v="0"/>
    <n v="190"/>
    <n v="97"/>
    <s v="UK"/>
    <n v="66.2"/>
    <n v="9.2200000000000006"/>
    <n v="1.45"/>
    <n v="77.45"/>
  </r>
  <r>
    <x v="126"/>
    <x v="3"/>
    <x v="1"/>
    <s v="2023-05-07"/>
    <s v="Thursday"/>
    <s v="Home"/>
    <n v="51"/>
    <n v="0"/>
    <n v="0"/>
    <n v="52.92"/>
    <n v="6.1"/>
    <n v="12.84"/>
    <m/>
    <x v="1"/>
    <m/>
    <n v="79"/>
    <n v="0"/>
    <n v="2"/>
    <s v="None"/>
    <x v="5"/>
    <n v="175"/>
    <n v="69"/>
    <s v="Germany"/>
    <n v="54.8"/>
    <n v="8.2100000000000009"/>
    <n v="1.39"/>
    <n v="91.16"/>
  </r>
  <r>
    <x v="127"/>
    <x v="0"/>
    <x v="0"/>
    <s v="2023-05-08"/>
    <s v="Tuesday"/>
    <s v="Home"/>
    <n v="90"/>
    <n v="0"/>
    <n v="1"/>
    <n v="58.51"/>
    <n v="7.7"/>
    <n v="9.81"/>
    <m/>
    <x v="2"/>
    <m/>
    <m/>
    <n v="0"/>
    <n v="2"/>
    <s v="None"/>
    <x v="14"/>
    <n v="191"/>
    <n v="94"/>
    <s v="UK"/>
    <n v="61.1"/>
    <n v="8.08"/>
    <n v="0.92"/>
    <n v="82.83"/>
  </r>
  <r>
    <x v="128"/>
    <x v="3"/>
    <x v="1"/>
    <s v="2023-05-09"/>
    <s v="Thursday"/>
    <s v="Away"/>
    <n v="78"/>
    <n v="2"/>
    <n v="3"/>
    <n v="71.819999999999993"/>
    <n v="12.8"/>
    <n v="5.41"/>
    <m/>
    <x v="3"/>
    <d v="2023-07-26T00:00:00"/>
    <n v="37"/>
    <n v="0"/>
    <n v="0"/>
    <s v="Ankle"/>
    <x v="3"/>
    <n v="191"/>
    <n v="91"/>
    <s v="Argentina"/>
    <n v="69.8"/>
    <n v="6.57"/>
    <n v="1.28"/>
    <n v="83.28"/>
  </r>
  <r>
    <x v="129"/>
    <x v="2"/>
    <x v="2"/>
    <s v="2023-05-10"/>
    <s v="Friday"/>
    <s v="Home"/>
    <n v="47"/>
    <n v="4"/>
    <n v="0"/>
    <n v="52.77"/>
    <n v="6.1"/>
    <n v="6.64"/>
    <d v="2023-07-14T00:00:00"/>
    <x v="0"/>
    <m/>
    <n v="35"/>
    <n v="0"/>
    <n v="4"/>
    <s v="None"/>
    <x v="9"/>
    <n v="193"/>
    <n v="66"/>
    <s v="USA"/>
    <n v="43.9"/>
    <n v="9.1"/>
    <n v="0.98"/>
    <n v="89.48"/>
  </r>
  <r>
    <x v="130"/>
    <x v="0"/>
    <x v="1"/>
    <s v="2023-05-11"/>
    <s v="Tuesday"/>
    <s v="Away"/>
    <n v="85"/>
    <n v="3"/>
    <n v="4"/>
    <n v="78.05"/>
    <n v="14.6"/>
    <n v="9.39"/>
    <m/>
    <x v="0"/>
    <m/>
    <m/>
    <n v="0"/>
    <n v="2"/>
    <s v="Hamstring"/>
    <x v="13"/>
    <n v="170"/>
    <n v="80"/>
    <s v="Brazil"/>
    <n v="48.2"/>
    <n v="7.09"/>
    <n v="1"/>
    <n v="98.09"/>
  </r>
  <r>
    <x v="131"/>
    <x v="3"/>
    <x v="0"/>
    <s v="2023-05-12"/>
    <s v="Monday"/>
    <s v="Home"/>
    <n v="61"/>
    <n v="1"/>
    <n v="1"/>
    <n v="58.35"/>
    <n v="7.6"/>
    <n v="12.25"/>
    <d v="2023-02-18T00:00:00"/>
    <x v="2"/>
    <m/>
    <n v="34"/>
    <n v="0"/>
    <n v="1"/>
    <s v="Ankle"/>
    <x v="1"/>
    <n v="169"/>
    <n v="79"/>
    <s v="UK"/>
    <n v="51.8"/>
    <n v="7.99"/>
    <n v="0.7"/>
    <n v="71.92"/>
  </r>
  <r>
    <x v="132"/>
    <x v="0"/>
    <x v="2"/>
    <s v="2023-05-13"/>
    <s v="Tuesday"/>
    <s v="Away"/>
    <n v="64"/>
    <n v="3"/>
    <n v="0"/>
    <n v="52.47"/>
    <n v="6"/>
    <n v="10.93"/>
    <m/>
    <x v="2"/>
    <d v="2023-05-28T00:00:00"/>
    <n v="21"/>
    <n v="1"/>
    <n v="2"/>
    <s v="None"/>
    <x v="13"/>
    <n v="174"/>
    <n v="85"/>
    <s v="Brazil"/>
    <n v="52.7"/>
    <n v="7.14"/>
    <n v="1.0900000000000001"/>
    <n v="94.74"/>
  </r>
  <r>
    <x v="133"/>
    <x v="2"/>
    <x v="2"/>
    <s v="2023-05-14"/>
    <s v="Saturday"/>
    <s v="Away"/>
    <n v="81"/>
    <n v="1"/>
    <n v="2"/>
    <n v="66.95"/>
    <n v="10.6"/>
    <n v="11.5"/>
    <m/>
    <x v="1"/>
    <m/>
    <m/>
    <n v="1"/>
    <n v="3"/>
    <s v="None"/>
    <x v="0"/>
    <n v="176"/>
    <n v="63"/>
    <s v="Spain"/>
    <n v="52.3"/>
    <n v="6.54"/>
    <n v="0.69"/>
    <n v="78.77"/>
  </r>
  <r>
    <x v="134"/>
    <x v="1"/>
    <x v="1"/>
    <s v="2023-05-15"/>
    <s v="Saturday"/>
    <s v="Away"/>
    <n v="76"/>
    <n v="4"/>
    <n v="6"/>
    <n v="91.85"/>
    <n v="19.2"/>
    <n v="9.7899999999999991"/>
    <m/>
    <x v="1"/>
    <m/>
    <m/>
    <n v="0"/>
    <n v="2"/>
    <s v="ACL"/>
    <x v="4"/>
    <n v="199"/>
    <n v="81"/>
    <s v="USA"/>
    <n v="67.2"/>
    <n v="8.52"/>
    <n v="0.83"/>
    <n v="83.32"/>
  </r>
  <r>
    <x v="135"/>
    <x v="0"/>
    <x v="2"/>
    <s v="2023-05-16"/>
    <s v="Wednesday"/>
    <s v="Home"/>
    <n v="25"/>
    <n v="1"/>
    <n v="3"/>
    <n v="71.77"/>
    <n v="12.8"/>
    <n v="11.16"/>
    <m/>
    <x v="2"/>
    <m/>
    <n v="14"/>
    <n v="0"/>
    <n v="0"/>
    <s v="Ankle"/>
    <x v="13"/>
    <n v="177"/>
    <n v="74"/>
    <s v="Argentina"/>
    <n v="61.4"/>
    <n v="6.22"/>
    <n v="1.36"/>
    <n v="70.66"/>
  </r>
  <r>
    <x v="136"/>
    <x v="0"/>
    <x v="0"/>
    <s v="2023-05-17"/>
    <s v="Wednesday"/>
    <s v="Home"/>
    <n v="47"/>
    <n v="2"/>
    <n v="0"/>
    <n v="52.37"/>
    <n v="5.9"/>
    <n v="8.2899999999999991"/>
    <m/>
    <x v="2"/>
    <d v="2023-09-17T00:00:00"/>
    <m/>
    <n v="0"/>
    <n v="2"/>
    <s v="Hamstring"/>
    <x v="0"/>
    <n v="168"/>
    <n v="99"/>
    <s v="Spain"/>
    <n v="58.2"/>
    <n v="8.99"/>
    <n v="0.71"/>
    <n v="79.03"/>
  </r>
  <r>
    <x v="137"/>
    <x v="1"/>
    <x v="0"/>
    <s v="2023-05-18"/>
    <s v="Monday"/>
    <s v="Away"/>
    <n v="47"/>
    <n v="2"/>
    <n v="1"/>
    <n v="58.3"/>
    <n v="7.6"/>
    <n v="9.6999999999999993"/>
    <m/>
    <x v="0"/>
    <m/>
    <m/>
    <n v="1"/>
    <n v="3"/>
    <s v="Hamstring"/>
    <x v="12"/>
    <n v="184"/>
    <n v="80"/>
    <s v="Germany"/>
    <n v="49.3"/>
    <n v="7.27"/>
    <n v="0.56999999999999995"/>
    <n v="85.08"/>
  </r>
  <r>
    <x v="138"/>
    <x v="1"/>
    <x v="1"/>
    <s v="2023-05-19"/>
    <s v="Wednesday"/>
    <s v="Away"/>
    <n v="63"/>
    <n v="2"/>
    <n v="2"/>
    <n v="66.41"/>
    <n v="10.6"/>
    <n v="12.44"/>
    <m/>
    <x v="2"/>
    <m/>
    <m/>
    <n v="1"/>
    <n v="1"/>
    <s v="Hamstring"/>
    <x v="6"/>
    <n v="199"/>
    <n v="74"/>
    <s v="UK"/>
    <n v="64.7"/>
    <n v="6"/>
    <n v="0.56999999999999995"/>
    <n v="71.69"/>
  </r>
  <r>
    <x v="139"/>
    <x v="3"/>
    <x v="0"/>
    <s v="2023-05-20"/>
    <s v="Thursday"/>
    <s v="Away"/>
    <n v="49"/>
    <n v="2"/>
    <n v="5"/>
    <n v="84.69"/>
    <n v="16.899999999999999"/>
    <n v="13.72"/>
    <m/>
    <x v="2"/>
    <m/>
    <n v="57"/>
    <n v="0"/>
    <n v="4"/>
    <s v="None"/>
    <x v="17"/>
    <n v="173"/>
    <n v="81"/>
    <s v="Spain"/>
    <n v="68.7"/>
    <n v="8.0399999999999991"/>
    <n v="1.44"/>
    <n v="84.73"/>
  </r>
  <r>
    <x v="140"/>
    <x v="2"/>
    <x v="3"/>
    <s v="2023-05-21"/>
    <s v="Thursday"/>
    <s v="Home"/>
    <n v="81"/>
    <n v="1"/>
    <n v="1"/>
    <n v="58.19"/>
    <n v="7.5"/>
    <n v="9.34"/>
    <d v="2023-08-07T00:00:00"/>
    <x v="1"/>
    <m/>
    <n v="46"/>
    <n v="1"/>
    <n v="2"/>
    <s v="ACL"/>
    <x v="13"/>
    <n v="184"/>
    <n v="87"/>
    <s v="Brazil"/>
    <n v="64.599999999999994"/>
    <n v="6.19"/>
    <n v="1.01"/>
    <n v="97.81"/>
  </r>
  <r>
    <x v="141"/>
    <x v="3"/>
    <x v="1"/>
    <s v="2023-05-22"/>
    <s v="Tuesday"/>
    <s v="Away"/>
    <n v="94"/>
    <n v="4"/>
    <n v="6"/>
    <n v="91.2"/>
    <n v="19.2"/>
    <n v="5.44"/>
    <d v="2023-06-18T00:00:00"/>
    <x v="0"/>
    <d v="2023-11-07T00:00:00"/>
    <m/>
    <n v="0"/>
    <n v="3"/>
    <s v="Ankle"/>
    <x v="3"/>
    <n v="181"/>
    <n v="73"/>
    <s v="USA"/>
    <n v="40"/>
    <n v="7.1"/>
    <n v="0.91"/>
    <n v="73.16"/>
  </r>
  <r>
    <x v="142"/>
    <x v="2"/>
    <x v="2"/>
    <s v="2023-05-23"/>
    <s v="Sunday"/>
    <s v="Away"/>
    <n v="81"/>
    <n v="1"/>
    <n v="1"/>
    <n v="58.08"/>
    <n v="7.4"/>
    <n v="6.62"/>
    <d v="2023-05-01T00:00:00"/>
    <x v="2"/>
    <d v="2023-02-16T00:00:00"/>
    <m/>
    <n v="0"/>
    <n v="3"/>
    <s v="None"/>
    <x v="16"/>
    <n v="189"/>
    <n v="86"/>
    <s v="Spain"/>
    <n v="59.1"/>
    <n v="8.83"/>
    <n v="1.31"/>
    <n v="92.93"/>
  </r>
  <r>
    <x v="143"/>
    <x v="3"/>
    <x v="1"/>
    <s v="2023-05-24"/>
    <s v="Sunday"/>
    <s v="Home"/>
    <n v="20"/>
    <n v="1"/>
    <n v="2"/>
    <n v="66.34"/>
    <n v="10.6"/>
    <n v="5.21"/>
    <m/>
    <x v="1"/>
    <m/>
    <m/>
    <n v="0"/>
    <n v="1"/>
    <s v="Ankle"/>
    <x v="12"/>
    <n v="179"/>
    <n v="99"/>
    <s v="Germany"/>
    <n v="41.5"/>
    <n v="6.25"/>
    <n v="1.34"/>
    <n v="82.29"/>
  </r>
  <r>
    <x v="144"/>
    <x v="1"/>
    <x v="2"/>
    <s v="2023-05-25"/>
    <s v="Friday"/>
    <s v="Home"/>
    <n v="46"/>
    <n v="2"/>
    <n v="1"/>
    <n v="57.82"/>
    <n v="7.4"/>
    <n v="11.53"/>
    <m/>
    <x v="1"/>
    <d v="2023-08-26T00:00:00"/>
    <n v="88"/>
    <n v="0"/>
    <n v="0"/>
    <s v="None"/>
    <x v="7"/>
    <n v="180"/>
    <n v="87"/>
    <s v="Germany"/>
    <n v="47.7"/>
    <n v="9.36"/>
    <n v="0.83"/>
    <n v="89.66"/>
  </r>
  <r>
    <x v="145"/>
    <x v="2"/>
    <x v="0"/>
    <s v="2023-05-26"/>
    <s v="Thursday"/>
    <s v="Home"/>
    <n v="81"/>
    <n v="2"/>
    <n v="2"/>
    <n v="66.319999999999993"/>
    <n v="10.6"/>
    <n v="8.32"/>
    <m/>
    <x v="1"/>
    <m/>
    <m/>
    <n v="0"/>
    <n v="2"/>
    <s v="Hamstring"/>
    <x v="14"/>
    <n v="191"/>
    <n v="85"/>
    <s v="Spain"/>
    <n v="41.8"/>
    <n v="6.02"/>
    <n v="1.19"/>
    <n v="77.81"/>
  </r>
  <r>
    <x v="146"/>
    <x v="0"/>
    <x v="1"/>
    <s v="2023-05-27"/>
    <s v="Saturday"/>
    <s v="Home"/>
    <n v="22"/>
    <n v="0"/>
    <n v="0"/>
    <n v="52.32"/>
    <n v="5.8"/>
    <n v="10.42"/>
    <d v="2023-10-06T00:00:00"/>
    <x v="2"/>
    <m/>
    <m/>
    <n v="0"/>
    <n v="3"/>
    <s v="ACL"/>
    <x v="6"/>
    <n v="180"/>
    <n v="61"/>
    <s v="Germany"/>
    <n v="58.1"/>
    <n v="6.99"/>
    <n v="1.27"/>
    <n v="74.78"/>
  </r>
  <r>
    <x v="147"/>
    <x v="3"/>
    <x v="1"/>
    <s v="2023-05-28"/>
    <s v="Thursday"/>
    <s v="Home"/>
    <n v="89"/>
    <n v="4"/>
    <n v="2"/>
    <n v="65.92"/>
    <n v="10.6"/>
    <n v="9.93"/>
    <m/>
    <x v="1"/>
    <m/>
    <m/>
    <n v="0"/>
    <n v="1"/>
    <s v="None"/>
    <x v="12"/>
    <n v="194"/>
    <n v="84"/>
    <s v="Argentina"/>
    <n v="60.6"/>
    <n v="8.9600000000000009"/>
    <n v="1.1499999999999999"/>
    <n v="74.81"/>
  </r>
  <r>
    <x v="148"/>
    <x v="2"/>
    <x v="1"/>
    <s v="2023-05-29"/>
    <s v="Monday"/>
    <s v="Away"/>
    <n v="91"/>
    <n v="3"/>
    <n v="2"/>
    <n v="65.819999999999993"/>
    <n v="10.6"/>
    <n v="5.82"/>
    <d v="2023-06-01T00:00:00"/>
    <x v="2"/>
    <m/>
    <m/>
    <n v="1"/>
    <n v="4"/>
    <s v="Ankle"/>
    <x v="0"/>
    <n v="191"/>
    <n v="62"/>
    <s v="Spain"/>
    <n v="43.4"/>
    <n v="7.27"/>
    <n v="0.65"/>
    <n v="72.11"/>
  </r>
  <r>
    <x v="149"/>
    <x v="2"/>
    <x v="1"/>
    <s v="2023-05-30"/>
    <s v="Friday"/>
    <s v="Away"/>
    <n v="46"/>
    <n v="1"/>
    <n v="3"/>
    <n v="71.650000000000006"/>
    <n v="12.7"/>
    <n v="9.0299999999999994"/>
    <m/>
    <x v="2"/>
    <m/>
    <m/>
    <n v="0"/>
    <n v="3"/>
    <s v="ACL"/>
    <x v="8"/>
    <n v="189"/>
    <n v="67"/>
    <s v="USA"/>
    <n v="51.5"/>
    <n v="6.41"/>
    <n v="1.38"/>
    <n v="75.569999999999993"/>
  </r>
  <r>
    <x v="150"/>
    <x v="2"/>
    <x v="0"/>
    <s v="2023-05-31"/>
    <s v="Sunday"/>
    <s v="Away"/>
    <n v="28"/>
    <n v="0"/>
    <n v="2"/>
    <n v="65.53"/>
    <n v="10.6"/>
    <n v="7.21"/>
    <m/>
    <x v="0"/>
    <d v="2023-04-18T00:00:00"/>
    <n v="53"/>
    <n v="0"/>
    <n v="1"/>
    <s v="None"/>
    <x v="10"/>
    <n v="198"/>
    <n v="92"/>
    <s v="Germany"/>
    <n v="53.7"/>
    <n v="7.44"/>
    <n v="1.04"/>
    <n v="89.93"/>
  </r>
  <r>
    <x v="151"/>
    <x v="1"/>
    <x v="1"/>
    <s v="2023-06-01"/>
    <s v="Saturday"/>
    <s v="Away"/>
    <n v="81"/>
    <n v="0"/>
    <n v="2"/>
    <n v="65.5"/>
    <n v="10.4"/>
    <n v="9.18"/>
    <d v="2023-09-23T00:00:00"/>
    <x v="2"/>
    <m/>
    <m/>
    <n v="0"/>
    <n v="0"/>
    <s v="Hamstring"/>
    <x v="6"/>
    <n v="171"/>
    <n v="94"/>
    <s v="Brazil"/>
    <n v="51.1"/>
    <n v="7.08"/>
    <n v="0.78"/>
    <n v="96.45"/>
  </r>
  <r>
    <x v="152"/>
    <x v="0"/>
    <x v="1"/>
    <s v="2023-06-02"/>
    <s v="Friday"/>
    <s v="Home"/>
    <n v="56"/>
    <n v="1"/>
    <n v="5"/>
    <n v="84.69"/>
    <n v="16.899999999999999"/>
    <n v="7.04"/>
    <m/>
    <x v="3"/>
    <d v="2023-10-07T00:00:00"/>
    <m/>
    <n v="0"/>
    <n v="0"/>
    <s v="Ankle"/>
    <x v="21"/>
    <n v="177"/>
    <n v="65"/>
    <s v="UK"/>
    <n v="43.6"/>
    <n v="9.3699999999999992"/>
    <n v="0.93"/>
    <n v="94.42"/>
  </r>
  <r>
    <x v="153"/>
    <x v="1"/>
    <x v="3"/>
    <s v="2023-06-03"/>
    <s v="Friday"/>
    <s v="Away"/>
    <n v="70"/>
    <n v="0"/>
    <n v="0"/>
    <n v="52.2"/>
    <n v="5.8"/>
    <n v="13.4"/>
    <m/>
    <x v="3"/>
    <m/>
    <n v="24"/>
    <n v="0"/>
    <n v="3"/>
    <s v="Ankle"/>
    <x v="7"/>
    <n v="180"/>
    <n v="98"/>
    <s v="Germany"/>
    <n v="52.6"/>
    <n v="7.25"/>
    <n v="0.54"/>
    <n v="90.55"/>
  </r>
  <r>
    <x v="154"/>
    <x v="2"/>
    <x v="1"/>
    <s v="2023-06-04"/>
    <s v="Thursday"/>
    <s v="Away"/>
    <n v="63"/>
    <n v="0"/>
    <n v="6"/>
    <n v="90.97"/>
    <n v="19.100000000000001"/>
    <n v="6.74"/>
    <m/>
    <x v="0"/>
    <d v="2023-05-13T00:00:00"/>
    <m/>
    <n v="0"/>
    <n v="3"/>
    <s v="None"/>
    <x v="15"/>
    <n v="172"/>
    <n v="82"/>
    <s v="Brazil"/>
    <n v="62.5"/>
    <n v="9.16"/>
    <n v="0.63"/>
    <n v="73.31"/>
  </r>
  <r>
    <x v="155"/>
    <x v="2"/>
    <x v="2"/>
    <s v="2023-06-05"/>
    <s v="Sunday"/>
    <s v="Away"/>
    <n v="43"/>
    <n v="0"/>
    <n v="3"/>
    <n v="71.59"/>
    <n v="12.7"/>
    <n v="14.61"/>
    <m/>
    <x v="2"/>
    <m/>
    <n v="52"/>
    <n v="0"/>
    <n v="2"/>
    <s v="Hamstring"/>
    <x v="12"/>
    <n v="180"/>
    <n v="84"/>
    <s v="UK"/>
    <n v="42.1"/>
    <n v="9.57"/>
    <n v="1.27"/>
    <n v="78.680000000000007"/>
  </r>
  <r>
    <x v="156"/>
    <x v="1"/>
    <x v="1"/>
    <s v="2023-06-06"/>
    <s v="Friday"/>
    <s v="Home"/>
    <n v="78"/>
    <n v="4"/>
    <n v="5"/>
    <n v="84.69"/>
    <n v="16.899999999999999"/>
    <n v="9.16"/>
    <d v="2023-12-17T00:00:00"/>
    <x v="1"/>
    <m/>
    <n v="57"/>
    <n v="0"/>
    <n v="1"/>
    <s v="ACL"/>
    <x v="2"/>
    <n v="167"/>
    <n v="78"/>
    <s v="Brazil"/>
    <n v="42.4"/>
    <n v="7.74"/>
    <n v="0.5"/>
    <n v="79.290000000000006"/>
  </r>
  <r>
    <x v="157"/>
    <x v="0"/>
    <x v="0"/>
    <s v="2023-06-07"/>
    <s v="Tuesday"/>
    <s v="Away"/>
    <n v="51"/>
    <n v="3"/>
    <n v="4"/>
    <n v="78.03"/>
    <n v="14.6"/>
    <n v="13.46"/>
    <d v="2023-06-17T00:00:00"/>
    <x v="0"/>
    <m/>
    <m/>
    <n v="0"/>
    <n v="3"/>
    <s v="Ankle"/>
    <x v="8"/>
    <n v="199"/>
    <n v="64"/>
    <s v="Brazil"/>
    <n v="50.6"/>
    <n v="9.64"/>
    <n v="0.92"/>
    <n v="77.5"/>
  </r>
  <r>
    <x v="158"/>
    <x v="0"/>
    <x v="0"/>
    <s v="2023-06-08"/>
    <s v="Monday"/>
    <s v="Away"/>
    <n v="71"/>
    <n v="0"/>
    <n v="0"/>
    <n v="52.11"/>
    <n v="5.7"/>
    <n v="11.29"/>
    <d v="2023-08-26T00:00:00"/>
    <x v="0"/>
    <m/>
    <m/>
    <n v="0"/>
    <n v="2"/>
    <s v="ACL"/>
    <x v="10"/>
    <n v="166"/>
    <n v="70"/>
    <s v="Spain"/>
    <n v="68.3"/>
    <n v="7.51"/>
    <n v="1.02"/>
    <n v="85.45"/>
  </r>
  <r>
    <x v="159"/>
    <x v="2"/>
    <x v="1"/>
    <s v="2023-06-09"/>
    <s v="Wednesday"/>
    <s v="Home"/>
    <n v="81"/>
    <n v="3"/>
    <n v="0"/>
    <n v="52.03"/>
    <n v="5.7"/>
    <n v="12.35"/>
    <d v="2023-10-21T00:00:00"/>
    <x v="2"/>
    <m/>
    <m/>
    <n v="0"/>
    <n v="2"/>
    <s v="None"/>
    <x v="13"/>
    <n v="182"/>
    <n v="71"/>
    <s v="Spain"/>
    <n v="60.1"/>
    <n v="9.86"/>
    <n v="0.55000000000000004"/>
    <n v="86.07"/>
  </r>
  <r>
    <x v="160"/>
    <x v="1"/>
    <x v="1"/>
    <s v="2023-06-10"/>
    <s v="Saturday"/>
    <s v="Away"/>
    <n v="77"/>
    <n v="1"/>
    <n v="4"/>
    <n v="77.47"/>
    <n v="14.5"/>
    <n v="12.68"/>
    <d v="2023-11-20T00:00:00"/>
    <x v="3"/>
    <d v="2023-08-09T00:00:00"/>
    <m/>
    <n v="0"/>
    <n v="3"/>
    <s v="Ankle"/>
    <x v="0"/>
    <n v="191"/>
    <n v="69"/>
    <s v="USA"/>
    <n v="60.4"/>
    <n v="6.36"/>
    <n v="1.47"/>
    <n v="80.709999999999994"/>
  </r>
  <r>
    <x v="161"/>
    <x v="2"/>
    <x v="1"/>
    <s v="2023-06-11"/>
    <s v="Tuesday"/>
    <s v="Home"/>
    <n v="71"/>
    <n v="2"/>
    <n v="6"/>
    <n v="90.89"/>
    <n v="19.100000000000001"/>
    <n v="10.050000000000001"/>
    <d v="2023-01-25T00:00:00"/>
    <x v="2"/>
    <d v="2023-03-14T00:00:00"/>
    <n v="79"/>
    <n v="0"/>
    <n v="0"/>
    <s v="Hamstring"/>
    <x v="21"/>
    <n v="170"/>
    <n v="67"/>
    <s v="Brazil"/>
    <n v="50.9"/>
    <n v="8.75"/>
    <n v="0.73"/>
    <n v="80.61"/>
  </r>
  <r>
    <x v="162"/>
    <x v="2"/>
    <x v="0"/>
    <s v="2023-06-12"/>
    <s v="Sunday"/>
    <s v="Home"/>
    <n v="31"/>
    <n v="0"/>
    <n v="2"/>
    <n v="65.14"/>
    <n v="10.4"/>
    <n v="10.43"/>
    <d v="2023-07-26T00:00:00"/>
    <x v="2"/>
    <m/>
    <m/>
    <n v="1"/>
    <n v="1"/>
    <s v="Ankle"/>
    <x v="6"/>
    <n v="181"/>
    <n v="83"/>
    <s v="Argentina"/>
    <n v="57.8"/>
    <n v="7.98"/>
    <n v="0.8"/>
    <n v="94.86"/>
  </r>
  <r>
    <x v="163"/>
    <x v="1"/>
    <x v="0"/>
    <s v="2023-06-13"/>
    <s v="Monday"/>
    <s v="Home"/>
    <n v="58"/>
    <n v="4"/>
    <n v="5"/>
    <n v="84.16"/>
    <n v="16.8"/>
    <n v="10.14"/>
    <d v="2023-12-24T00:00:00"/>
    <x v="0"/>
    <d v="2023-10-10T00:00:00"/>
    <m/>
    <n v="0"/>
    <n v="1"/>
    <s v="Hamstring"/>
    <x v="18"/>
    <n v="181"/>
    <n v="87"/>
    <s v="Spain"/>
    <n v="40.299999999999997"/>
    <n v="7.55"/>
    <n v="0.8"/>
    <n v="93.68"/>
  </r>
  <r>
    <x v="164"/>
    <x v="2"/>
    <x v="0"/>
    <s v="2023-06-14"/>
    <s v="Thursday"/>
    <s v="Away"/>
    <n v="21"/>
    <n v="1"/>
    <n v="1"/>
    <n v="57.29"/>
    <n v="7.3"/>
    <n v="10.88"/>
    <d v="2023-11-15T00:00:00"/>
    <x v="0"/>
    <m/>
    <m/>
    <n v="0"/>
    <n v="0"/>
    <s v="Ankle"/>
    <x v="20"/>
    <n v="184"/>
    <n v="95"/>
    <s v="Brazil"/>
    <n v="59.1"/>
    <n v="8.5299999999999994"/>
    <n v="0.73"/>
    <n v="79.23"/>
  </r>
  <r>
    <x v="165"/>
    <x v="3"/>
    <x v="1"/>
    <s v="2023-06-15"/>
    <s v="Sunday"/>
    <s v="Away"/>
    <n v="22"/>
    <n v="3"/>
    <n v="3"/>
    <n v="71.45"/>
    <n v="12.6"/>
    <n v="5.29"/>
    <m/>
    <x v="2"/>
    <m/>
    <m/>
    <n v="0"/>
    <n v="3"/>
    <s v="ACL"/>
    <x v="5"/>
    <n v="181"/>
    <n v="96"/>
    <s v="UK"/>
    <n v="67.400000000000006"/>
    <n v="8.82"/>
    <n v="0.5"/>
    <n v="97.41"/>
  </r>
  <r>
    <x v="166"/>
    <x v="3"/>
    <x v="0"/>
    <s v="2023-06-16"/>
    <s v="Wednesday"/>
    <s v="Home"/>
    <n v="75"/>
    <n v="1"/>
    <n v="1"/>
    <n v="57.22"/>
    <n v="7.3"/>
    <n v="8.9600000000000009"/>
    <m/>
    <x v="0"/>
    <m/>
    <m/>
    <n v="0"/>
    <n v="1"/>
    <s v="Ankle"/>
    <x v="8"/>
    <n v="187"/>
    <n v="80"/>
    <s v="UK"/>
    <n v="58.4"/>
    <n v="6.02"/>
    <n v="1.23"/>
    <n v="98.58"/>
  </r>
  <r>
    <x v="167"/>
    <x v="2"/>
    <x v="1"/>
    <s v="2023-06-17"/>
    <s v="Sunday"/>
    <s v="Home"/>
    <n v="78"/>
    <n v="0"/>
    <n v="4"/>
    <n v="77.040000000000006"/>
    <n v="14.5"/>
    <n v="11.06"/>
    <m/>
    <x v="2"/>
    <m/>
    <m/>
    <n v="0"/>
    <n v="3"/>
    <s v="Ankle"/>
    <x v="15"/>
    <n v="188"/>
    <n v="67"/>
    <s v="Argentina"/>
    <n v="66.2"/>
    <n v="6.67"/>
    <n v="1.47"/>
    <n v="79.8"/>
  </r>
  <r>
    <x v="168"/>
    <x v="1"/>
    <x v="3"/>
    <s v="2023-06-18"/>
    <s v="Friday"/>
    <s v="Away"/>
    <n v="21"/>
    <n v="0"/>
    <n v="0"/>
    <n v="52"/>
    <n v="5.7"/>
    <n v="10.98"/>
    <d v="2023-06-19T00:00:00"/>
    <x v="1"/>
    <m/>
    <m/>
    <n v="1"/>
    <n v="3"/>
    <s v="ACL"/>
    <x v="3"/>
    <n v="172"/>
    <n v="68"/>
    <s v="USA"/>
    <n v="61.7"/>
    <n v="8.85"/>
    <n v="0.72"/>
    <n v="80.63"/>
  </r>
  <r>
    <x v="169"/>
    <x v="0"/>
    <x v="1"/>
    <s v="2023-06-19"/>
    <s v="Friday"/>
    <s v="Home"/>
    <n v="21"/>
    <n v="2"/>
    <n v="6"/>
    <n v="90.79"/>
    <n v="19"/>
    <n v="12.93"/>
    <m/>
    <x v="3"/>
    <m/>
    <n v="55"/>
    <n v="1"/>
    <n v="2"/>
    <s v="Hamstring"/>
    <x v="18"/>
    <n v="177"/>
    <n v="74"/>
    <s v="Argentina"/>
    <n v="43.6"/>
    <n v="8.67"/>
    <n v="1.1599999999999999"/>
    <n v="85.17"/>
  </r>
  <r>
    <x v="170"/>
    <x v="0"/>
    <x v="0"/>
    <s v="2023-06-20"/>
    <s v="Thursday"/>
    <s v="Away"/>
    <n v="73"/>
    <n v="1"/>
    <n v="0"/>
    <n v="51.99"/>
    <n v="5.7"/>
    <n v="11.55"/>
    <m/>
    <x v="2"/>
    <m/>
    <m/>
    <n v="1"/>
    <n v="0"/>
    <s v="Ankle"/>
    <x v="11"/>
    <n v="161"/>
    <n v="99"/>
    <s v="Argentina"/>
    <n v="67.099999999999994"/>
    <n v="9.86"/>
    <n v="1.24"/>
    <n v="98.23"/>
  </r>
  <r>
    <x v="171"/>
    <x v="1"/>
    <x v="1"/>
    <s v="2023-06-21"/>
    <s v="Friday"/>
    <s v="Home"/>
    <n v="20"/>
    <n v="0"/>
    <n v="3"/>
    <n v="71.34"/>
    <n v="12.5"/>
    <n v="14.92"/>
    <m/>
    <x v="0"/>
    <d v="2023-04-13T00:00:00"/>
    <m/>
    <n v="0"/>
    <n v="3"/>
    <s v="ACL"/>
    <x v="10"/>
    <n v="188"/>
    <n v="77"/>
    <s v="Spain"/>
    <n v="42"/>
    <n v="9.0399999999999991"/>
    <n v="1.35"/>
    <n v="96.29"/>
  </r>
  <r>
    <x v="172"/>
    <x v="0"/>
    <x v="0"/>
    <s v="2023-06-22"/>
    <s v="Sunday"/>
    <s v="Home"/>
    <n v="38"/>
    <n v="4"/>
    <n v="0"/>
    <n v="51.69"/>
    <n v="5.6"/>
    <n v="7.84"/>
    <m/>
    <x v="3"/>
    <d v="2023-08-18T00:00:00"/>
    <m/>
    <n v="0"/>
    <n v="4"/>
    <s v="Ankle"/>
    <x v="18"/>
    <n v="180"/>
    <n v="79"/>
    <s v="Spain"/>
    <n v="56"/>
    <n v="9.8000000000000007"/>
    <n v="0.92"/>
    <n v="73.08"/>
  </r>
  <r>
    <x v="173"/>
    <x v="1"/>
    <x v="1"/>
    <s v="2023-06-23"/>
    <s v="Tuesday"/>
    <s v="Home"/>
    <n v="21"/>
    <n v="3"/>
    <n v="0"/>
    <n v="51.65"/>
    <n v="5.6"/>
    <n v="8.59"/>
    <d v="2023-01-18T00:00:00"/>
    <x v="2"/>
    <d v="2023-05-01T00:00:00"/>
    <m/>
    <n v="0"/>
    <n v="0"/>
    <s v="Ankle"/>
    <x v="11"/>
    <n v="174"/>
    <n v="65"/>
    <s v="Germany"/>
    <n v="44.3"/>
    <n v="8.81"/>
    <n v="0.8"/>
    <n v="81.78"/>
  </r>
  <r>
    <x v="174"/>
    <x v="3"/>
    <x v="2"/>
    <s v="2023-06-24"/>
    <s v="Tuesday"/>
    <s v="Home"/>
    <n v="72"/>
    <n v="1"/>
    <n v="3"/>
    <n v="71.290000000000006"/>
    <n v="12.5"/>
    <n v="8.84"/>
    <m/>
    <x v="0"/>
    <m/>
    <m/>
    <n v="0"/>
    <n v="1"/>
    <s v="Hamstring"/>
    <x v="8"/>
    <n v="186"/>
    <n v="71"/>
    <s v="UK"/>
    <n v="40.4"/>
    <n v="7.19"/>
    <n v="0.83"/>
    <n v="86.6"/>
  </r>
  <r>
    <x v="175"/>
    <x v="3"/>
    <x v="0"/>
    <s v="2023-06-25"/>
    <s v="Thursday"/>
    <s v="Home"/>
    <n v="63"/>
    <n v="1"/>
    <n v="5"/>
    <n v="84.13"/>
    <n v="16.7"/>
    <n v="9.66"/>
    <m/>
    <x v="3"/>
    <m/>
    <m/>
    <n v="0"/>
    <n v="2"/>
    <s v="ACL"/>
    <x v="19"/>
    <n v="190"/>
    <n v="61"/>
    <s v="Germany"/>
    <n v="52.7"/>
    <n v="6.42"/>
    <n v="1.21"/>
    <n v="85.09"/>
  </r>
  <r>
    <x v="176"/>
    <x v="0"/>
    <x v="0"/>
    <s v="2023-06-26"/>
    <s v="Sunday"/>
    <s v="Away"/>
    <n v="51"/>
    <n v="2"/>
    <n v="5"/>
    <n v="84.05"/>
    <n v="16.600000000000001"/>
    <n v="13.36"/>
    <d v="2023-01-16T00:00:00"/>
    <x v="3"/>
    <d v="2023-05-08T00:00:00"/>
    <m/>
    <n v="0"/>
    <n v="1"/>
    <s v="Ankle"/>
    <x v="17"/>
    <n v="174"/>
    <n v="66"/>
    <s v="Argentina"/>
    <n v="48.9"/>
    <n v="9.1300000000000008"/>
    <n v="1.32"/>
    <n v="75.819999999999993"/>
  </r>
  <r>
    <x v="177"/>
    <x v="1"/>
    <x v="2"/>
    <s v="2023-06-27"/>
    <s v="Sunday"/>
    <s v="Home"/>
    <n v="89"/>
    <n v="2"/>
    <n v="3"/>
    <n v="71.2"/>
    <n v="12.4"/>
    <n v="7.36"/>
    <m/>
    <x v="0"/>
    <m/>
    <m/>
    <n v="1"/>
    <n v="1"/>
    <s v="None"/>
    <x v="6"/>
    <n v="182"/>
    <n v="75"/>
    <s v="Argentina"/>
    <n v="54.6"/>
    <n v="8.58"/>
    <n v="0.68"/>
    <n v="95.76"/>
  </r>
  <r>
    <x v="178"/>
    <x v="1"/>
    <x v="1"/>
    <s v="2023-06-28"/>
    <s v="Friday"/>
    <s v="Away"/>
    <n v="51"/>
    <n v="4"/>
    <n v="6"/>
    <n v="90.67"/>
    <n v="19"/>
    <n v="12.76"/>
    <d v="2023-08-11T00:00:00"/>
    <x v="2"/>
    <d v="2023-12-07T00:00:00"/>
    <m/>
    <n v="0"/>
    <n v="0"/>
    <s v="Ankle"/>
    <x v="5"/>
    <n v="183"/>
    <n v="62"/>
    <s v="USA"/>
    <n v="57.3"/>
    <n v="6.19"/>
    <n v="0.87"/>
    <n v="90.31"/>
  </r>
  <r>
    <x v="179"/>
    <x v="0"/>
    <x v="1"/>
    <s v="2023-06-29"/>
    <s v="Saturday"/>
    <s v="Home"/>
    <n v="87"/>
    <n v="4"/>
    <n v="4"/>
    <n v="76.92"/>
    <n v="14.4"/>
    <n v="9.0500000000000007"/>
    <m/>
    <x v="1"/>
    <m/>
    <m/>
    <n v="0"/>
    <n v="1"/>
    <s v="Hamstring"/>
    <x v="15"/>
    <n v="172"/>
    <n v="62"/>
    <s v="Brazil"/>
    <n v="41.3"/>
    <n v="7.44"/>
    <n v="1.4"/>
    <n v="95.14"/>
  </r>
  <r>
    <x v="180"/>
    <x v="3"/>
    <x v="2"/>
    <s v="2023-06-30"/>
    <s v="Wednesday"/>
    <s v="Away"/>
    <n v="74"/>
    <n v="0"/>
    <n v="0"/>
    <n v="51.59"/>
    <n v="5.6"/>
    <n v="11.02"/>
    <m/>
    <x v="2"/>
    <m/>
    <m/>
    <n v="0"/>
    <n v="3"/>
    <s v="None"/>
    <x v="21"/>
    <n v="181"/>
    <n v="86"/>
    <s v="UK"/>
    <n v="43.7"/>
    <n v="9.83"/>
    <n v="1.31"/>
    <n v="95.76"/>
  </r>
  <r>
    <x v="181"/>
    <x v="3"/>
    <x v="1"/>
    <s v="2023-07-01"/>
    <s v="Thursday"/>
    <s v="Home"/>
    <n v="94"/>
    <n v="0"/>
    <n v="6"/>
    <n v="90.65"/>
    <n v="19"/>
    <n v="11.33"/>
    <d v="2023-11-12T00:00:00"/>
    <x v="3"/>
    <d v="2023-02-22T00:00:00"/>
    <m/>
    <n v="0"/>
    <n v="1"/>
    <s v="Hamstring"/>
    <x v="17"/>
    <n v="196"/>
    <n v="99"/>
    <s v="Spain"/>
    <n v="56.8"/>
    <n v="8"/>
    <n v="1.48"/>
    <n v="92.45"/>
  </r>
  <r>
    <x v="182"/>
    <x v="0"/>
    <x v="0"/>
    <s v="2023-07-02"/>
    <s v="Friday"/>
    <s v="Away"/>
    <n v="75"/>
    <n v="4"/>
    <n v="0"/>
    <n v="51.57"/>
    <n v="5.5"/>
    <n v="8.73"/>
    <d v="2023-11-25T00:00:00"/>
    <x v="0"/>
    <m/>
    <m/>
    <n v="0"/>
    <n v="2"/>
    <s v="ACL"/>
    <x v="7"/>
    <n v="192"/>
    <n v="97"/>
    <s v="Brazil"/>
    <n v="50.3"/>
    <n v="7.73"/>
    <n v="1.25"/>
    <n v="83.18"/>
  </r>
  <r>
    <x v="183"/>
    <x v="0"/>
    <x v="1"/>
    <s v="2023-07-03"/>
    <s v="Sunday"/>
    <s v="Home"/>
    <n v="36"/>
    <n v="4"/>
    <n v="4"/>
    <n v="76.88"/>
    <n v="14.4"/>
    <n v="10.130000000000001"/>
    <m/>
    <x v="3"/>
    <d v="2023-03-16T00:00:00"/>
    <m/>
    <n v="0"/>
    <n v="2"/>
    <s v="ACL"/>
    <x v="19"/>
    <n v="162"/>
    <n v="92"/>
    <s v="UK"/>
    <n v="61.9"/>
    <n v="7.83"/>
    <n v="0.89"/>
    <n v="88.32"/>
  </r>
  <r>
    <x v="184"/>
    <x v="0"/>
    <x v="0"/>
    <s v="2023-07-04"/>
    <s v="Wednesday"/>
    <s v="Away"/>
    <n v="57"/>
    <n v="3"/>
    <n v="5"/>
    <n v="83.92"/>
    <n v="16.5"/>
    <n v="9.1300000000000008"/>
    <m/>
    <x v="2"/>
    <m/>
    <m/>
    <n v="0"/>
    <n v="4"/>
    <s v="None"/>
    <x v="9"/>
    <n v="178"/>
    <n v="87"/>
    <s v="USA"/>
    <n v="59.6"/>
    <n v="6.84"/>
    <n v="1.0900000000000001"/>
    <n v="74.81"/>
  </r>
  <r>
    <x v="185"/>
    <x v="2"/>
    <x v="1"/>
    <s v="2023-07-05"/>
    <s v="Saturday"/>
    <s v="Away"/>
    <n v="43"/>
    <n v="2"/>
    <n v="6"/>
    <n v="90.53"/>
    <n v="18.899999999999999"/>
    <n v="5.69"/>
    <d v="2023-01-11T00:00:00"/>
    <x v="1"/>
    <m/>
    <m/>
    <n v="0"/>
    <n v="2"/>
    <s v="None"/>
    <x v="7"/>
    <n v="182"/>
    <n v="60"/>
    <s v="USA"/>
    <n v="65.400000000000006"/>
    <n v="7.47"/>
    <n v="1.1599999999999999"/>
    <n v="90.21"/>
  </r>
  <r>
    <x v="186"/>
    <x v="0"/>
    <x v="0"/>
    <s v="2023-07-06"/>
    <s v="Thursday"/>
    <s v="Away"/>
    <n v="88"/>
    <n v="0"/>
    <n v="2"/>
    <n v="65.11"/>
    <n v="10.3"/>
    <n v="9.3699999999999992"/>
    <m/>
    <x v="1"/>
    <m/>
    <m/>
    <n v="1"/>
    <n v="1"/>
    <s v="ACL"/>
    <x v="14"/>
    <n v="188"/>
    <n v="67"/>
    <s v="Spain"/>
    <n v="60.8"/>
    <n v="7.48"/>
    <n v="0.57999999999999996"/>
    <n v="75.38"/>
  </r>
  <r>
    <x v="187"/>
    <x v="3"/>
    <x v="0"/>
    <s v="2023-07-07"/>
    <s v="Wednesday"/>
    <s v="Away"/>
    <n v="89"/>
    <n v="2"/>
    <n v="2"/>
    <n v="65.03"/>
    <n v="10.3"/>
    <n v="5.97"/>
    <m/>
    <x v="2"/>
    <m/>
    <m/>
    <n v="1"/>
    <n v="2"/>
    <s v="Ankle"/>
    <x v="6"/>
    <n v="189"/>
    <n v="96"/>
    <s v="Argentina"/>
    <n v="52.9"/>
    <n v="6.21"/>
    <n v="1.04"/>
    <n v="90.82"/>
  </r>
  <r>
    <x v="188"/>
    <x v="1"/>
    <x v="1"/>
    <s v="2023-07-08"/>
    <s v="Wednesday"/>
    <s v="Away"/>
    <n v="30"/>
    <n v="2"/>
    <n v="2"/>
    <n v="64.81"/>
    <n v="10.3"/>
    <n v="9.0500000000000007"/>
    <m/>
    <x v="1"/>
    <m/>
    <m/>
    <n v="0"/>
    <n v="0"/>
    <s v="None"/>
    <x v="1"/>
    <n v="198"/>
    <n v="91"/>
    <s v="Argentina"/>
    <n v="60.2"/>
    <n v="9.07"/>
    <n v="1.21"/>
    <n v="76.89"/>
  </r>
  <r>
    <x v="189"/>
    <x v="3"/>
    <x v="1"/>
    <s v="2023-07-09"/>
    <s v="Thursday"/>
    <s v="Home"/>
    <n v="35"/>
    <n v="4"/>
    <n v="5"/>
    <n v="83.65"/>
    <n v="16.399999999999999"/>
    <n v="10.93"/>
    <m/>
    <x v="1"/>
    <m/>
    <m/>
    <n v="0"/>
    <n v="2"/>
    <s v="Ankle"/>
    <x v="0"/>
    <n v="184"/>
    <n v="96"/>
    <s v="Brazil"/>
    <n v="48.3"/>
    <n v="7.67"/>
    <n v="0.67"/>
    <n v="73.53"/>
  </r>
  <r>
    <x v="190"/>
    <x v="0"/>
    <x v="0"/>
    <s v="2023-07-10"/>
    <s v="Saturday"/>
    <s v="Away"/>
    <n v="92"/>
    <n v="3"/>
    <n v="5"/>
    <n v="83.53"/>
    <n v="16.399999999999999"/>
    <n v="10.79"/>
    <m/>
    <x v="3"/>
    <d v="2023-02-01T00:00:00"/>
    <n v="52"/>
    <n v="1"/>
    <n v="3"/>
    <s v="Ankle"/>
    <x v="9"/>
    <n v="196"/>
    <n v="63"/>
    <s v="Brazil"/>
    <n v="49.2"/>
    <n v="9.2899999999999991"/>
    <n v="1.28"/>
    <n v="74.959999999999994"/>
  </r>
  <r>
    <x v="191"/>
    <x v="1"/>
    <x v="1"/>
    <s v="2023-07-11"/>
    <s v="Friday"/>
    <s v="Home"/>
    <n v="78"/>
    <n v="1"/>
    <n v="4"/>
    <n v="76.510000000000005"/>
    <n v="14.4"/>
    <n v="11.63"/>
    <d v="2023-06-19T00:00:00"/>
    <x v="3"/>
    <m/>
    <n v="30"/>
    <n v="1"/>
    <n v="0"/>
    <s v="ACL"/>
    <x v="4"/>
    <n v="167"/>
    <n v="89"/>
    <s v="Germany"/>
    <n v="63.7"/>
    <n v="9.4"/>
    <n v="1.08"/>
    <n v="70.06"/>
  </r>
  <r>
    <x v="192"/>
    <x v="0"/>
    <x v="0"/>
    <s v="2023-07-12"/>
    <s v="Wednesday"/>
    <s v="Away"/>
    <n v="89"/>
    <n v="3"/>
    <n v="0"/>
    <n v="51.54"/>
    <n v="5.5"/>
    <n v="5.95"/>
    <m/>
    <x v="1"/>
    <m/>
    <m/>
    <n v="0"/>
    <n v="4"/>
    <s v="Hamstring"/>
    <x v="1"/>
    <n v="175"/>
    <n v="65"/>
    <s v="Brazil"/>
    <n v="53.4"/>
    <n v="6.85"/>
    <n v="1.45"/>
    <n v="91.56"/>
  </r>
  <r>
    <x v="193"/>
    <x v="0"/>
    <x v="0"/>
    <s v="2023-07-13"/>
    <s v="Friday"/>
    <s v="Away"/>
    <n v="22"/>
    <n v="3"/>
    <n v="4"/>
    <n v="76.48"/>
    <n v="14.4"/>
    <n v="11.52"/>
    <d v="2023-11-27T00:00:00"/>
    <x v="0"/>
    <d v="2023-08-27T00:00:00"/>
    <m/>
    <n v="0"/>
    <n v="3"/>
    <s v="Hamstring"/>
    <x v="21"/>
    <n v="167"/>
    <n v="78"/>
    <s v="Brazil"/>
    <n v="64"/>
    <n v="8.6300000000000008"/>
    <n v="0.54"/>
    <n v="91.97"/>
  </r>
  <r>
    <x v="194"/>
    <x v="3"/>
    <x v="0"/>
    <s v="2023-07-14"/>
    <s v="Wednesday"/>
    <s v="Away"/>
    <n v="39"/>
    <n v="2"/>
    <n v="4"/>
    <n v="76.47"/>
    <n v="14.3"/>
    <n v="8.1199999999999992"/>
    <m/>
    <x v="1"/>
    <m/>
    <m/>
    <n v="0"/>
    <n v="1"/>
    <s v="Hamstring"/>
    <x v="15"/>
    <n v="160"/>
    <n v="91"/>
    <s v="Brazil"/>
    <n v="64.7"/>
    <n v="7.89"/>
    <n v="0.77"/>
    <n v="85.45"/>
  </r>
  <r>
    <x v="195"/>
    <x v="2"/>
    <x v="0"/>
    <s v="2023-07-15"/>
    <s v="Wednesday"/>
    <s v="Home"/>
    <n v="78"/>
    <n v="3"/>
    <n v="5"/>
    <n v="83.45"/>
    <n v="16.3"/>
    <n v="8.99"/>
    <m/>
    <x v="2"/>
    <m/>
    <m/>
    <n v="1"/>
    <n v="1"/>
    <s v="None"/>
    <x v="3"/>
    <n v="164"/>
    <n v="68"/>
    <s v="Brazil"/>
    <n v="65.7"/>
    <n v="9.52"/>
    <n v="1.1000000000000001"/>
    <n v="74.84"/>
  </r>
  <r>
    <x v="196"/>
    <x v="0"/>
    <x v="1"/>
    <s v="2023-07-16"/>
    <s v="Monday"/>
    <s v="Away"/>
    <n v="55"/>
    <n v="0"/>
    <n v="2"/>
    <n v="64.69"/>
    <n v="10.1"/>
    <n v="13.58"/>
    <d v="2023-11-09T00:00:00"/>
    <x v="1"/>
    <m/>
    <n v="32"/>
    <n v="1"/>
    <n v="1"/>
    <s v="None"/>
    <x v="17"/>
    <n v="162"/>
    <n v="71"/>
    <s v="Brazil"/>
    <n v="67.5"/>
    <n v="6.86"/>
    <n v="0.8"/>
    <n v="72.510000000000005"/>
  </r>
  <r>
    <x v="197"/>
    <x v="0"/>
    <x v="2"/>
    <s v="2023-07-17"/>
    <s v="Sunday"/>
    <s v="Away"/>
    <n v="38"/>
    <n v="2"/>
    <n v="1"/>
    <n v="57.08"/>
    <n v="7.1"/>
    <n v="5.09"/>
    <m/>
    <x v="1"/>
    <m/>
    <m/>
    <n v="0"/>
    <n v="3"/>
    <s v="ACL"/>
    <x v="1"/>
    <n v="160"/>
    <n v="70"/>
    <s v="Argentina"/>
    <n v="52.9"/>
    <n v="8.7100000000000009"/>
    <n v="1.21"/>
    <n v="70.569999999999993"/>
  </r>
  <r>
    <x v="198"/>
    <x v="3"/>
    <x v="1"/>
    <s v="2023-07-18"/>
    <s v="Monday"/>
    <s v="Home"/>
    <n v="86"/>
    <n v="0"/>
    <n v="0"/>
    <n v="50.83"/>
    <n v="5.4"/>
    <n v="10.88"/>
    <d v="2023-04-12T00:00:00"/>
    <x v="1"/>
    <m/>
    <m/>
    <n v="1"/>
    <n v="3"/>
    <s v="Ankle"/>
    <x v="20"/>
    <n v="163"/>
    <n v="75"/>
    <s v="UK"/>
    <n v="49.6"/>
    <n v="8.43"/>
    <n v="1.26"/>
    <n v="74.97"/>
  </r>
  <r>
    <x v="199"/>
    <x v="3"/>
    <x v="0"/>
    <s v="2023-07-19"/>
    <s v="Saturday"/>
    <s v="Away"/>
    <n v="38"/>
    <n v="1"/>
    <n v="5"/>
    <n v="83.38"/>
    <n v="16.3"/>
    <n v="10.99"/>
    <d v="2023-08-21T00:00:00"/>
    <x v="3"/>
    <d v="2023-02-28T00:00:00"/>
    <m/>
    <n v="0"/>
    <n v="3"/>
    <s v="None"/>
    <x v="21"/>
    <n v="199"/>
    <n v="60"/>
    <s v="Spain"/>
    <n v="57.5"/>
    <n v="7.18"/>
    <n v="0.6"/>
    <n v="96.73"/>
  </r>
  <r>
    <x v="200"/>
    <x v="1"/>
    <x v="0"/>
    <s v="2023-07-20"/>
    <s v="Tuesday"/>
    <s v="Away"/>
    <n v="39"/>
    <n v="2"/>
    <n v="2"/>
    <n v="64.16"/>
    <n v="10.1"/>
    <n v="8.9700000000000006"/>
    <m/>
    <x v="3"/>
    <m/>
    <n v="89"/>
    <n v="1"/>
    <n v="0"/>
    <s v="None"/>
    <x v="17"/>
    <n v="194"/>
    <n v="80"/>
    <s v="USA"/>
    <n v="51.1"/>
    <n v="6.55"/>
    <n v="1.01"/>
    <n v="77.25"/>
  </r>
  <r>
    <x v="201"/>
    <x v="1"/>
    <x v="1"/>
    <s v="2023-07-21"/>
    <s v="Saturday"/>
    <s v="Home"/>
    <n v="90"/>
    <n v="1"/>
    <n v="6"/>
    <n v="90.38"/>
    <n v="18.7"/>
    <n v="7.37"/>
    <m/>
    <x v="0"/>
    <m/>
    <m/>
    <n v="0"/>
    <n v="0"/>
    <s v="ACL"/>
    <x v="13"/>
    <n v="191"/>
    <n v="89"/>
    <s v="Spain"/>
    <n v="58"/>
    <n v="8.61"/>
    <n v="1.01"/>
    <n v="80.63"/>
  </r>
  <r>
    <x v="202"/>
    <x v="0"/>
    <x v="1"/>
    <s v="2023-07-22"/>
    <s v="Monday"/>
    <s v="Home"/>
    <n v="71"/>
    <n v="2"/>
    <n v="1"/>
    <n v="56.96"/>
    <n v="7.1"/>
    <n v="7.35"/>
    <m/>
    <x v="0"/>
    <m/>
    <m/>
    <n v="1"/>
    <n v="1"/>
    <s v="Hamstring"/>
    <x v="2"/>
    <n v="193"/>
    <n v="72"/>
    <s v="Argentina"/>
    <n v="61.2"/>
    <n v="8.9499999999999993"/>
    <n v="0.87"/>
    <n v="73.16"/>
  </r>
  <r>
    <x v="203"/>
    <x v="2"/>
    <x v="2"/>
    <s v="2023-07-23"/>
    <s v="Tuesday"/>
    <s v="Away"/>
    <n v="52"/>
    <n v="4"/>
    <n v="1"/>
    <n v="56.3"/>
    <n v="6.9"/>
    <n v="13.84"/>
    <m/>
    <x v="1"/>
    <d v="2023-11-28T00:00:00"/>
    <m/>
    <n v="0"/>
    <n v="2"/>
    <s v="None"/>
    <x v="6"/>
    <n v="184"/>
    <n v="93"/>
    <s v="Brazil"/>
    <n v="60.7"/>
    <n v="7.26"/>
    <n v="1.43"/>
    <n v="76.67"/>
  </r>
  <r>
    <x v="204"/>
    <x v="3"/>
    <x v="0"/>
    <s v="2023-07-24"/>
    <s v="Saturday"/>
    <s v="Home"/>
    <n v="59"/>
    <n v="3"/>
    <n v="5"/>
    <n v="83.2"/>
    <n v="16.3"/>
    <n v="9.42"/>
    <m/>
    <x v="0"/>
    <d v="2023-12-14T00:00:00"/>
    <m/>
    <n v="0"/>
    <n v="1"/>
    <s v="Hamstring"/>
    <x v="20"/>
    <n v="169"/>
    <n v="63"/>
    <s v="Germany"/>
    <n v="51.2"/>
    <n v="8.58"/>
    <n v="1.33"/>
    <n v="85.58"/>
  </r>
  <r>
    <x v="205"/>
    <x v="1"/>
    <x v="2"/>
    <s v="2023-07-25"/>
    <s v="Thursday"/>
    <s v="Home"/>
    <n v="58"/>
    <n v="4"/>
    <n v="3"/>
    <n v="71.03"/>
    <n v="12.4"/>
    <n v="8.31"/>
    <m/>
    <x v="1"/>
    <m/>
    <m/>
    <n v="0"/>
    <n v="4"/>
    <s v="Hamstring"/>
    <x v="11"/>
    <n v="180"/>
    <n v="87"/>
    <s v="USA"/>
    <n v="45"/>
    <n v="7.58"/>
    <n v="1.2"/>
    <n v="88.23"/>
  </r>
  <r>
    <x v="206"/>
    <x v="3"/>
    <x v="1"/>
    <s v="2023-07-26"/>
    <s v="Tuesday"/>
    <s v="Home"/>
    <n v="20"/>
    <n v="1"/>
    <n v="0"/>
    <n v="50.43"/>
    <n v="5.4"/>
    <n v="9.49"/>
    <m/>
    <x v="0"/>
    <d v="2023-05-07T00:00:00"/>
    <m/>
    <n v="1"/>
    <n v="0"/>
    <s v="Hamstring"/>
    <x v="9"/>
    <n v="198"/>
    <n v="97"/>
    <s v="Germany"/>
    <n v="52.9"/>
    <n v="8.85"/>
    <n v="1.21"/>
    <n v="77.36"/>
  </r>
  <r>
    <x v="207"/>
    <x v="3"/>
    <x v="0"/>
    <s v="2023-07-27"/>
    <s v="Wednesday"/>
    <s v="Home"/>
    <n v="30"/>
    <n v="3"/>
    <n v="1"/>
    <n v="56.08"/>
    <n v="6.8"/>
    <n v="11.69"/>
    <m/>
    <x v="1"/>
    <m/>
    <m/>
    <n v="1"/>
    <n v="3"/>
    <s v="Hamstring"/>
    <x v="10"/>
    <n v="186"/>
    <n v="90"/>
    <s v="Argentina"/>
    <n v="44.3"/>
    <n v="6.8"/>
    <n v="0.96"/>
    <n v="71.73"/>
  </r>
  <r>
    <x v="208"/>
    <x v="1"/>
    <x v="0"/>
    <s v="2023-07-28"/>
    <s v="Saturday"/>
    <s v="Away"/>
    <n v="76"/>
    <n v="2"/>
    <n v="5"/>
    <n v="83.08"/>
    <n v="16.3"/>
    <n v="6.46"/>
    <m/>
    <x v="0"/>
    <m/>
    <m/>
    <n v="1"/>
    <n v="0"/>
    <s v="ACL"/>
    <x v="17"/>
    <n v="186"/>
    <n v="86"/>
    <s v="Spain"/>
    <n v="66.7"/>
    <n v="9.56"/>
    <n v="1.42"/>
    <n v="81.73"/>
  </r>
  <r>
    <x v="209"/>
    <x v="3"/>
    <x v="0"/>
    <s v="2023-07-29"/>
    <s v="Tuesday"/>
    <s v="Home"/>
    <n v="69"/>
    <n v="3"/>
    <n v="5"/>
    <n v="83.03"/>
    <n v="16.3"/>
    <n v="9.49"/>
    <m/>
    <x v="0"/>
    <m/>
    <n v="56"/>
    <n v="1"/>
    <n v="3"/>
    <s v="None"/>
    <x v="18"/>
    <n v="161"/>
    <n v="64"/>
    <s v="Germany"/>
    <n v="50.4"/>
    <n v="7.15"/>
    <n v="1.19"/>
    <n v="77.03"/>
  </r>
  <r>
    <x v="210"/>
    <x v="1"/>
    <x v="2"/>
    <s v="2023-07-30"/>
    <s v="Saturday"/>
    <s v="Away"/>
    <n v="42"/>
    <n v="0"/>
    <n v="2"/>
    <n v="64.08"/>
    <n v="9.9"/>
    <n v="10.88"/>
    <m/>
    <x v="1"/>
    <m/>
    <m/>
    <n v="0"/>
    <n v="4"/>
    <s v="ACL"/>
    <x v="18"/>
    <n v="172"/>
    <n v="84"/>
    <s v="UK"/>
    <n v="44.6"/>
    <n v="7.47"/>
    <n v="1.23"/>
    <n v="76.59"/>
  </r>
  <r>
    <x v="211"/>
    <x v="3"/>
    <x v="1"/>
    <s v="2023-07-31"/>
    <s v="Wednesday"/>
    <s v="Away"/>
    <n v="50"/>
    <n v="3"/>
    <n v="6"/>
    <n v="90.27"/>
    <n v="18.7"/>
    <n v="14.49"/>
    <m/>
    <x v="1"/>
    <m/>
    <n v="24"/>
    <n v="0"/>
    <n v="4"/>
    <s v="Ankle"/>
    <x v="17"/>
    <n v="168"/>
    <n v="62"/>
    <s v="UK"/>
    <n v="40.799999999999997"/>
    <n v="6.23"/>
    <n v="1.36"/>
    <n v="98.8"/>
  </r>
  <r>
    <x v="212"/>
    <x v="2"/>
    <x v="2"/>
    <s v="2023-08-01"/>
    <s v="Saturday"/>
    <s v="Away"/>
    <n v="61"/>
    <n v="0"/>
    <n v="3"/>
    <n v="70.95"/>
    <n v="12.4"/>
    <n v="7.53"/>
    <d v="2023-07-09T00:00:00"/>
    <x v="1"/>
    <d v="2023-10-03T00:00:00"/>
    <n v="34"/>
    <n v="0"/>
    <n v="0"/>
    <s v="ACL"/>
    <x v="15"/>
    <n v="195"/>
    <n v="92"/>
    <s v="Brazil"/>
    <n v="59.4"/>
    <n v="6.45"/>
    <n v="0.77"/>
    <n v="88.49"/>
  </r>
  <r>
    <x v="213"/>
    <x v="1"/>
    <x v="3"/>
    <s v="2023-08-02"/>
    <s v="Saturday"/>
    <s v="Home"/>
    <n v="26"/>
    <n v="0"/>
    <n v="0"/>
    <n v="50.41"/>
    <n v="5.4"/>
    <n v="8.59"/>
    <m/>
    <x v="1"/>
    <m/>
    <m/>
    <n v="0"/>
    <n v="3"/>
    <s v="ACL"/>
    <x v="20"/>
    <n v="181"/>
    <n v="63"/>
    <s v="Germany"/>
    <n v="59.1"/>
    <n v="8.06"/>
    <n v="1.31"/>
    <n v="86.71"/>
  </r>
  <r>
    <x v="214"/>
    <x v="2"/>
    <x v="1"/>
    <s v="2023-08-03"/>
    <s v="Sunday"/>
    <s v="Home"/>
    <n v="35"/>
    <n v="0"/>
    <n v="4"/>
    <n v="76.13"/>
    <n v="14.3"/>
    <n v="8.7899999999999991"/>
    <d v="2023-04-02T00:00:00"/>
    <x v="0"/>
    <m/>
    <n v="45"/>
    <n v="0"/>
    <n v="4"/>
    <s v="ACL"/>
    <x v="6"/>
    <n v="185"/>
    <n v="84"/>
    <s v="Germany"/>
    <n v="50.2"/>
    <n v="7.07"/>
    <n v="0.7"/>
    <n v="82.47"/>
  </r>
  <r>
    <x v="215"/>
    <x v="3"/>
    <x v="1"/>
    <s v="2023-08-04"/>
    <s v="Tuesday"/>
    <s v="Away"/>
    <n v="79"/>
    <n v="1"/>
    <n v="6"/>
    <n v="90.25"/>
    <n v="18.7"/>
    <n v="11.06"/>
    <m/>
    <x v="2"/>
    <d v="2023-09-10T00:00:00"/>
    <m/>
    <n v="0"/>
    <n v="1"/>
    <s v="ACL"/>
    <x v="15"/>
    <n v="171"/>
    <n v="79"/>
    <s v="Germany"/>
    <n v="42.2"/>
    <n v="9.34"/>
    <n v="0.85"/>
    <n v="82.87"/>
  </r>
  <r>
    <x v="216"/>
    <x v="1"/>
    <x v="0"/>
    <s v="2023-08-05"/>
    <s v="Tuesday"/>
    <s v="Away"/>
    <n v="21"/>
    <n v="4"/>
    <n v="6"/>
    <n v="89.82"/>
    <n v="18.600000000000001"/>
    <n v="8.57"/>
    <m/>
    <x v="2"/>
    <m/>
    <n v="84"/>
    <n v="0"/>
    <n v="1"/>
    <s v="ACL"/>
    <x v="1"/>
    <n v="176"/>
    <n v="93"/>
    <s v="Germany"/>
    <n v="52.3"/>
    <n v="6.06"/>
    <n v="0.84"/>
    <n v="86.23"/>
  </r>
  <r>
    <x v="217"/>
    <x v="0"/>
    <x v="2"/>
    <s v="2023-08-06"/>
    <s v="Monday"/>
    <s v="Away"/>
    <n v="20"/>
    <n v="2"/>
    <n v="2"/>
    <n v="63.37"/>
    <n v="9.8000000000000007"/>
    <n v="10.34"/>
    <m/>
    <x v="0"/>
    <d v="2023-05-27T00:00:00"/>
    <m/>
    <n v="0"/>
    <n v="3"/>
    <s v="Hamstring"/>
    <x v="18"/>
    <n v="173"/>
    <n v="85"/>
    <s v="Spain"/>
    <n v="49.3"/>
    <n v="7.52"/>
    <n v="1.48"/>
    <n v="90.89"/>
  </r>
  <r>
    <x v="218"/>
    <x v="0"/>
    <x v="1"/>
    <s v="2023-08-07"/>
    <s v="Sunday"/>
    <s v="Away"/>
    <n v="67"/>
    <n v="3"/>
    <n v="1"/>
    <n v="55.95"/>
    <n v="6.8"/>
    <n v="12.82"/>
    <m/>
    <x v="3"/>
    <d v="2023-05-02T00:00:00"/>
    <m/>
    <n v="0"/>
    <n v="0"/>
    <s v="Ankle"/>
    <x v="7"/>
    <n v="173"/>
    <n v="64"/>
    <s v="Spain"/>
    <n v="60.3"/>
    <n v="7.35"/>
    <n v="1.36"/>
    <n v="91.06"/>
  </r>
  <r>
    <x v="219"/>
    <x v="0"/>
    <x v="2"/>
    <s v="2023-08-08"/>
    <s v="Tuesday"/>
    <s v="Home"/>
    <n v="31"/>
    <n v="4"/>
    <n v="1"/>
    <n v="55.78"/>
    <n v="6.8"/>
    <n v="12.05"/>
    <m/>
    <x v="2"/>
    <m/>
    <m/>
    <n v="0"/>
    <n v="4"/>
    <s v="ACL"/>
    <x v="8"/>
    <n v="193"/>
    <n v="94"/>
    <s v="USA"/>
    <n v="58.2"/>
    <n v="6.08"/>
    <n v="1.2"/>
    <n v="75.150000000000006"/>
  </r>
  <r>
    <x v="220"/>
    <x v="2"/>
    <x v="2"/>
    <s v="2023-08-09"/>
    <s v="Sunday"/>
    <s v="Away"/>
    <n v="88"/>
    <n v="2"/>
    <n v="2"/>
    <n v="62.75"/>
    <n v="9.8000000000000007"/>
    <n v="9.4600000000000009"/>
    <m/>
    <x v="0"/>
    <m/>
    <m/>
    <n v="1"/>
    <n v="0"/>
    <s v="Ankle"/>
    <x v="5"/>
    <n v="179"/>
    <n v="87"/>
    <s v="Germany"/>
    <n v="50.9"/>
    <n v="6.5"/>
    <n v="1.23"/>
    <n v="85"/>
  </r>
  <r>
    <x v="221"/>
    <x v="1"/>
    <x v="1"/>
    <s v="2023-08-10"/>
    <s v="Saturday"/>
    <s v="Home"/>
    <n v="56"/>
    <n v="2"/>
    <n v="5"/>
    <n v="82.95"/>
    <n v="16.2"/>
    <n v="13.64"/>
    <m/>
    <x v="2"/>
    <m/>
    <n v="60"/>
    <n v="0"/>
    <n v="1"/>
    <s v="Hamstring"/>
    <x v="20"/>
    <n v="170"/>
    <n v="88"/>
    <s v="Spain"/>
    <n v="46.5"/>
    <n v="7.65"/>
    <n v="1.06"/>
    <n v="82.36"/>
  </r>
  <r>
    <x v="222"/>
    <x v="2"/>
    <x v="0"/>
    <s v="2023-08-11"/>
    <s v="Friday"/>
    <s v="Away"/>
    <n v="51"/>
    <n v="0"/>
    <n v="1"/>
    <n v="55.6"/>
    <n v="6.8"/>
    <n v="10.58"/>
    <m/>
    <x v="2"/>
    <m/>
    <m/>
    <n v="1"/>
    <n v="4"/>
    <s v="None"/>
    <x v="8"/>
    <n v="175"/>
    <n v="68"/>
    <s v="Brazil"/>
    <n v="69.599999999999994"/>
    <n v="7.97"/>
    <n v="1.45"/>
    <n v="96.12"/>
  </r>
  <r>
    <x v="223"/>
    <x v="2"/>
    <x v="2"/>
    <s v="2023-08-12"/>
    <s v="Wednesday"/>
    <s v="Home"/>
    <n v="28"/>
    <n v="1"/>
    <n v="3"/>
    <n v="70.849999999999994"/>
    <n v="12.1"/>
    <n v="10.4"/>
    <m/>
    <x v="1"/>
    <d v="2023-06-08T00:00:00"/>
    <n v="24"/>
    <n v="0"/>
    <n v="0"/>
    <s v="Ankle"/>
    <x v="20"/>
    <n v="190"/>
    <n v="97"/>
    <s v="Germany"/>
    <n v="53.6"/>
    <n v="7.62"/>
    <n v="1"/>
    <n v="88.94"/>
  </r>
  <r>
    <x v="224"/>
    <x v="1"/>
    <x v="1"/>
    <s v="2023-08-13"/>
    <s v="Saturday"/>
    <s v="Away"/>
    <n v="38"/>
    <n v="1"/>
    <n v="0"/>
    <n v="50.24"/>
    <n v="5.3"/>
    <n v="5.34"/>
    <m/>
    <x v="3"/>
    <m/>
    <m/>
    <n v="0"/>
    <n v="2"/>
    <s v="ACL"/>
    <x v="13"/>
    <n v="165"/>
    <n v="65"/>
    <s v="Brazil"/>
    <n v="60.6"/>
    <n v="8.1199999999999992"/>
    <n v="0.88"/>
    <n v="85.98"/>
  </r>
  <r>
    <x v="225"/>
    <x v="3"/>
    <x v="1"/>
    <s v="2023-08-14"/>
    <s v="Wednesday"/>
    <s v="Home"/>
    <n v="67"/>
    <n v="4"/>
    <n v="6"/>
    <n v="89.79"/>
    <n v="18.600000000000001"/>
    <n v="14.87"/>
    <m/>
    <x v="0"/>
    <m/>
    <n v="77"/>
    <n v="0"/>
    <n v="3"/>
    <s v="Ankle"/>
    <x v="7"/>
    <n v="178"/>
    <n v="78"/>
    <s v="Spain"/>
    <n v="44.2"/>
    <n v="8.3800000000000008"/>
    <n v="0.66"/>
    <n v="73.459999999999994"/>
  </r>
  <r>
    <x v="226"/>
    <x v="3"/>
    <x v="0"/>
    <s v="2023-08-15"/>
    <s v="Monday"/>
    <s v="Home"/>
    <n v="22"/>
    <n v="1"/>
    <n v="6"/>
    <n v="89.73"/>
    <n v="18.600000000000001"/>
    <n v="6.23"/>
    <m/>
    <x v="2"/>
    <m/>
    <n v="30"/>
    <n v="0"/>
    <n v="3"/>
    <s v="Hamstring"/>
    <x v="20"/>
    <n v="196"/>
    <n v="70"/>
    <s v="Germany"/>
    <n v="54.6"/>
    <n v="6.04"/>
    <n v="1.29"/>
    <n v="88.17"/>
  </r>
  <r>
    <x v="227"/>
    <x v="2"/>
    <x v="0"/>
    <s v="2023-08-16"/>
    <s v="Monday"/>
    <s v="Home"/>
    <n v="39"/>
    <n v="3"/>
    <n v="3"/>
    <n v="70.790000000000006"/>
    <n v="12.1"/>
    <n v="7.31"/>
    <m/>
    <x v="2"/>
    <m/>
    <m/>
    <n v="0"/>
    <n v="2"/>
    <s v="Hamstring"/>
    <x v="6"/>
    <n v="163"/>
    <n v="61"/>
    <s v="Argentina"/>
    <n v="40.799999999999997"/>
    <n v="7.86"/>
    <n v="1.23"/>
    <n v="73.52"/>
  </r>
  <r>
    <x v="228"/>
    <x v="3"/>
    <x v="0"/>
    <s v="2023-08-17"/>
    <s v="Monday"/>
    <s v="Home"/>
    <n v="43"/>
    <n v="1"/>
    <n v="1"/>
    <n v="55.42"/>
    <n v="6.7"/>
    <n v="5.52"/>
    <m/>
    <x v="0"/>
    <m/>
    <n v="22"/>
    <n v="0"/>
    <n v="1"/>
    <s v="Ankle"/>
    <x v="17"/>
    <n v="163"/>
    <n v="68"/>
    <s v="Spain"/>
    <n v="55.2"/>
    <n v="9.85"/>
    <n v="0.88"/>
    <n v="80.12"/>
  </r>
  <r>
    <x v="229"/>
    <x v="1"/>
    <x v="1"/>
    <s v="2023-08-18"/>
    <s v="Monday"/>
    <s v="Away"/>
    <n v="73"/>
    <n v="4"/>
    <n v="6"/>
    <n v="89.67"/>
    <n v="18.5"/>
    <n v="11.4"/>
    <m/>
    <x v="2"/>
    <m/>
    <n v="28"/>
    <n v="0"/>
    <n v="4"/>
    <s v="Ankle"/>
    <x v="17"/>
    <n v="179"/>
    <n v="80"/>
    <s v="Spain"/>
    <n v="68.900000000000006"/>
    <n v="8.08"/>
    <n v="0.53"/>
    <n v="74.290000000000006"/>
  </r>
  <r>
    <x v="230"/>
    <x v="2"/>
    <x v="1"/>
    <s v="2023-08-19"/>
    <s v="Tuesday"/>
    <s v="Away"/>
    <n v="52"/>
    <n v="1"/>
    <n v="4"/>
    <n v="75.8"/>
    <n v="14.3"/>
    <n v="7.25"/>
    <d v="2023-12-27T00:00:00"/>
    <x v="2"/>
    <m/>
    <m/>
    <n v="0"/>
    <n v="3"/>
    <s v="Ankle"/>
    <x v="11"/>
    <n v="169"/>
    <n v="83"/>
    <s v="Germany"/>
    <n v="51.5"/>
    <n v="8.7100000000000009"/>
    <n v="1.34"/>
    <n v="90.76"/>
  </r>
  <r>
    <x v="231"/>
    <x v="3"/>
    <x v="0"/>
    <s v="2023-08-20"/>
    <s v="Wednesday"/>
    <s v="Away"/>
    <n v="43"/>
    <n v="3"/>
    <n v="0"/>
    <n v="50.23"/>
    <n v="5.3"/>
    <n v="6.8"/>
    <m/>
    <x v="2"/>
    <d v="2023-05-27T00:00:00"/>
    <m/>
    <n v="0"/>
    <n v="2"/>
    <s v="None"/>
    <x v="21"/>
    <n v="183"/>
    <n v="93"/>
    <s v="USA"/>
    <n v="41.2"/>
    <n v="7.25"/>
    <n v="0.51"/>
    <n v="76.19"/>
  </r>
  <r>
    <x v="232"/>
    <x v="0"/>
    <x v="0"/>
    <s v="2023-08-21"/>
    <s v="Monday"/>
    <s v="Home"/>
    <n v="94"/>
    <n v="0"/>
    <n v="0"/>
    <n v="50.23"/>
    <n v="5.2"/>
    <n v="5.89"/>
    <m/>
    <x v="0"/>
    <d v="2023-04-13T00:00:00"/>
    <n v="43"/>
    <n v="0"/>
    <n v="2"/>
    <s v="None"/>
    <x v="3"/>
    <n v="194"/>
    <n v="81"/>
    <s v="USA"/>
    <n v="40.9"/>
    <n v="9.1"/>
    <n v="1.2"/>
    <n v="81.760000000000005"/>
  </r>
  <r>
    <x v="233"/>
    <x v="2"/>
    <x v="0"/>
    <s v="2023-08-22"/>
    <s v="Friday"/>
    <s v="Away"/>
    <n v="91"/>
    <n v="4"/>
    <n v="6"/>
    <n v="89.56"/>
    <n v="18.5"/>
    <n v="6.03"/>
    <m/>
    <x v="3"/>
    <m/>
    <m/>
    <n v="0"/>
    <n v="1"/>
    <s v="ACL"/>
    <x v="10"/>
    <n v="185"/>
    <n v="62"/>
    <s v="Germany"/>
    <n v="51.6"/>
    <n v="9.09"/>
    <n v="1.47"/>
    <n v="96.87"/>
  </r>
  <r>
    <x v="234"/>
    <x v="0"/>
    <x v="1"/>
    <s v="2023-08-23"/>
    <s v="Wednesday"/>
    <s v="Home"/>
    <n v="55"/>
    <n v="0"/>
    <n v="2"/>
    <n v="62.66"/>
    <n v="9.8000000000000007"/>
    <n v="10.85"/>
    <m/>
    <x v="1"/>
    <d v="2023-10-16T00:00:00"/>
    <n v="87"/>
    <n v="0"/>
    <n v="1"/>
    <s v="ACL"/>
    <x v="18"/>
    <n v="196"/>
    <n v="71"/>
    <s v="Germany"/>
    <n v="44.8"/>
    <n v="8.09"/>
    <n v="0.94"/>
    <n v="76.13"/>
  </r>
  <r>
    <x v="235"/>
    <x v="1"/>
    <x v="0"/>
    <s v="2023-08-24"/>
    <s v="Tuesday"/>
    <s v="Home"/>
    <n v="57"/>
    <n v="0"/>
    <n v="6"/>
    <n v="89.45"/>
    <n v="18.399999999999999"/>
    <n v="11.88"/>
    <m/>
    <x v="2"/>
    <m/>
    <m/>
    <n v="1"/>
    <n v="0"/>
    <s v="Hamstring"/>
    <x v="12"/>
    <n v="197"/>
    <n v="87"/>
    <s v="Spain"/>
    <n v="40.700000000000003"/>
    <n v="9.9"/>
    <n v="0.73"/>
    <n v="85.23"/>
  </r>
  <r>
    <x v="236"/>
    <x v="1"/>
    <x v="0"/>
    <s v="2023-08-25"/>
    <s v="Thursday"/>
    <s v="Away"/>
    <n v="44"/>
    <n v="0"/>
    <n v="2"/>
    <n v="62.48"/>
    <n v="9.8000000000000007"/>
    <n v="8.9700000000000006"/>
    <m/>
    <x v="0"/>
    <m/>
    <n v="77"/>
    <n v="0"/>
    <n v="3"/>
    <s v="ACL"/>
    <x v="10"/>
    <n v="180"/>
    <n v="89"/>
    <s v="UK"/>
    <n v="62.7"/>
    <n v="6.5"/>
    <n v="1.2"/>
    <n v="82.58"/>
  </r>
  <r>
    <x v="237"/>
    <x v="3"/>
    <x v="0"/>
    <s v="2023-08-26"/>
    <s v="Friday"/>
    <s v="Away"/>
    <n v="37"/>
    <n v="2"/>
    <n v="6"/>
    <n v="89.07"/>
    <n v="18.399999999999999"/>
    <n v="9.8000000000000007"/>
    <m/>
    <x v="1"/>
    <m/>
    <n v="61"/>
    <n v="0"/>
    <n v="0"/>
    <s v="Hamstring"/>
    <x v="18"/>
    <n v="199"/>
    <n v="85"/>
    <s v="USA"/>
    <n v="53.8"/>
    <n v="6.07"/>
    <n v="1.32"/>
    <n v="70.540000000000006"/>
  </r>
  <r>
    <x v="238"/>
    <x v="0"/>
    <x v="1"/>
    <s v="2023-08-27"/>
    <s v="Thursday"/>
    <s v="Home"/>
    <n v="85"/>
    <n v="2"/>
    <n v="4"/>
    <n v="75.760000000000005"/>
    <n v="14.2"/>
    <n v="11.86"/>
    <m/>
    <x v="0"/>
    <m/>
    <n v="36"/>
    <n v="1"/>
    <n v="2"/>
    <s v="Hamstring"/>
    <x v="5"/>
    <n v="198"/>
    <n v="80"/>
    <s v="Brazil"/>
    <n v="48.7"/>
    <n v="9.08"/>
    <n v="1.05"/>
    <n v="93.78"/>
  </r>
  <r>
    <x v="239"/>
    <x v="2"/>
    <x v="0"/>
    <s v="2023-08-28"/>
    <s v="Tuesday"/>
    <s v="Home"/>
    <n v="73"/>
    <n v="0"/>
    <n v="5"/>
    <n v="82.95"/>
    <n v="16.100000000000001"/>
    <n v="5.17"/>
    <m/>
    <x v="1"/>
    <m/>
    <n v="38"/>
    <n v="0"/>
    <n v="4"/>
    <s v="ACL"/>
    <x v="9"/>
    <n v="180"/>
    <n v="87"/>
    <s v="UK"/>
    <n v="67"/>
    <n v="9.23"/>
    <n v="1.47"/>
    <n v="72.069999999999993"/>
  </r>
  <r>
    <x v="240"/>
    <x v="0"/>
    <x v="1"/>
    <s v="2023-08-29"/>
    <s v="Friday"/>
    <s v="Home"/>
    <n v="54"/>
    <n v="4"/>
    <n v="0"/>
    <n v="50.15"/>
    <n v="5.2"/>
    <n v="8.23"/>
    <m/>
    <x v="2"/>
    <m/>
    <m/>
    <n v="0"/>
    <n v="4"/>
    <s v="None"/>
    <x v="5"/>
    <n v="169"/>
    <n v="85"/>
    <s v="Brazil"/>
    <n v="43.5"/>
    <n v="6.48"/>
    <n v="0.55000000000000004"/>
    <n v="84.23"/>
  </r>
  <r>
    <x v="241"/>
    <x v="0"/>
    <x v="0"/>
    <s v="2023-08-30"/>
    <s v="Monday"/>
    <s v="Home"/>
    <n v="80"/>
    <n v="3"/>
    <n v="6"/>
    <n v="88.9"/>
    <n v="18.399999999999999"/>
    <n v="14.73"/>
    <m/>
    <x v="3"/>
    <m/>
    <m/>
    <n v="0"/>
    <n v="1"/>
    <s v="ACL"/>
    <x v="3"/>
    <n v="197"/>
    <n v="92"/>
    <s v="Spain"/>
    <n v="68.7"/>
    <n v="7.06"/>
    <n v="1"/>
    <n v="86.82"/>
  </r>
  <r>
    <x v="242"/>
    <x v="0"/>
    <x v="1"/>
    <s v="2023-08-31"/>
    <s v="Monday"/>
    <s v="Away"/>
    <n v="60"/>
    <n v="3"/>
    <n v="4"/>
    <n v="75.709999999999994"/>
    <n v="14.2"/>
    <n v="10.8"/>
    <m/>
    <x v="1"/>
    <m/>
    <n v="37"/>
    <n v="0"/>
    <n v="4"/>
    <s v="ACL"/>
    <x v="0"/>
    <n v="163"/>
    <n v="80"/>
    <s v="USA"/>
    <n v="49.4"/>
    <n v="6.07"/>
    <n v="1.22"/>
    <n v="88.85"/>
  </r>
  <r>
    <x v="243"/>
    <x v="1"/>
    <x v="2"/>
    <s v="2023-09-01"/>
    <s v="Monday"/>
    <s v="Away"/>
    <n v="52"/>
    <n v="1"/>
    <n v="2"/>
    <n v="62.28"/>
    <n v="9.8000000000000007"/>
    <n v="7.54"/>
    <m/>
    <x v="1"/>
    <d v="2023-07-16T00:00:00"/>
    <m/>
    <n v="0"/>
    <n v="4"/>
    <s v="Hamstring"/>
    <x v="3"/>
    <n v="179"/>
    <n v="94"/>
    <s v="Germany"/>
    <n v="66.7"/>
    <n v="7.17"/>
    <n v="1.36"/>
    <n v="90.66"/>
  </r>
  <r>
    <x v="244"/>
    <x v="1"/>
    <x v="2"/>
    <s v="2023-09-02"/>
    <s v="Saturday"/>
    <s v="Home"/>
    <n v="87"/>
    <n v="4"/>
    <n v="2"/>
    <n v="62.23"/>
    <n v="9.6"/>
    <n v="10.220000000000001"/>
    <m/>
    <x v="2"/>
    <m/>
    <n v="44"/>
    <n v="1"/>
    <n v="4"/>
    <s v="None"/>
    <x v="20"/>
    <n v="176"/>
    <n v="93"/>
    <s v="Germany"/>
    <n v="58.1"/>
    <n v="9.09"/>
    <n v="0.68"/>
    <n v="77.599999999999994"/>
  </r>
  <r>
    <x v="245"/>
    <x v="3"/>
    <x v="0"/>
    <s v="2023-09-03"/>
    <s v="Friday"/>
    <s v="Home"/>
    <n v="52"/>
    <n v="2"/>
    <n v="0"/>
    <n v="50.11"/>
    <n v="5.2"/>
    <n v="8.43"/>
    <d v="2023-09-12T00:00:00"/>
    <x v="1"/>
    <d v="2023-04-11T00:00:00"/>
    <n v="17"/>
    <n v="0"/>
    <n v="2"/>
    <s v="ACL"/>
    <x v="6"/>
    <n v="166"/>
    <n v="77"/>
    <s v="USA"/>
    <n v="64.8"/>
    <n v="8.07"/>
    <n v="1.3"/>
    <n v="70.3"/>
  </r>
  <r>
    <x v="246"/>
    <x v="3"/>
    <x v="2"/>
    <s v="2023-09-04"/>
    <s v="Saturday"/>
    <s v="Home"/>
    <n v="33"/>
    <n v="0"/>
    <n v="3"/>
    <n v="70.69"/>
    <n v="12"/>
    <n v="10.32"/>
    <d v="2023-08-17T00:00:00"/>
    <x v="1"/>
    <m/>
    <m/>
    <n v="0"/>
    <n v="4"/>
    <s v="Hamstring"/>
    <x v="15"/>
    <n v="163"/>
    <n v="70"/>
    <s v="UK"/>
    <n v="69.5"/>
    <n v="7.39"/>
    <n v="1.05"/>
    <n v="91.7"/>
  </r>
  <r>
    <x v="247"/>
    <x v="1"/>
    <x v="0"/>
    <s v="2023-09-05"/>
    <s v="Monday"/>
    <s v="Home"/>
    <n v="40"/>
    <n v="1"/>
    <n v="6"/>
    <n v="88.75"/>
    <n v="18.399999999999999"/>
    <n v="6.26"/>
    <d v="2023-06-07T00:00:00"/>
    <x v="3"/>
    <m/>
    <n v="25"/>
    <n v="0"/>
    <n v="4"/>
    <s v="ACL"/>
    <x v="21"/>
    <n v="188"/>
    <n v="82"/>
    <s v="Brazil"/>
    <n v="48.7"/>
    <n v="7.49"/>
    <n v="0.9"/>
    <n v="86.07"/>
  </r>
  <r>
    <x v="248"/>
    <x v="1"/>
    <x v="1"/>
    <s v="2023-09-06"/>
    <s v="Sunday"/>
    <s v="Home"/>
    <n v="67"/>
    <n v="3"/>
    <n v="1"/>
    <n v="55.42"/>
    <n v="6.7"/>
    <n v="6.33"/>
    <m/>
    <x v="2"/>
    <d v="2023-09-14T00:00:00"/>
    <n v="45"/>
    <n v="0"/>
    <n v="4"/>
    <s v="Ankle"/>
    <x v="19"/>
    <n v="173"/>
    <n v="81"/>
    <s v="Brazil"/>
    <n v="68.8"/>
    <n v="6.01"/>
    <n v="0.63"/>
    <n v="95.08"/>
  </r>
  <r>
    <x v="249"/>
    <x v="1"/>
    <x v="0"/>
    <s v="2023-09-07"/>
    <s v="Sunday"/>
    <s v="Away"/>
    <n v="39"/>
    <n v="2"/>
    <n v="2"/>
    <n v="62.15"/>
    <n v="9.4"/>
    <n v="6.44"/>
    <m/>
    <x v="1"/>
    <d v="2023-03-02T00:00:00"/>
    <n v="39"/>
    <n v="0"/>
    <n v="0"/>
    <s v="ACL"/>
    <x v="18"/>
    <n v="162"/>
    <n v="76"/>
    <s v="Spain"/>
    <n v="51.7"/>
    <n v="7.2"/>
    <n v="1.37"/>
    <n v="94.64"/>
  </r>
  <r>
    <x v="250"/>
    <x v="1"/>
    <x v="0"/>
    <s v="2023-09-08"/>
    <s v="Saturday"/>
    <s v="Away"/>
    <n v="27"/>
    <n v="2"/>
    <n v="5"/>
    <n v="82.9"/>
    <n v="16.100000000000001"/>
    <n v="14.4"/>
    <m/>
    <x v="3"/>
    <d v="2023-05-26T00:00:00"/>
    <m/>
    <n v="0"/>
    <n v="2"/>
    <s v="Hamstring"/>
    <x v="16"/>
    <n v="183"/>
    <n v="64"/>
    <s v="Argentina"/>
    <n v="51.6"/>
    <n v="8.59"/>
    <n v="0.66"/>
    <n v="95.3"/>
  </r>
  <r>
    <x v="251"/>
    <x v="2"/>
    <x v="1"/>
    <s v="2023-09-09"/>
    <s v="Tuesday"/>
    <s v="Home"/>
    <n v="26"/>
    <n v="0"/>
    <n v="5"/>
    <n v="82.58"/>
    <n v="16"/>
    <n v="12.33"/>
    <m/>
    <x v="1"/>
    <m/>
    <m/>
    <n v="0"/>
    <n v="1"/>
    <s v="Hamstring"/>
    <x v="16"/>
    <n v="196"/>
    <n v="70"/>
    <s v="Spain"/>
    <n v="50.2"/>
    <n v="9.9"/>
    <n v="0.81"/>
    <n v="84.55"/>
  </r>
  <r>
    <x v="252"/>
    <x v="2"/>
    <x v="0"/>
    <s v="2023-09-10"/>
    <s v="Thursday"/>
    <s v="Home"/>
    <n v="86"/>
    <n v="3"/>
    <n v="2"/>
    <n v="61.99"/>
    <n v="9.4"/>
    <n v="6.62"/>
    <m/>
    <x v="3"/>
    <d v="2023-10-12T00:00:00"/>
    <n v="27"/>
    <n v="0"/>
    <n v="0"/>
    <s v="None"/>
    <x v="14"/>
    <n v="175"/>
    <n v="89"/>
    <s v="Argentina"/>
    <n v="56.2"/>
    <n v="9.39"/>
    <n v="0.79"/>
    <n v="80.010000000000005"/>
  </r>
  <r>
    <x v="253"/>
    <x v="1"/>
    <x v="0"/>
    <s v="2023-09-11"/>
    <s v="Sunday"/>
    <s v="Home"/>
    <n v="36"/>
    <n v="4"/>
    <n v="3"/>
    <n v="70.58"/>
    <n v="12"/>
    <n v="6.88"/>
    <m/>
    <x v="3"/>
    <m/>
    <m/>
    <n v="0"/>
    <n v="3"/>
    <s v="Hamstring"/>
    <x v="16"/>
    <n v="163"/>
    <n v="74"/>
    <s v="USA"/>
    <n v="44.6"/>
    <n v="6.09"/>
    <n v="1.37"/>
    <n v="93.75"/>
  </r>
  <r>
    <x v="254"/>
    <x v="1"/>
    <x v="2"/>
    <s v="2023-09-12"/>
    <s v="Friday"/>
    <s v="Away"/>
    <n v="52"/>
    <n v="2"/>
    <n v="3"/>
    <n v="70.48"/>
    <n v="12"/>
    <n v="12.31"/>
    <m/>
    <x v="1"/>
    <m/>
    <m/>
    <n v="0"/>
    <n v="2"/>
    <s v="None"/>
    <x v="18"/>
    <n v="183"/>
    <n v="86"/>
    <s v="Spain"/>
    <n v="56.6"/>
    <n v="9.59"/>
    <n v="1.17"/>
    <n v="83.54"/>
  </r>
  <r>
    <x v="255"/>
    <x v="3"/>
    <x v="1"/>
    <s v="2023-09-13"/>
    <s v="Sunday"/>
    <s v="Away"/>
    <n v="67"/>
    <n v="0"/>
    <n v="4"/>
    <n v="75.459999999999994"/>
    <n v="14.2"/>
    <n v="6.56"/>
    <d v="2023-03-09T00:00:00"/>
    <x v="3"/>
    <d v="2023-10-14T00:00:00"/>
    <m/>
    <n v="1"/>
    <n v="2"/>
    <s v="ACL"/>
    <x v="1"/>
    <n v="193"/>
    <n v="94"/>
    <s v="Spain"/>
    <n v="56.3"/>
    <n v="9.1300000000000008"/>
    <n v="1.3"/>
    <n v="75.5"/>
  </r>
  <r>
    <x v="256"/>
    <x v="0"/>
    <x v="1"/>
    <s v="2023-09-14"/>
    <s v="Saturday"/>
    <s v="Away"/>
    <n v="78"/>
    <n v="4"/>
    <n v="5"/>
    <n v="82.47"/>
    <n v="15.9"/>
    <n v="7.35"/>
    <m/>
    <x v="1"/>
    <m/>
    <m/>
    <n v="0"/>
    <n v="3"/>
    <s v="Ankle"/>
    <x v="18"/>
    <n v="189"/>
    <n v="92"/>
    <s v="Germany"/>
    <n v="62.9"/>
    <n v="9.1199999999999992"/>
    <n v="0.75"/>
    <n v="95.65"/>
  </r>
  <r>
    <x v="257"/>
    <x v="1"/>
    <x v="1"/>
    <s v="2023-09-15"/>
    <s v="Wednesday"/>
    <s v="Home"/>
    <n v="41"/>
    <n v="3"/>
    <n v="4"/>
    <n v="75.23"/>
    <n v="14.2"/>
    <n v="14.63"/>
    <m/>
    <x v="1"/>
    <m/>
    <n v="11"/>
    <n v="0"/>
    <n v="3"/>
    <s v="ACL"/>
    <x v="19"/>
    <n v="177"/>
    <n v="79"/>
    <s v="Spain"/>
    <n v="65"/>
    <n v="7.83"/>
    <n v="1.1200000000000001"/>
    <n v="96.48"/>
  </r>
  <r>
    <x v="258"/>
    <x v="3"/>
    <x v="1"/>
    <s v="2023-09-16"/>
    <s v="Tuesday"/>
    <s v="Away"/>
    <n v="49"/>
    <n v="2"/>
    <n v="5"/>
    <n v="82.41"/>
    <n v="15.9"/>
    <n v="7.55"/>
    <d v="2023-07-17T00:00:00"/>
    <x v="3"/>
    <d v="2023-06-16T00:00:00"/>
    <m/>
    <n v="0"/>
    <n v="3"/>
    <s v="None"/>
    <x v="15"/>
    <n v="178"/>
    <n v="75"/>
    <s v="Brazil"/>
    <n v="53.2"/>
    <n v="7.59"/>
    <n v="1.07"/>
    <n v="83.99"/>
  </r>
  <r>
    <x v="259"/>
    <x v="3"/>
    <x v="1"/>
    <s v="2023-09-17"/>
    <s v="Sunday"/>
    <s v="Away"/>
    <n v="57"/>
    <n v="4"/>
    <n v="6"/>
    <n v="88.71"/>
    <n v="18.3"/>
    <n v="11.62"/>
    <m/>
    <x v="3"/>
    <m/>
    <n v="58"/>
    <n v="0"/>
    <n v="1"/>
    <s v="ACL"/>
    <x v="9"/>
    <n v="190"/>
    <n v="93"/>
    <s v="USA"/>
    <n v="49.1"/>
    <n v="7.21"/>
    <n v="1.33"/>
    <n v="72.27"/>
  </r>
  <r>
    <x v="260"/>
    <x v="2"/>
    <x v="1"/>
    <s v="2023-09-18"/>
    <s v="Monday"/>
    <s v="Home"/>
    <n v="70"/>
    <n v="4"/>
    <n v="6"/>
    <n v="88.38"/>
    <n v="18.2"/>
    <n v="14.79"/>
    <m/>
    <x v="0"/>
    <m/>
    <m/>
    <n v="0"/>
    <n v="4"/>
    <s v="ACL"/>
    <x v="11"/>
    <n v="178"/>
    <n v="61"/>
    <s v="Germany"/>
    <n v="47.8"/>
    <n v="6.26"/>
    <n v="1.41"/>
    <n v="81.63"/>
  </r>
  <r>
    <x v="261"/>
    <x v="0"/>
    <x v="3"/>
    <s v="2023-09-19"/>
    <s v="Monday"/>
    <s v="Home"/>
    <n v="73"/>
    <n v="1"/>
    <n v="1"/>
    <n v="55.21"/>
    <n v="6.5"/>
    <n v="8.74"/>
    <m/>
    <x v="1"/>
    <m/>
    <n v="86"/>
    <n v="0"/>
    <n v="2"/>
    <s v="Ankle"/>
    <x v="16"/>
    <n v="178"/>
    <n v="94"/>
    <s v="Germany"/>
    <n v="45.8"/>
    <n v="6.91"/>
    <n v="0.51"/>
    <n v="94.11"/>
  </r>
  <r>
    <x v="262"/>
    <x v="0"/>
    <x v="1"/>
    <s v="2023-09-20"/>
    <s v="Monday"/>
    <s v="Away"/>
    <n v="27"/>
    <n v="2"/>
    <n v="6"/>
    <n v="88.35"/>
    <n v="18.2"/>
    <n v="5.18"/>
    <m/>
    <x v="0"/>
    <m/>
    <m/>
    <n v="0"/>
    <n v="4"/>
    <s v="None"/>
    <x v="11"/>
    <n v="181"/>
    <n v="99"/>
    <s v="Germany"/>
    <n v="41.7"/>
    <n v="6.99"/>
    <n v="1.17"/>
    <n v="97.05"/>
  </r>
  <r>
    <x v="263"/>
    <x v="0"/>
    <x v="0"/>
    <s v="2023-09-21"/>
    <s v="Saturday"/>
    <s v="Home"/>
    <n v="46"/>
    <n v="2"/>
    <n v="1"/>
    <n v="55.19"/>
    <n v="6.5"/>
    <n v="7.44"/>
    <m/>
    <x v="2"/>
    <m/>
    <m/>
    <n v="1"/>
    <n v="4"/>
    <s v="Hamstring"/>
    <x v="17"/>
    <n v="183"/>
    <n v="87"/>
    <s v="USA"/>
    <n v="50.3"/>
    <n v="7.94"/>
    <n v="0.55000000000000004"/>
    <n v="76.099999999999994"/>
  </r>
  <r>
    <x v="264"/>
    <x v="1"/>
    <x v="1"/>
    <s v="2023-09-22"/>
    <s v="Monday"/>
    <s v="Home"/>
    <n v="46"/>
    <n v="1"/>
    <n v="6"/>
    <n v="88.09"/>
    <n v="18"/>
    <n v="13.31"/>
    <m/>
    <x v="1"/>
    <m/>
    <m/>
    <n v="0"/>
    <n v="3"/>
    <s v="Hamstring"/>
    <x v="10"/>
    <n v="171"/>
    <n v="98"/>
    <s v="UK"/>
    <n v="48.1"/>
    <n v="8.99"/>
    <n v="1.05"/>
    <n v="72.010000000000005"/>
  </r>
  <r>
    <x v="265"/>
    <x v="1"/>
    <x v="2"/>
    <s v="2023-09-23"/>
    <s v="Wednesday"/>
    <s v="Home"/>
    <n v="40"/>
    <n v="3"/>
    <n v="0"/>
    <n v="50.05"/>
    <n v="5.2"/>
    <n v="13.65"/>
    <d v="2023-07-04T00:00:00"/>
    <x v="1"/>
    <d v="2023-06-14T00:00:00"/>
    <n v="13"/>
    <n v="0"/>
    <n v="1"/>
    <s v="Hamstring"/>
    <x v="11"/>
    <n v="189"/>
    <n v="65"/>
    <s v="UK"/>
    <n v="69"/>
    <n v="7.9"/>
    <n v="0.79"/>
    <n v="96.32"/>
  </r>
  <r>
    <x v="266"/>
    <x v="0"/>
    <x v="1"/>
    <s v="2023-09-24"/>
    <s v="Sunday"/>
    <s v="Away"/>
    <n v="49"/>
    <n v="0"/>
    <n v="6"/>
    <n v="87.87"/>
    <n v="18"/>
    <n v="12.69"/>
    <m/>
    <x v="1"/>
    <m/>
    <m/>
    <n v="1"/>
    <n v="0"/>
    <s v="None"/>
    <x v="20"/>
    <n v="197"/>
    <n v="68"/>
    <s v="USA"/>
    <n v="56.7"/>
    <n v="6.23"/>
    <n v="0.81"/>
    <n v="81.680000000000007"/>
  </r>
  <r>
    <x v="267"/>
    <x v="3"/>
    <x v="1"/>
    <s v="2023-09-25"/>
    <s v="Friday"/>
    <s v="Away"/>
    <n v="47"/>
    <n v="4"/>
    <n v="4"/>
    <n v="75.19"/>
    <n v="13.9"/>
    <n v="6.13"/>
    <m/>
    <x v="0"/>
    <m/>
    <m/>
    <n v="1"/>
    <n v="1"/>
    <s v="Hamstring"/>
    <x v="16"/>
    <n v="190"/>
    <n v="79"/>
    <s v="Brazil"/>
    <n v="50.4"/>
    <n v="9.83"/>
    <n v="0.85"/>
    <n v="86.25"/>
  </r>
  <r>
    <x v="268"/>
    <x v="2"/>
    <x v="0"/>
    <s v="2023-09-26"/>
    <s v="Sunday"/>
    <s v="Home"/>
    <n v="83"/>
    <n v="1"/>
    <n v="2"/>
    <n v="61.87"/>
    <n v="9.4"/>
    <n v="12.96"/>
    <d v="2023-04-11T00:00:00"/>
    <x v="2"/>
    <m/>
    <m/>
    <n v="1"/>
    <n v="4"/>
    <s v="Hamstring"/>
    <x v="2"/>
    <n v="195"/>
    <n v="60"/>
    <s v="Brazil"/>
    <n v="57.4"/>
    <n v="9.77"/>
    <n v="1.1200000000000001"/>
    <n v="99.04"/>
  </r>
  <r>
    <x v="269"/>
    <x v="2"/>
    <x v="1"/>
    <s v="2023-09-27"/>
    <s v="Friday"/>
    <s v="Home"/>
    <n v="88"/>
    <n v="0"/>
    <n v="4"/>
    <n v="75.03"/>
    <n v="13.9"/>
    <n v="14.19"/>
    <d v="2023-01-18T00:00:00"/>
    <x v="1"/>
    <d v="2023-10-22T00:00:00"/>
    <m/>
    <n v="0"/>
    <n v="1"/>
    <s v="Hamstring"/>
    <x v="13"/>
    <n v="178"/>
    <n v="67"/>
    <s v="Argentina"/>
    <n v="44.2"/>
    <n v="9.14"/>
    <n v="0.83"/>
    <n v="72"/>
  </r>
  <r>
    <x v="270"/>
    <x v="1"/>
    <x v="2"/>
    <s v="2023-09-28"/>
    <s v="Friday"/>
    <s v="Away"/>
    <n v="80"/>
    <n v="1"/>
    <n v="2"/>
    <n v="61.71"/>
    <n v="9.3000000000000007"/>
    <n v="11.01"/>
    <d v="2023-05-28T00:00:00"/>
    <x v="0"/>
    <m/>
    <m/>
    <n v="0"/>
    <n v="3"/>
    <s v="Hamstring"/>
    <x v="13"/>
    <n v="195"/>
    <n v="82"/>
    <s v="UK"/>
    <n v="53.3"/>
    <n v="9.9700000000000006"/>
    <n v="1.23"/>
    <n v="89.45"/>
  </r>
  <r>
    <x v="271"/>
    <x v="3"/>
    <x v="0"/>
    <s v="2023-09-29"/>
    <s v="Friday"/>
    <s v="Home"/>
    <n v="67"/>
    <n v="2"/>
    <n v="3"/>
    <n v="69.849999999999994"/>
    <n v="11.9"/>
    <n v="14.41"/>
    <m/>
    <x v="2"/>
    <m/>
    <m/>
    <n v="0"/>
    <n v="0"/>
    <s v="ACL"/>
    <x v="8"/>
    <n v="189"/>
    <n v="62"/>
    <s v="Brazil"/>
    <n v="58.8"/>
    <n v="8.18"/>
    <n v="0.9"/>
    <n v="72.22"/>
  </r>
  <r>
    <x v="272"/>
    <x v="1"/>
    <x v="1"/>
    <s v="2023-09-30"/>
    <s v="Saturday"/>
    <s v="Home"/>
    <n v="38"/>
    <n v="4"/>
    <n v="4"/>
    <n v="75.010000000000005"/>
    <n v="13.8"/>
    <n v="13.27"/>
    <m/>
    <x v="1"/>
    <m/>
    <m/>
    <n v="0"/>
    <n v="3"/>
    <s v="None"/>
    <x v="5"/>
    <n v="192"/>
    <n v="63"/>
    <s v="Germany"/>
    <n v="54.7"/>
    <n v="9.85"/>
    <n v="0.56999999999999995"/>
    <n v="81.260000000000005"/>
  </r>
  <r>
    <x v="273"/>
    <x v="0"/>
    <x v="0"/>
    <s v="2023-10-01"/>
    <s v="Saturday"/>
    <s v="Home"/>
    <n v="23"/>
    <n v="0"/>
    <n v="3"/>
    <n v="69.67"/>
    <n v="11.8"/>
    <n v="11.67"/>
    <m/>
    <x v="2"/>
    <d v="2023-03-12T00:00:00"/>
    <n v="84"/>
    <n v="0"/>
    <n v="0"/>
    <s v="Hamstring"/>
    <x v="5"/>
    <n v="177"/>
    <n v="84"/>
    <s v="Germany"/>
    <n v="52.1"/>
    <n v="6.3"/>
    <n v="1.28"/>
    <n v="94.11"/>
  </r>
  <r>
    <x v="274"/>
    <x v="1"/>
    <x v="2"/>
    <s v="2023-10-02"/>
    <s v="Monday"/>
    <s v="Home"/>
    <n v="54"/>
    <n v="0"/>
    <n v="1"/>
    <n v="55.14"/>
    <n v="6.5"/>
    <n v="10.77"/>
    <m/>
    <x v="3"/>
    <m/>
    <m/>
    <n v="0"/>
    <n v="4"/>
    <s v="ACL"/>
    <x v="2"/>
    <n v="187"/>
    <n v="97"/>
    <s v="Germany"/>
    <n v="69.8"/>
    <n v="7.46"/>
    <n v="0.79"/>
    <n v="83"/>
  </r>
  <r>
    <x v="275"/>
    <x v="1"/>
    <x v="3"/>
    <s v="2023-10-03"/>
    <s v="Thursday"/>
    <s v="Away"/>
    <n v="83"/>
    <n v="0"/>
    <n v="1"/>
    <n v="54.93"/>
    <n v="6.5"/>
    <n v="8.49"/>
    <m/>
    <x v="3"/>
    <m/>
    <n v="16"/>
    <n v="1"/>
    <n v="0"/>
    <s v="Ankle"/>
    <x v="12"/>
    <n v="170"/>
    <n v="74"/>
    <s v="Germany"/>
    <n v="66.400000000000006"/>
    <n v="6.9"/>
    <n v="0.93"/>
    <n v="99.92"/>
  </r>
  <r>
    <x v="276"/>
    <x v="1"/>
    <x v="0"/>
    <s v="2023-10-04"/>
    <s v="Friday"/>
    <s v="Home"/>
    <n v="68"/>
    <n v="0"/>
    <n v="0"/>
    <n v="50.01"/>
    <n v="5.2"/>
    <n v="6.59"/>
    <m/>
    <x v="3"/>
    <m/>
    <m/>
    <n v="0"/>
    <n v="0"/>
    <s v="ACL"/>
    <x v="4"/>
    <n v="192"/>
    <n v="80"/>
    <s v="UK"/>
    <n v="58.7"/>
    <n v="6.78"/>
    <n v="1.19"/>
    <n v="86.77"/>
  </r>
  <r>
    <x v="277"/>
    <x v="1"/>
    <x v="1"/>
    <s v="2023-10-05"/>
    <s v="Friday"/>
    <s v="Away"/>
    <n v="36"/>
    <n v="0"/>
    <n v="6"/>
    <n v="87.81"/>
    <n v="18"/>
    <n v="11.05"/>
    <m/>
    <x v="3"/>
    <d v="2023-03-15T00:00:00"/>
    <m/>
    <n v="1"/>
    <n v="0"/>
    <s v="Ankle"/>
    <x v="14"/>
    <n v="176"/>
    <n v="94"/>
    <s v="Spain"/>
    <n v="57.1"/>
    <n v="6.56"/>
    <n v="0.83"/>
    <n v="79.63"/>
  </r>
  <r>
    <x v="278"/>
    <x v="2"/>
    <x v="1"/>
    <s v="2023-10-06"/>
    <s v="Tuesday"/>
    <s v="Away"/>
    <n v="63"/>
    <n v="1"/>
    <n v="4"/>
    <n v="74.47"/>
    <n v="13.8"/>
    <n v="8.18"/>
    <m/>
    <x v="2"/>
    <d v="2023-02-15T00:00:00"/>
    <m/>
    <n v="0"/>
    <n v="1"/>
    <s v="Hamstring"/>
    <x v="2"/>
    <n v="165"/>
    <n v="73"/>
    <s v="Argentina"/>
    <n v="58.6"/>
    <n v="8.49"/>
    <n v="0.56000000000000005"/>
    <n v="76.599999999999994"/>
  </r>
  <r>
    <x v="279"/>
    <x v="3"/>
    <x v="0"/>
    <s v="2023-10-07"/>
    <s v="Sunday"/>
    <s v="Away"/>
    <n v="49"/>
    <n v="4"/>
    <n v="3"/>
    <n v="69.45"/>
    <n v="11.8"/>
    <n v="13.66"/>
    <m/>
    <x v="1"/>
    <m/>
    <m/>
    <n v="0"/>
    <n v="1"/>
    <s v="Hamstring"/>
    <x v="6"/>
    <n v="163"/>
    <n v="95"/>
    <s v="USA"/>
    <n v="46"/>
    <n v="9.1300000000000008"/>
    <n v="0.87"/>
    <n v="80.5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n v="0"/>
    <n v="69.209999999999994"/>
    <x v="0"/>
    <x v="0"/>
  </r>
  <r>
    <n v="2"/>
    <n v="94.97"/>
    <x v="1"/>
    <x v="1"/>
  </r>
  <r>
    <n v="2"/>
    <n v="68.989999999999995"/>
    <x v="2"/>
    <x v="2"/>
  </r>
  <r>
    <n v="0"/>
    <n v="87.71"/>
    <x v="1"/>
    <x v="3"/>
  </r>
  <r>
    <n v="4"/>
    <n v="87.7"/>
    <x v="0"/>
    <x v="3"/>
  </r>
  <r>
    <n v="0"/>
    <n v="68.98"/>
    <x v="1"/>
    <x v="3"/>
  </r>
  <r>
    <n v="1"/>
    <n v="94.84"/>
    <x v="1"/>
    <x v="4"/>
  </r>
  <r>
    <n v="0"/>
    <n v="68.98"/>
    <x v="0"/>
    <x v="2"/>
  </r>
  <r>
    <n v="2"/>
    <n v="61.65"/>
    <x v="3"/>
    <x v="5"/>
  </r>
  <r>
    <n v="0"/>
    <n v="74.290000000000006"/>
    <x v="1"/>
    <x v="3"/>
  </r>
  <r>
    <n v="4"/>
    <n v="94.62"/>
    <x v="0"/>
    <x v="3"/>
  </r>
  <r>
    <n v="3"/>
    <n v="94.57"/>
    <x v="0"/>
    <x v="5"/>
  </r>
  <r>
    <n v="0"/>
    <n v="82.2"/>
    <x v="2"/>
    <x v="2"/>
  </r>
  <r>
    <n v="0"/>
    <n v="54.93"/>
    <x v="0"/>
    <x v="2"/>
  </r>
  <r>
    <n v="4"/>
    <n v="74.23"/>
    <x v="2"/>
    <x v="0"/>
  </r>
  <r>
    <n v="2"/>
    <n v="87.67"/>
    <x v="2"/>
    <x v="0"/>
  </r>
  <r>
    <n v="4"/>
    <n v="94.51"/>
    <x v="0"/>
    <x v="0"/>
  </r>
  <r>
    <n v="4"/>
    <n v="68.790000000000006"/>
    <x v="1"/>
    <x v="2"/>
  </r>
  <r>
    <n v="4"/>
    <n v="73.97"/>
    <x v="0"/>
    <x v="1"/>
  </r>
  <r>
    <n v="4"/>
    <n v="81.72"/>
    <x v="0"/>
    <x v="3"/>
  </r>
  <r>
    <n v="1"/>
    <n v="87.38"/>
    <x v="3"/>
    <x v="1"/>
  </r>
  <r>
    <n v="1"/>
    <n v="54.8"/>
    <x v="2"/>
    <x v="5"/>
  </r>
  <r>
    <n v="2"/>
    <n v="54.76"/>
    <x v="3"/>
    <x v="2"/>
  </r>
  <r>
    <n v="0"/>
    <n v="81.45"/>
    <x v="3"/>
    <x v="3"/>
  </r>
  <r>
    <n v="4"/>
    <n v="81.45"/>
    <x v="1"/>
    <x v="1"/>
  </r>
  <r>
    <n v="0"/>
    <n v="68.58"/>
    <x v="1"/>
    <x v="3"/>
  </r>
  <r>
    <n v="0"/>
    <n v="94.34"/>
    <x v="2"/>
    <x v="1"/>
  </r>
  <r>
    <n v="2"/>
    <n v="54.64"/>
    <x v="2"/>
    <x v="2"/>
  </r>
  <r>
    <n v="4"/>
    <n v="87.38"/>
    <x v="2"/>
    <x v="4"/>
  </r>
  <r>
    <n v="4"/>
    <n v="73.86"/>
    <x v="0"/>
    <x v="3"/>
  </r>
  <r>
    <n v="3"/>
    <n v="87.18"/>
    <x v="0"/>
    <x v="4"/>
  </r>
  <r>
    <n v="0"/>
    <n v="61.64"/>
    <x v="3"/>
    <x v="5"/>
  </r>
  <r>
    <n v="0"/>
    <n v="61.37"/>
    <x v="1"/>
    <x v="2"/>
  </r>
  <r>
    <n v="1"/>
    <n v="81.31"/>
    <x v="0"/>
    <x v="4"/>
  </r>
  <r>
    <n v="3"/>
    <n v="68.239999999999995"/>
    <x v="3"/>
    <x v="2"/>
  </r>
  <r>
    <n v="1"/>
    <n v="61.28"/>
    <x v="0"/>
    <x v="5"/>
  </r>
  <r>
    <n v="1"/>
    <n v="54.13"/>
    <x v="2"/>
    <x v="0"/>
  </r>
  <r>
    <n v="1"/>
    <n v="87.13"/>
    <x v="1"/>
    <x v="2"/>
  </r>
  <r>
    <n v="2"/>
    <n v="87.02"/>
    <x v="2"/>
    <x v="0"/>
  </r>
  <r>
    <n v="2"/>
    <n v="81.19"/>
    <x v="1"/>
    <x v="1"/>
  </r>
  <r>
    <n v="1"/>
    <n v="94.2"/>
    <x v="3"/>
    <x v="2"/>
  </r>
  <r>
    <n v="3"/>
    <n v="94.13"/>
    <x v="1"/>
    <x v="2"/>
  </r>
  <r>
    <n v="0"/>
    <n v="73.83"/>
    <x v="0"/>
    <x v="2"/>
  </r>
  <r>
    <n v="3"/>
    <n v="81.099999999999994"/>
    <x v="2"/>
    <x v="2"/>
  </r>
  <r>
    <n v="4"/>
    <n v="73.63"/>
    <x v="0"/>
    <x v="4"/>
  </r>
  <r>
    <n v="2"/>
    <n v="93.85"/>
    <x v="0"/>
    <x v="3"/>
  </r>
  <r>
    <n v="0"/>
    <n v="81.08"/>
    <x v="2"/>
    <x v="3"/>
  </r>
  <r>
    <n v="0"/>
    <n v="80.739999999999995"/>
    <x v="2"/>
    <x v="5"/>
  </r>
  <r>
    <n v="4"/>
    <n v="80.150000000000006"/>
    <x v="0"/>
    <x v="0"/>
  </r>
  <r>
    <n v="4"/>
    <n v="93.55"/>
    <x v="0"/>
    <x v="3"/>
  </r>
  <r>
    <n v="1"/>
    <n v="73.510000000000005"/>
    <x v="3"/>
    <x v="3"/>
  </r>
  <r>
    <n v="2"/>
    <n v="73.510000000000005"/>
    <x v="0"/>
    <x v="1"/>
  </r>
  <r>
    <n v="2"/>
    <n v="79.8"/>
    <x v="2"/>
    <x v="2"/>
  </r>
  <r>
    <n v="3"/>
    <n v="61.04"/>
    <x v="2"/>
    <x v="2"/>
  </r>
  <r>
    <n v="1"/>
    <n v="68.2"/>
    <x v="0"/>
    <x v="2"/>
  </r>
  <r>
    <n v="1"/>
    <n v="93.3"/>
    <x v="0"/>
    <x v="5"/>
  </r>
  <r>
    <n v="1"/>
    <n v="68.2"/>
    <x v="0"/>
    <x v="5"/>
  </r>
  <r>
    <n v="1"/>
    <n v="68.11"/>
    <x v="1"/>
    <x v="1"/>
  </r>
  <r>
    <n v="2"/>
    <n v="73.459999999999994"/>
    <x v="1"/>
    <x v="0"/>
  </r>
  <r>
    <n v="2"/>
    <n v="73.459999999999994"/>
    <x v="3"/>
    <x v="3"/>
  </r>
  <r>
    <n v="1"/>
    <n v="60.74"/>
    <x v="2"/>
    <x v="0"/>
  </r>
  <r>
    <n v="3"/>
    <n v="68.069999999999993"/>
    <x v="2"/>
    <x v="2"/>
  </r>
  <r>
    <n v="0"/>
    <n v="67.92"/>
    <x v="2"/>
    <x v="3"/>
  </r>
  <r>
    <n v="0"/>
    <n v="79.77"/>
    <x v="1"/>
    <x v="2"/>
  </r>
  <r>
    <n v="3"/>
    <n v="73.41"/>
    <x v="0"/>
    <x v="1"/>
  </r>
  <r>
    <n v="1"/>
    <n v="67.849999999999994"/>
    <x v="3"/>
    <x v="1"/>
  </r>
  <r>
    <n v="2"/>
    <n v="86.9"/>
    <x v="0"/>
    <x v="3"/>
  </r>
  <r>
    <n v="0"/>
    <n v="60.38"/>
    <x v="2"/>
    <x v="1"/>
  </r>
  <r>
    <n v="4"/>
    <n v="86.84"/>
    <x v="3"/>
    <x v="4"/>
  </r>
  <r>
    <n v="4"/>
    <n v="86.68"/>
    <x v="2"/>
    <x v="3"/>
  </r>
  <r>
    <n v="3"/>
    <n v="93.29"/>
    <x v="3"/>
    <x v="1"/>
  </r>
  <r>
    <n v="1"/>
    <n v="93.26"/>
    <x v="3"/>
    <x v="2"/>
  </r>
  <r>
    <n v="0"/>
    <n v="60.29"/>
    <x v="3"/>
    <x v="3"/>
  </r>
  <r>
    <n v="1"/>
    <n v="86.33"/>
    <x v="1"/>
    <x v="2"/>
  </r>
  <r>
    <n v="0"/>
    <n v="67.650000000000006"/>
    <x v="3"/>
    <x v="0"/>
  </r>
  <r>
    <n v="3"/>
    <n v="73.319999999999993"/>
    <x v="2"/>
    <x v="0"/>
  </r>
  <r>
    <n v="3"/>
    <n v="59.88"/>
    <x v="2"/>
    <x v="3"/>
  </r>
  <r>
    <n v="4"/>
    <n v="79.260000000000005"/>
    <x v="3"/>
    <x v="5"/>
  </r>
  <r>
    <n v="1"/>
    <n v="86.18"/>
    <x v="0"/>
    <x v="1"/>
  </r>
  <r>
    <n v="4"/>
    <n v="59.81"/>
    <x v="1"/>
    <x v="2"/>
  </r>
  <r>
    <n v="1"/>
    <n v="54.07"/>
    <x v="0"/>
    <x v="5"/>
  </r>
  <r>
    <n v="4"/>
    <n v="53.98"/>
    <x v="0"/>
    <x v="3"/>
  </r>
  <r>
    <n v="2"/>
    <n v="93.14"/>
    <x v="2"/>
    <x v="0"/>
  </r>
  <r>
    <n v="2"/>
    <n v="73.22"/>
    <x v="3"/>
    <x v="2"/>
  </r>
  <r>
    <n v="2"/>
    <n v="67.62"/>
    <x v="0"/>
    <x v="0"/>
  </r>
  <r>
    <n v="2"/>
    <n v="73.19"/>
    <x v="0"/>
    <x v="4"/>
  </r>
  <r>
    <n v="0"/>
    <n v="73.06"/>
    <x v="2"/>
    <x v="3"/>
  </r>
  <r>
    <n v="2"/>
    <n v="72.41"/>
    <x v="1"/>
    <x v="1"/>
  </r>
  <r>
    <n v="3"/>
    <n v="72.39"/>
    <x v="0"/>
    <x v="2"/>
  </r>
  <r>
    <n v="3"/>
    <n v="79.099999999999994"/>
    <x v="1"/>
    <x v="1"/>
  </r>
  <r>
    <n v="0"/>
    <n v="79.03"/>
    <x v="2"/>
    <x v="4"/>
  </r>
  <r>
    <n v="2"/>
    <n v="93.12"/>
    <x v="3"/>
    <x v="1"/>
  </r>
  <r>
    <n v="2"/>
    <n v="59.73"/>
    <x v="1"/>
    <x v="2"/>
  </r>
  <r>
    <n v="2"/>
    <n v="53.9"/>
    <x v="2"/>
    <x v="3"/>
  </r>
  <r>
    <n v="4"/>
    <n v="72.239999999999995"/>
    <x v="3"/>
    <x v="0"/>
  </r>
  <r>
    <n v="1"/>
    <n v="93.08"/>
    <x v="0"/>
    <x v="4"/>
  </r>
  <r>
    <n v="4"/>
    <n v="58.69"/>
    <x v="1"/>
    <x v="3"/>
  </r>
  <r>
    <n v="1"/>
    <n v="53.78"/>
    <x v="2"/>
    <x v="3"/>
  </r>
  <r>
    <n v="2"/>
    <n v="86.03"/>
    <x v="3"/>
    <x v="0"/>
  </r>
  <r>
    <n v="2"/>
    <n v="67.599999999999994"/>
    <x v="0"/>
    <x v="0"/>
  </r>
  <r>
    <n v="4"/>
    <n v="79"/>
    <x v="0"/>
    <x v="4"/>
  </r>
  <r>
    <n v="4"/>
    <n v="85.91"/>
    <x v="3"/>
    <x v="0"/>
  </r>
  <r>
    <n v="1"/>
    <n v="53.5"/>
    <x v="2"/>
    <x v="0"/>
  </r>
  <r>
    <n v="3"/>
    <n v="85.79"/>
    <x v="3"/>
    <x v="2"/>
  </r>
  <r>
    <n v="1"/>
    <n v="67.28"/>
    <x v="3"/>
    <x v="4"/>
  </r>
  <r>
    <n v="4"/>
    <n v="93.04"/>
    <x v="3"/>
    <x v="5"/>
  </r>
  <r>
    <n v="0"/>
    <n v="53.42"/>
    <x v="3"/>
    <x v="5"/>
  </r>
  <r>
    <n v="0"/>
    <n v="85.55"/>
    <x v="2"/>
    <x v="4"/>
  </r>
  <r>
    <n v="4"/>
    <n v="78.75"/>
    <x v="0"/>
    <x v="1"/>
  </r>
  <r>
    <n v="0"/>
    <n v="78.680000000000007"/>
    <x v="3"/>
    <x v="5"/>
  </r>
  <r>
    <n v="3"/>
    <n v="58.67"/>
    <x v="1"/>
    <x v="4"/>
  </r>
  <r>
    <n v="1"/>
    <n v="85.5"/>
    <x v="1"/>
    <x v="1"/>
  </r>
  <r>
    <n v="1"/>
    <n v="72.099999999999994"/>
    <x v="0"/>
    <x v="2"/>
  </r>
  <r>
    <n v="0"/>
    <n v="85.09"/>
    <x v="3"/>
    <x v="1"/>
  </r>
  <r>
    <n v="1"/>
    <n v="92.99"/>
    <x v="2"/>
    <x v="3"/>
  </r>
  <r>
    <n v="4"/>
    <n v="53.15"/>
    <x v="3"/>
    <x v="1"/>
  </r>
  <r>
    <n v="2"/>
    <n v="53.07"/>
    <x v="3"/>
    <x v="2"/>
  </r>
  <r>
    <n v="0"/>
    <n v="92.93"/>
    <x v="0"/>
    <x v="0"/>
  </r>
  <r>
    <n v="1"/>
    <n v="84.82"/>
    <x v="0"/>
    <x v="5"/>
  </r>
  <r>
    <n v="0"/>
    <n v="92.72"/>
    <x v="3"/>
    <x v="2"/>
  </r>
  <r>
    <n v="0"/>
    <n v="67.28"/>
    <x v="1"/>
    <x v="1"/>
  </r>
  <r>
    <n v="2"/>
    <n v="91.97"/>
    <x v="1"/>
    <x v="3"/>
  </r>
  <r>
    <n v="4"/>
    <n v="78.489999999999995"/>
    <x v="1"/>
    <x v="4"/>
  </r>
  <r>
    <n v="0"/>
    <n v="91.92"/>
    <x v="1"/>
    <x v="0"/>
  </r>
  <r>
    <n v="1"/>
    <n v="53.02"/>
    <x v="2"/>
    <x v="0"/>
  </r>
  <r>
    <n v="3"/>
    <n v="78.34"/>
    <x v="0"/>
    <x v="1"/>
  </r>
  <r>
    <n v="0"/>
    <n v="52.92"/>
    <x v="1"/>
    <x v="3"/>
  </r>
  <r>
    <n v="0"/>
    <n v="58.51"/>
    <x v="2"/>
    <x v="1"/>
  </r>
  <r>
    <n v="2"/>
    <n v="71.819999999999993"/>
    <x v="3"/>
    <x v="4"/>
  </r>
  <r>
    <n v="4"/>
    <n v="52.77"/>
    <x v="0"/>
    <x v="5"/>
  </r>
  <r>
    <n v="3"/>
    <n v="78.05"/>
    <x v="0"/>
    <x v="2"/>
  </r>
  <r>
    <n v="1"/>
    <n v="58.35"/>
    <x v="2"/>
    <x v="1"/>
  </r>
  <r>
    <n v="3"/>
    <n v="52.47"/>
    <x v="2"/>
    <x v="2"/>
  </r>
  <r>
    <n v="1"/>
    <n v="66.95"/>
    <x v="1"/>
    <x v="0"/>
  </r>
  <r>
    <n v="4"/>
    <n v="91.85"/>
    <x v="1"/>
    <x v="5"/>
  </r>
  <r>
    <n v="1"/>
    <n v="71.77"/>
    <x v="2"/>
    <x v="4"/>
  </r>
  <r>
    <n v="2"/>
    <n v="52.37"/>
    <x v="2"/>
    <x v="0"/>
  </r>
  <r>
    <n v="2"/>
    <n v="58.3"/>
    <x v="0"/>
    <x v="3"/>
  </r>
  <r>
    <n v="2"/>
    <n v="66.41"/>
    <x v="2"/>
    <x v="1"/>
  </r>
  <r>
    <n v="2"/>
    <n v="84.69"/>
    <x v="2"/>
    <x v="0"/>
  </r>
  <r>
    <n v="1"/>
    <n v="58.19"/>
    <x v="1"/>
    <x v="2"/>
  </r>
  <r>
    <n v="4"/>
    <n v="91.2"/>
    <x v="0"/>
    <x v="5"/>
  </r>
  <r>
    <n v="1"/>
    <n v="58.08"/>
    <x v="2"/>
    <x v="0"/>
  </r>
  <r>
    <n v="1"/>
    <n v="66.34"/>
    <x v="1"/>
    <x v="3"/>
  </r>
  <r>
    <n v="2"/>
    <n v="57.82"/>
    <x v="1"/>
    <x v="3"/>
  </r>
  <r>
    <n v="2"/>
    <n v="66.319999999999993"/>
    <x v="1"/>
    <x v="0"/>
  </r>
  <r>
    <n v="0"/>
    <n v="52.32"/>
    <x v="2"/>
    <x v="3"/>
  </r>
  <r>
    <n v="4"/>
    <n v="65.92"/>
    <x v="1"/>
    <x v="4"/>
  </r>
  <r>
    <n v="3"/>
    <n v="65.819999999999993"/>
    <x v="2"/>
    <x v="0"/>
  </r>
  <r>
    <n v="1"/>
    <n v="71.650000000000006"/>
    <x v="2"/>
    <x v="5"/>
  </r>
  <r>
    <n v="0"/>
    <n v="65.53"/>
    <x v="0"/>
    <x v="3"/>
  </r>
  <r>
    <n v="0"/>
    <n v="65.5"/>
    <x v="2"/>
    <x v="2"/>
  </r>
  <r>
    <n v="1"/>
    <n v="84.69"/>
    <x v="3"/>
    <x v="1"/>
  </r>
  <r>
    <n v="0"/>
    <n v="52.2"/>
    <x v="3"/>
    <x v="3"/>
  </r>
  <r>
    <n v="0"/>
    <n v="90.97"/>
    <x v="0"/>
    <x v="2"/>
  </r>
  <r>
    <n v="0"/>
    <n v="71.59"/>
    <x v="2"/>
    <x v="1"/>
  </r>
  <r>
    <n v="4"/>
    <n v="84.69"/>
    <x v="1"/>
    <x v="2"/>
  </r>
  <r>
    <n v="3"/>
    <n v="78.03"/>
    <x v="0"/>
    <x v="2"/>
  </r>
  <r>
    <n v="0"/>
    <n v="52.11"/>
    <x v="0"/>
    <x v="0"/>
  </r>
  <r>
    <n v="3"/>
    <n v="52.03"/>
    <x v="2"/>
    <x v="0"/>
  </r>
  <r>
    <n v="1"/>
    <n v="77.47"/>
    <x v="3"/>
    <x v="5"/>
  </r>
  <r>
    <n v="2"/>
    <n v="90.89"/>
    <x v="2"/>
    <x v="2"/>
  </r>
  <r>
    <n v="0"/>
    <n v="65.14"/>
    <x v="2"/>
    <x v="4"/>
  </r>
  <r>
    <n v="4"/>
    <n v="84.16"/>
    <x v="0"/>
    <x v="0"/>
  </r>
  <r>
    <n v="1"/>
    <n v="57.29"/>
    <x v="0"/>
    <x v="2"/>
  </r>
  <r>
    <n v="3"/>
    <n v="71.45"/>
    <x v="2"/>
    <x v="1"/>
  </r>
  <r>
    <n v="1"/>
    <n v="57.22"/>
    <x v="0"/>
    <x v="1"/>
  </r>
  <r>
    <n v="0"/>
    <n v="77.040000000000006"/>
    <x v="2"/>
    <x v="4"/>
  </r>
  <r>
    <n v="0"/>
    <n v="52"/>
    <x v="1"/>
    <x v="5"/>
  </r>
  <r>
    <n v="2"/>
    <n v="90.79"/>
    <x v="3"/>
    <x v="4"/>
  </r>
  <r>
    <n v="1"/>
    <n v="51.99"/>
    <x v="2"/>
    <x v="4"/>
  </r>
  <r>
    <n v="0"/>
    <n v="71.34"/>
    <x v="0"/>
    <x v="0"/>
  </r>
  <r>
    <n v="4"/>
    <n v="51.69"/>
    <x v="3"/>
    <x v="0"/>
  </r>
  <r>
    <n v="3"/>
    <n v="51.65"/>
    <x v="2"/>
    <x v="3"/>
  </r>
  <r>
    <n v="1"/>
    <n v="71.290000000000006"/>
    <x v="0"/>
    <x v="1"/>
  </r>
  <r>
    <n v="1"/>
    <n v="84.13"/>
    <x v="3"/>
    <x v="3"/>
  </r>
  <r>
    <n v="2"/>
    <n v="84.05"/>
    <x v="3"/>
    <x v="4"/>
  </r>
  <r>
    <n v="2"/>
    <n v="71.2"/>
    <x v="0"/>
    <x v="4"/>
  </r>
  <r>
    <n v="4"/>
    <n v="90.67"/>
    <x v="2"/>
    <x v="5"/>
  </r>
  <r>
    <n v="4"/>
    <n v="76.92"/>
    <x v="1"/>
    <x v="2"/>
  </r>
  <r>
    <n v="0"/>
    <n v="51.59"/>
    <x v="2"/>
    <x v="1"/>
  </r>
  <r>
    <n v="0"/>
    <n v="90.65"/>
    <x v="3"/>
    <x v="0"/>
  </r>
  <r>
    <n v="4"/>
    <n v="51.57"/>
    <x v="0"/>
    <x v="2"/>
  </r>
  <r>
    <n v="4"/>
    <n v="76.88"/>
    <x v="3"/>
    <x v="1"/>
  </r>
  <r>
    <n v="3"/>
    <n v="83.92"/>
    <x v="2"/>
    <x v="5"/>
  </r>
  <r>
    <n v="2"/>
    <n v="90.53"/>
    <x v="1"/>
    <x v="5"/>
  </r>
  <r>
    <n v="0"/>
    <n v="65.11"/>
    <x v="1"/>
    <x v="0"/>
  </r>
  <r>
    <n v="2"/>
    <n v="65.03"/>
    <x v="2"/>
    <x v="4"/>
  </r>
  <r>
    <n v="2"/>
    <n v="64.81"/>
    <x v="1"/>
    <x v="4"/>
  </r>
  <r>
    <n v="4"/>
    <n v="83.65"/>
    <x v="1"/>
    <x v="2"/>
  </r>
  <r>
    <n v="3"/>
    <n v="83.53"/>
    <x v="3"/>
    <x v="2"/>
  </r>
  <r>
    <n v="1"/>
    <n v="76.510000000000005"/>
    <x v="3"/>
    <x v="3"/>
  </r>
  <r>
    <n v="3"/>
    <n v="51.54"/>
    <x v="1"/>
    <x v="2"/>
  </r>
  <r>
    <n v="3"/>
    <n v="76.48"/>
    <x v="0"/>
    <x v="2"/>
  </r>
  <r>
    <n v="2"/>
    <n v="76.47"/>
    <x v="1"/>
    <x v="2"/>
  </r>
  <r>
    <n v="3"/>
    <n v="83.45"/>
    <x v="2"/>
    <x v="2"/>
  </r>
  <r>
    <n v="0"/>
    <n v="64.69"/>
    <x v="1"/>
    <x v="2"/>
  </r>
  <r>
    <n v="2"/>
    <n v="57.08"/>
    <x v="1"/>
    <x v="4"/>
  </r>
  <r>
    <n v="0"/>
    <n v="50.83"/>
    <x v="1"/>
    <x v="1"/>
  </r>
  <r>
    <n v="1"/>
    <n v="83.38"/>
    <x v="3"/>
    <x v="0"/>
  </r>
  <r>
    <n v="2"/>
    <n v="64.16"/>
    <x v="3"/>
    <x v="5"/>
  </r>
  <r>
    <n v="1"/>
    <n v="90.38"/>
    <x v="0"/>
    <x v="0"/>
  </r>
  <r>
    <n v="2"/>
    <n v="56.96"/>
    <x v="0"/>
    <x v="4"/>
  </r>
  <r>
    <n v="4"/>
    <n v="56.3"/>
    <x v="1"/>
    <x v="2"/>
  </r>
  <r>
    <n v="3"/>
    <n v="83.2"/>
    <x v="0"/>
    <x v="3"/>
  </r>
  <r>
    <n v="4"/>
    <n v="71.03"/>
    <x v="1"/>
    <x v="5"/>
  </r>
  <r>
    <n v="1"/>
    <n v="50.43"/>
    <x v="0"/>
    <x v="3"/>
  </r>
  <r>
    <n v="3"/>
    <n v="56.08"/>
    <x v="1"/>
    <x v="4"/>
  </r>
  <r>
    <n v="2"/>
    <n v="83.08"/>
    <x v="0"/>
    <x v="0"/>
  </r>
  <r>
    <n v="3"/>
    <n v="83.03"/>
    <x v="0"/>
    <x v="3"/>
  </r>
  <r>
    <n v="0"/>
    <n v="64.08"/>
    <x v="1"/>
    <x v="1"/>
  </r>
  <r>
    <n v="3"/>
    <n v="90.27"/>
    <x v="1"/>
    <x v="1"/>
  </r>
  <r>
    <n v="0"/>
    <n v="70.95"/>
    <x v="1"/>
    <x v="2"/>
  </r>
  <r>
    <n v="0"/>
    <n v="50.41"/>
    <x v="1"/>
    <x v="3"/>
  </r>
  <r>
    <n v="0"/>
    <n v="76.13"/>
    <x v="0"/>
    <x v="3"/>
  </r>
  <r>
    <n v="1"/>
    <n v="90.25"/>
    <x v="2"/>
    <x v="3"/>
  </r>
  <r>
    <n v="4"/>
    <n v="89.82"/>
    <x v="2"/>
    <x v="3"/>
  </r>
  <r>
    <n v="2"/>
    <n v="63.37"/>
    <x v="0"/>
    <x v="0"/>
  </r>
  <r>
    <n v="3"/>
    <n v="55.95"/>
    <x v="3"/>
    <x v="0"/>
  </r>
  <r>
    <n v="4"/>
    <n v="55.78"/>
    <x v="2"/>
    <x v="5"/>
  </r>
  <r>
    <n v="2"/>
    <n v="62.75"/>
    <x v="0"/>
    <x v="3"/>
  </r>
  <r>
    <n v="2"/>
    <n v="82.95"/>
    <x v="2"/>
    <x v="0"/>
  </r>
  <r>
    <n v="0"/>
    <n v="55.6"/>
    <x v="2"/>
    <x v="2"/>
  </r>
  <r>
    <n v="1"/>
    <n v="70.849999999999994"/>
    <x v="1"/>
    <x v="3"/>
  </r>
  <r>
    <n v="1"/>
    <n v="50.24"/>
    <x v="3"/>
    <x v="2"/>
  </r>
  <r>
    <n v="4"/>
    <n v="89.79"/>
    <x v="0"/>
    <x v="0"/>
  </r>
  <r>
    <n v="1"/>
    <n v="89.73"/>
    <x v="2"/>
    <x v="3"/>
  </r>
  <r>
    <n v="3"/>
    <n v="70.790000000000006"/>
    <x v="2"/>
    <x v="4"/>
  </r>
  <r>
    <n v="1"/>
    <n v="55.42"/>
    <x v="0"/>
    <x v="0"/>
  </r>
  <r>
    <n v="4"/>
    <n v="89.67"/>
    <x v="2"/>
    <x v="0"/>
  </r>
  <r>
    <n v="1"/>
    <n v="75.8"/>
    <x v="2"/>
    <x v="3"/>
  </r>
  <r>
    <n v="3"/>
    <n v="50.23"/>
    <x v="2"/>
    <x v="5"/>
  </r>
  <r>
    <n v="0"/>
    <n v="50.23"/>
    <x v="0"/>
    <x v="5"/>
  </r>
  <r>
    <n v="4"/>
    <n v="89.56"/>
    <x v="3"/>
    <x v="3"/>
  </r>
  <r>
    <n v="0"/>
    <n v="62.66"/>
    <x v="1"/>
    <x v="3"/>
  </r>
  <r>
    <n v="0"/>
    <n v="89.45"/>
    <x v="2"/>
    <x v="0"/>
  </r>
  <r>
    <n v="0"/>
    <n v="62.48"/>
    <x v="0"/>
    <x v="1"/>
  </r>
  <r>
    <n v="2"/>
    <n v="89.07"/>
    <x v="1"/>
    <x v="5"/>
  </r>
  <r>
    <n v="2"/>
    <n v="75.760000000000005"/>
    <x v="0"/>
    <x v="2"/>
  </r>
  <r>
    <n v="0"/>
    <n v="82.95"/>
    <x v="1"/>
    <x v="1"/>
  </r>
  <r>
    <n v="4"/>
    <n v="50.15"/>
    <x v="2"/>
    <x v="2"/>
  </r>
  <r>
    <n v="3"/>
    <n v="88.9"/>
    <x v="3"/>
    <x v="0"/>
  </r>
  <r>
    <n v="3"/>
    <n v="75.709999999999994"/>
    <x v="1"/>
    <x v="5"/>
  </r>
  <r>
    <n v="1"/>
    <n v="62.28"/>
    <x v="1"/>
    <x v="3"/>
  </r>
  <r>
    <n v="4"/>
    <n v="62.23"/>
    <x v="2"/>
    <x v="3"/>
  </r>
  <r>
    <n v="2"/>
    <n v="50.11"/>
    <x v="1"/>
    <x v="5"/>
  </r>
  <r>
    <n v="0"/>
    <n v="70.69"/>
    <x v="1"/>
    <x v="1"/>
  </r>
  <r>
    <n v="1"/>
    <n v="88.75"/>
    <x v="3"/>
    <x v="2"/>
  </r>
  <r>
    <n v="3"/>
    <n v="55.42"/>
    <x v="2"/>
    <x v="2"/>
  </r>
  <r>
    <n v="2"/>
    <n v="62.15"/>
    <x v="1"/>
    <x v="0"/>
  </r>
  <r>
    <n v="2"/>
    <n v="82.9"/>
    <x v="3"/>
    <x v="4"/>
  </r>
  <r>
    <n v="0"/>
    <n v="82.58"/>
    <x v="1"/>
    <x v="0"/>
  </r>
  <r>
    <n v="3"/>
    <n v="61.99"/>
    <x v="3"/>
    <x v="4"/>
  </r>
  <r>
    <n v="4"/>
    <n v="70.58"/>
    <x v="3"/>
    <x v="5"/>
  </r>
  <r>
    <n v="2"/>
    <n v="70.48"/>
    <x v="1"/>
    <x v="0"/>
  </r>
  <r>
    <n v="0"/>
    <n v="75.459999999999994"/>
    <x v="3"/>
    <x v="0"/>
  </r>
  <r>
    <n v="4"/>
    <n v="82.47"/>
    <x v="1"/>
    <x v="3"/>
  </r>
  <r>
    <n v="3"/>
    <n v="75.23"/>
    <x v="1"/>
    <x v="0"/>
  </r>
  <r>
    <n v="2"/>
    <n v="82.41"/>
    <x v="3"/>
    <x v="2"/>
  </r>
  <r>
    <n v="4"/>
    <n v="88.71"/>
    <x v="3"/>
    <x v="5"/>
  </r>
  <r>
    <n v="4"/>
    <n v="88.38"/>
    <x v="0"/>
    <x v="3"/>
  </r>
  <r>
    <n v="1"/>
    <n v="55.21"/>
    <x v="1"/>
    <x v="3"/>
  </r>
  <r>
    <n v="2"/>
    <n v="88.35"/>
    <x v="0"/>
    <x v="3"/>
  </r>
  <r>
    <n v="2"/>
    <n v="55.19"/>
    <x v="2"/>
    <x v="5"/>
  </r>
  <r>
    <n v="1"/>
    <n v="88.09"/>
    <x v="1"/>
    <x v="1"/>
  </r>
  <r>
    <n v="3"/>
    <n v="50.05"/>
    <x v="1"/>
    <x v="1"/>
  </r>
  <r>
    <n v="0"/>
    <n v="87.87"/>
    <x v="1"/>
    <x v="5"/>
  </r>
  <r>
    <n v="4"/>
    <n v="75.19"/>
    <x v="0"/>
    <x v="2"/>
  </r>
  <r>
    <n v="1"/>
    <n v="61.87"/>
    <x v="2"/>
    <x v="2"/>
  </r>
  <r>
    <n v="0"/>
    <n v="75.03"/>
    <x v="1"/>
    <x v="4"/>
  </r>
  <r>
    <n v="1"/>
    <n v="61.71"/>
    <x v="0"/>
    <x v="1"/>
  </r>
  <r>
    <n v="2"/>
    <n v="69.849999999999994"/>
    <x v="2"/>
    <x v="2"/>
  </r>
  <r>
    <n v="4"/>
    <n v="75.010000000000005"/>
    <x v="1"/>
    <x v="3"/>
  </r>
  <r>
    <n v="0"/>
    <n v="69.67"/>
    <x v="2"/>
    <x v="3"/>
  </r>
  <r>
    <n v="0"/>
    <n v="55.14"/>
    <x v="3"/>
    <x v="3"/>
  </r>
  <r>
    <n v="0"/>
    <n v="54.93"/>
    <x v="3"/>
    <x v="3"/>
  </r>
  <r>
    <n v="0"/>
    <n v="50.01"/>
    <x v="3"/>
    <x v="1"/>
  </r>
  <r>
    <n v="0"/>
    <n v="87.81"/>
    <x v="3"/>
    <x v="0"/>
  </r>
  <r>
    <n v="1"/>
    <n v="74.47"/>
    <x v="2"/>
    <x v="4"/>
  </r>
  <r>
    <n v="4"/>
    <n v="69.45"/>
    <x v="1"/>
    <x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s v="PID0001"/>
    <x v="0"/>
    <x v="0"/>
    <s v="2023-01-01"/>
    <s v="Sunday"/>
    <x v="0"/>
    <n v="71"/>
    <n v="0"/>
    <n v="2"/>
    <n v="69.209999999999994"/>
    <n v="11.7"/>
    <n v="14.47"/>
    <m/>
    <s v="ACL Tear"/>
    <m/>
    <m/>
    <n v="0"/>
    <n v="3"/>
    <s v="ACL"/>
    <n v="29"/>
    <n v="188"/>
    <n v="79"/>
    <s v="Spain"/>
    <n v="66.099999999999994"/>
    <n v="7.58"/>
    <n v="1.08"/>
  </r>
  <r>
    <s v="PID0002"/>
    <x v="1"/>
    <x v="1"/>
    <s v="2023-01-02"/>
    <s v="Friday"/>
    <x v="1"/>
    <n v="34"/>
    <n v="2"/>
    <n v="6"/>
    <n v="94.97"/>
    <n v="19.899999999999999"/>
    <n v="6.66"/>
    <m/>
    <s v="Ankle Sprain"/>
    <d v="2023-04-09T00:00:00"/>
    <n v="57"/>
    <n v="0"/>
    <n v="2"/>
    <s v="None"/>
    <n v="27"/>
    <n v="195"/>
    <n v="86"/>
    <s v="UK"/>
    <n v="63"/>
    <n v="6.16"/>
    <n v="0.65"/>
  </r>
  <r>
    <s v="PID0003"/>
    <x v="1"/>
    <x v="0"/>
    <s v="2023-01-03"/>
    <s v="Sunday"/>
    <x v="1"/>
    <n v="91"/>
    <n v="2"/>
    <n v="2"/>
    <n v="68.989999999999995"/>
    <n v="11.6"/>
    <n v="12.71"/>
    <d v="2023-08-16T00:00:00"/>
    <s v="Hamstring Strain"/>
    <m/>
    <m/>
    <n v="0"/>
    <n v="0"/>
    <s v="ACL"/>
    <n v="24"/>
    <n v="197"/>
    <n v="74"/>
    <s v="Brazil"/>
    <n v="63.7"/>
    <n v="7.9"/>
    <n v="1.31"/>
  </r>
  <r>
    <s v="PID0004"/>
    <x v="0"/>
    <x v="0"/>
    <s v="2023-01-04"/>
    <s v="Thursday"/>
    <x v="0"/>
    <n v="80"/>
    <n v="0"/>
    <n v="5"/>
    <n v="87.71"/>
    <n v="17.899999999999999"/>
    <n v="12.09"/>
    <m/>
    <s v="Ankle Sprain"/>
    <d v="2023-02-16T00:00:00"/>
    <m/>
    <n v="0"/>
    <n v="4"/>
    <s v="Hamstring"/>
    <n v="30"/>
    <n v="198"/>
    <n v="65"/>
    <s v="Germany"/>
    <n v="59.9"/>
    <n v="8.17"/>
    <n v="1.1399999999999999"/>
  </r>
  <r>
    <s v="PID0005"/>
    <x v="0"/>
    <x v="1"/>
    <s v="2023-01-05"/>
    <s v="Monday"/>
    <x v="1"/>
    <n v="40"/>
    <n v="4"/>
    <n v="5"/>
    <n v="87.7"/>
    <n v="17.8"/>
    <n v="9.74"/>
    <m/>
    <s v="ACL Tear"/>
    <d v="2023-01-17T00:00:00"/>
    <m/>
    <n v="0"/>
    <n v="4"/>
    <s v="ACL"/>
    <n v="24"/>
    <n v="196"/>
    <n v="73"/>
    <s v="Germany"/>
    <n v="47.8"/>
    <n v="6.91"/>
    <n v="0.89"/>
  </r>
  <r>
    <s v="PID0006"/>
    <x v="1"/>
    <x v="1"/>
    <s v="2023-01-06"/>
    <s v="Sunday"/>
    <x v="1"/>
    <n v="94"/>
    <n v="0"/>
    <n v="2"/>
    <n v="68.98"/>
    <n v="11.6"/>
    <n v="5.58"/>
    <m/>
    <s v="Ankle Sprain"/>
    <m/>
    <n v="22"/>
    <n v="0"/>
    <n v="0"/>
    <s v="Hamstring"/>
    <n v="34"/>
    <n v="194"/>
    <n v="70"/>
    <s v="Germany"/>
    <n v="67.2"/>
    <n v="9.86"/>
    <n v="1.17"/>
  </r>
  <r>
    <s v="PID0007"/>
    <x v="0"/>
    <x v="1"/>
    <s v="2023-01-07"/>
    <s v="Monday"/>
    <x v="0"/>
    <n v="94"/>
    <n v="1"/>
    <n v="6"/>
    <n v="94.84"/>
    <n v="19.899999999999999"/>
    <n v="5.75"/>
    <m/>
    <s v="Ankle Sprain"/>
    <m/>
    <m/>
    <n v="0"/>
    <n v="0"/>
    <s v="Ankle"/>
    <n v="27"/>
    <n v="166"/>
    <n v="98"/>
    <s v="Argentina"/>
    <n v="60.1"/>
    <n v="9.64"/>
    <n v="0.76"/>
  </r>
  <r>
    <s v="PID0008"/>
    <x v="2"/>
    <x v="2"/>
    <s v="2023-01-08"/>
    <s v="Sunday"/>
    <x v="1"/>
    <n v="43"/>
    <n v="0"/>
    <n v="2"/>
    <n v="68.98"/>
    <n v="11.5"/>
    <n v="13.52"/>
    <d v="2023-11-17T00:00:00"/>
    <s v="ACL Tear"/>
    <m/>
    <m/>
    <n v="0"/>
    <n v="4"/>
    <s v="Hamstring"/>
    <n v="27"/>
    <n v="186"/>
    <n v="68"/>
    <s v="Brazil"/>
    <n v="56.8"/>
    <n v="8.89"/>
    <n v="0.85"/>
  </r>
  <r>
    <s v="PID0009"/>
    <x v="3"/>
    <x v="0"/>
    <s v="2023-01-09"/>
    <s v="Monday"/>
    <x v="0"/>
    <n v="22"/>
    <n v="2"/>
    <n v="1"/>
    <n v="61.65"/>
    <n v="9.3000000000000007"/>
    <n v="14.9"/>
    <m/>
    <s v="None"/>
    <m/>
    <m/>
    <n v="0"/>
    <n v="2"/>
    <s v="ACL"/>
    <n v="21"/>
    <n v="187"/>
    <n v="85"/>
    <s v="USA"/>
    <n v="43.3"/>
    <n v="8.1300000000000008"/>
    <n v="1.42"/>
  </r>
  <r>
    <s v="PID0010"/>
    <x v="1"/>
    <x v="0"/>
    <s v="2023-01-10"/>
    <s v="Thursday"/>
    <x v="0"/>
    <n v="41"/>
    <n v="0"/>
    <n v="3"/>
    <n v="74.290000000000006"/>
    <n v="13.8"/>
    <n v="11.76"/>
    <m/>
    <s v="Ankle Sprain"/>
    <m/>
    <m/>
    <n v="0"/>
    <n v="4"/>
    <s v="None"/>
    <n v="37"/>
    <n v="181"/>
    <n v="75"/>
    <s v="Germany"/>
    <n v="53.4"/>
    <n v="9.48"/>
    <n v="0.79"/>
  </r>
  <r>
    <s v="PID0011"/>
    <x v="1"/>
    <x v="1"/>
    <s v="2023-01-11"/>
    <s v="Wednesday"/>
    <x v="0"/>
    <n v="72"/>
    <n v="4"/>
    <n v="6"/>
    <n v="94.62"/>
    <n v="19.899999999999999"/>
    <n v="9.4600000000000009"/>
    <m/>
    <s v="ACL Tear"/>
    <m/>
    <m/>
    <n v="0"/>
    <n v="0"/>
    <s v="Ankle"/>
    <n v="21"/>
    <n v="173"/>
    <n v="64"/>
    <s v="Germany"/>
    <n v="53.8"/>
    <n v="6.52"/>
    <n v="0.97"/>
  </r>
  <r>
    <s v="PID0012"/>
    <x v="2"/>
    <x v="0"/>
    <s v="2023-01-12"/>
    <s v="Monday"/>
    <x v="1"/>
    <n v="21"/>
    <n v="3"/>
    <n v="6"/>
    <n v="94.57"/>
    <n v="19.8"/>
    <n v="11.48"/>
    <m/>
    <s v="ACL Tear"/>
    <m/>
    <m/>
    <n v="0"/>
    <n v="3"/>
    <s v="Ankle"/>
    <n v="39"/>
    <n v="166"/>
    <n v="69"/>
    <s v="USA"/>
    <n v="65.900000000000006"/>
    <n v="9.16"/>
    <n v="1.39"/>
  </r>
  <r>
    <s v="PID0013"/>
    <x v="1"/>
    <x v="0"/>
    <s v="2023-01-13"/>
    <s v="Tuesday"/>
    <x v="1"/>
    <n v="49"/>
    <n v="0"/>
    <n v="4"/>
    <n v="82.2"/>
    <n v="15.7"/>
    <n v="10.94"/>
    <m/>
    <s v="Hamstring Strain"/>
    <m/>
    <n v="82"/>
    <n v="1"/>
    <n v="1"/>
    <s v="Hamstring"/>
    <n v="24"/>
    <n v="196"/>
    <n v="62"/>
    <s v="Brazil"/>
    <n v="56.4"/>
    <n v="6.5"/>
    <n v="1.21"/>
  </r>
  <r>
    <s v="PID0014"/>
    <x v="2"/>
    <x v="3"/>
    <s v="2023-01-14"/>
    <s v="Wednesday"/>
    <x v="1"/>
    <n v="57"/>
    <n v="0"/>
    <n v="0"/>
    <n v="54.93"/>
    <n v="6.5"/>
    <n v="8.84"/>
    <d v="2023-10-09T00:00:00"/>
    <s v="ACL Tear"/>
    <m/>
    <m/>
    <n v="0"/>
    <n v="3"/>
    <s v="None"/>
    <n v="39"/>
    <n v="181"/>
    <n v="72"/>
    <s v="Brazil"/>
    <n v="51.4"/>
    <n v="9.18"/>
    <n v="0.56000000000000005"/>
  </r>
  <r>
    <s v="PID0015"/>
    <x v="1"/>
    <x v="1"/>
    <s v="2023-01-15"/>
    <s v="Wednesday"/>
    <x v="0"/>
    <n v="21"/>
    <n v="4"/>
    <n v="3"/>
    <n v="74.23"/>
    <n v="13.8"/>
    <n v="5.66"/>
    <m/>
    <s v="Hamstring Strain"/>
    <d v="2023-03-05T00:00:00"/>
    <n v="86"/>
    <n v="0"/>
    <n v="3"/>
    <s v="None"/>
    <n v="18"/>
    <n v="164"/>
    <n v="89"/>
    <s v="Spain"/>
    <n v="69.3"/>
    <n v="7.1"/>
    <n v="0.65"/>
  </r>
  <r>
    <s v="PID0016"/>
    <x v="0"/>
    <x v="0"/>
    <s v="2023-01-16"/>
    <s v="Monday"/>
    <x v="0"/>
    <n v="83"/>
    <n v="2"/>
    <n v="5"/>
    <n v="87.67"/>
    <n v="17.8"/>
    <n v="13.22"/>
    <d v="2023-10-14T00:00:00"/>
    <s v="Hamstring Strain"/>
    <d v="2023-06-02T00:00:00"/>
    <m/>
    <n v="0"/>
    <n v="0"/>
    <s v="ACL"/>
    <n v="29"/>
    <n v="161"/>
    <n v="65"/>
    <s v="Spain"/>
    <n v="43.3"/>
    <n v="9.51"/>
    <n v="0.51"/>
  </r>
  <r>
    <s v="PID0017"/>
    <x v="3"/>
    <x v="1"/>
    <s v="2023-01-17"/>
    <s v="Tuesday"/>
    <x v="1"/>
    <n v="79"/>
    <n v="4"/>
    <n v="6"/>
    <n v="94.51"/>
    <n v="19.8"/>
    <n v="8.7200000000000006"/>
    <m/>
    <s v="ACL Tear"/>
    <m/>
    <n v="40"/>
    <n v="0"/>
    <n v="4"/>
    <s v="ACL"/>
    <n v="30"/>
    <n v="186"/>
    <n v="76"/>
    <s v="Spain"/>
    <n v="52.7"/>
    <n v="9.7799999999999994"/>
    <n v="1.1299999999999999"/>
  </r>
  <r>
    <s v="PID0018"/>
    <x v="3"/>
    <x v="2"/>
    <s v="2023-01-18"/>
    <s v="Tuesday"/>
    <x v="0"/>
    <n v="40"/>
    <n v="4"/>
    <n v="2"/>
    <n v="68.790000000000006"/>
    <n v="11.4"/>
    <n v="13.19"/>
    <m/>
    <s v="Ankle Sprain"/>
    <m/>
    <m/>
    <n v="0"/>
    <n v="2"/>
    <s v="ACL"/>
    <n v="27"/>
    <n v="180"/>
    <n v="78"/>
    <s v="Brazil"/>
    <n v="41.3"/>
    <n v="6.6"/>
    <n v="0.95"/>
  </r>
  <r>
    <s v="PID0019"/>
    <x v="2"/>
    <x v="2"/>
    <s v="2023-01-19"/>
    <s v="Saturday"/>
    <x v="1"/>
    <n v="52"/>
    <n v="4"/>
    <n v="3"/>
    <n v="73.97"/>
    <n v="13.7"/>
    <n v="7.53"/>
    <m/>
    <s v="ACL Tear"/>
    <d v="2023-09-18T00:00:00"/>
    <n v="84"/>
    <n v="0"/>
    <n v="3"/>
    <s v="ACL"/>
    <n v="32"/>
    <n v="197"/>
    <n v="94"/>
    <s v="UK"/>
    <n v="62.2"/>
    <n v="7.85"/>
    <n v="0.63"/>
  </r>
  <r>
    <s v="PID0020"/>
    <x v="0"/>
    <x v="0"/>
    <s v="2023-01-20"/>
    <s v="Friday"/>
    <x v="1"/>
    <n v="77"/>
    <n v="4"/>
    <n v="4"/>
    <n v="81.72"/>
    <n v="15.6"/>
    <n v="5.01"/>
    <m/>
    <s v="ACL Tear"/>
    <m/>
    <m/>
    <n v="0"/>
    <n v="4"/>
    <s v="Hamstring"/>
    <n v="30"/>
    <n v="174"/>
    <n v="85"/>
    <s v="Germany"/>
    <n v="67.5"/>
    <n v="9.92"/>
    <n v="1.46"/>
  </r>
  <r>
    <s v="PID0021"/>
    <x v="2"/>
    <x v="0"/>
    <s v="2023-01-21"/>
    <s v="Sunday"/>
    <x v="1"/>
    <n v="41"/>
    <n v="1"/>
    <n v="5"/>
    <n v="87.38"/>
    <n v="17.8"/>
    <n v="6.59"/>
    <m/>
    <s v="None"/>
    <d v="2023-07-13T00:00:00"/>
    <n v="77"/>
    <n v="1"/>
    <n v="2"/>
    <s v="Hamstring"/>
    <n v="39"/>
    <n v="180"/>
    <n v="64"/>
    <s v="UK"/>
    <n v="48.4"/>
    <n v="7.93"/>
    <n v="1.03"/>
  </r>
  <r>
    <s v="PID0022"/>
    <x v="3"/>
    <x v="0"/>
    <s v="2023-01-22"/>
    <s v="Wednesday"/>
    <x v="1"/>
    <n v="68"/>
    <n v="1"/>
    <n v="0"/>
    <n v="54.8"/>
    <n v="6.4"/>
    <n v="9.69"/>
    <m/>
    <s v="Hamstring Strain"/>
    <d v="2023-04-18T00:00:00"/>
    <m/>
    <n v="0"/>
    <n v="3"/>
    <s v="Hamstring"/>
    <n v="39"/>
    <n v="169"/>
    <n v="88"/>
    <s v="USA"/>
    <n v="65.8"/>
    <n v="9.4499999999999993"/>
    <n v="0.74"/>
  </r>
  <r>
    <s v="PID0023"/>
    <x v="2"/>
    <x v="1"/>
    <s v="2023-01-23"/>
    <s v="Tuesday"/>
    <x v="1"/>
    <n v="78"/>
    <n v="2"/>
    <n v="0"/>
    <n v="54.76"/>
    <n v="6.4"/>
    <n v="14.44"/>
    <m/>
    <s v="None"/>
    <m/>
    <m/>
    <n v="0"/>
    <n v="2"/>
    <s v="ACL"/>
    <n v="38"/>
    <n v="182"/>
    <n v="96"/>
    <s v="Brazil"/>
    <n v="48.8"/>
    <n v="8.35"/>
    <n v="1"/>
  </r>
  <r>
    <s v="PID0024"/>
    <x v="2"/>
    <x v="0"/>
    <s v="2023-01-24"/>
    <s v="Thursday"/>
    <x v="1"/>
    <n v="61"/>
    <n v="0"/>
    <n v="4"/>
    <n v="81.45"/>
    <n v="15.6"/>
    <n v="6.02"/>
    <m/>
    <s v="None"/>
    <d v="2023-08-09T00:00:00"/>
    <m/>
    <n v="0"/>
    <n v="4"/>
    <s v="Ankle"/>
    <n v="39"/>
    <n v="198"/>
    <n v="79"/>
    <s v="Germany"/>
    <n v="67.3"/>
    <n v="7.5"/>
    <n v="1.18"/>
  </r>
  <r>
    <s v="PID0025"/>
    <x v="0"/>
    <x v="2"/>
    <s v="2023-01-25"/>
    <s v="Sunday"/>
    <x v="1"/>
    <n v="79"/>
    <n v="4"/>
    <n v="4"/>
    <n v="81.45"/>
    <n v="15.5"/>
    <n v="13.54"/>
    <m/>
    <s v="Ankle Sprain"/>
    <d v="2023-02-07T00:00:00"/>
    <n v="13"/>
    <n v="0"/>
    <n v="1"/>
    <s v="None"/>
    <n v="26"/>
    <n v="164"/>
    <n v="80"/>
    <s v="UK"/>
    <n v="62.6"/>
    <n v="7.14"/>
    <n v="0.57999999999999996"/>
  </r>
  <r>
    <s v="PID0026"/>
    <x v="1"/>
    <x v="2"/>
    <s v="2023-01-26"/>
    <s v="Wednesday"/>
    <x v="0"/>
    <n v="34"/>
    <n v="0"/>
    <n v="2"/>
    <n v="68.58"/>
    <n v="11.4"/>
    <n v="10.27"/>
    <m/>
    <s v="Ankle Sprain"/>
    <m/>
    <m/>
    <n v="0"/>
    <n v="4"/>
    <s v="None"/>
    <n v="26"/>
    <n v="160"/>
    <n v="69"/>
    <s v="Germany"/>
    <n v="64.099999999999994"/>
    <n v="6.81"/>
    <n v="0.77"/>
  </r>
  <r>
    <s v="PID0027"/>
    <x v="1"/>
    <x v="1"/>
    <s v="2023-01-27"/>
    <s v="Friday"/>
    <x v="1"/>
    <n v="81"/>
    <n v="0"/>
    <n v="6"/>
    <n v="94.34"/>
    <n v="19.8"/>
    <n v="13.26"/>
    <d v="2023-07-15T00:00:00"/>
    <s v="Hamstring Strain"/>
    <m/>
    <m/>
    <n v="0"/>
    <n v="0"/>
    <s v="Ankle"/>
    <n v="32"/>
    <n v="172"/>
    <n v="64"/>
    <s v="UK"/>
    <n v="40.5"/>
    <n v="9.0500000000000007"/>
    <n v="1.31"/>
  </r>
  <r>
    <s v="PID0028"/>
    <x v="2"/>
    <x v="1"/>
    <s v="2023-01-28"/>
    <s v="Friday"/>
    <x v="1"/>
    <n v="81"/>
    <n v="2"/>
    <n v="0"/>
    <n v="54.64"/>
    <n v="6.4"/>
    <n v="7.98"/>
    <m/>
    <s v="Hamstring Strain"/>
    <m/>
    <m/>
    <n v="0"/>
    <n v="2"/>
    <s v="ACL"/>
    <n v="27"/>
    <n v="180"/>
    <n v="95"/>
    <s v="Brazil"/>
    <n v="68.900000000000006"/>
    <n v="7.55"/>
    <n v="0.96"/>
  </r>
  <r>
    <s v="PID0029"/>
    <x v="3"/>
    <x v="0"/>
    <s v="2023-01-29"/>
    <s v="Sunday"/>
    <x v="1"/>
    <n v="66"/>
    <n v="4"/>
    <n v="5"/>
    <n v="87.38"/>
    <n v="17.8"/>
    <n v="13.4"/>
    <m/>
    <s v="Hamstring Strain"/>
    <m/>
    <m/>
    <n v="1"/>
    <n v="1"/>
    <s v="ACL"/>
    <n v="27"/>
    <n v="185"/>
    <n v="65"/>
    <s v="Argentina"/>
    <n v="61.8"/>
    <n v="8.0500000000000007"/>
    <n v="1.05"/>
  </r>
  <r>
    <s v="PID0030"/>
    <x v="3"/>
    <x v="1"/>
    <s v="2023-01-30"/>
    <s v="Friday"/>
    <x v="0"/>
    <n v="81"/>
    <n v="4"/>
    <n v="3"/>
    <n v="73.86"/>
    <n v="13.6"/>
    <n v="12.73"/>
    <m/>
    <s v="ACL Tear"/>
    <m/>
    <n v="28"/>
    <n v="0"/>
    <n v="2"/>
    <s v="None"/>
    <n v="25"/>
    <n v="180"/>
    <n v="85"/>
    <s v="Germany"/>
    <n v="49.1"/>
    <n v="7.97"/>
    <n v="0.93"/>
  </r>
  <r>
    <s v="PID0031"/>
    <x v="3"/>
    <x v="0"/>
    <s v="2023-01-31"/>
    <s v="Monday"/>
    <x v="0"/>
    <n v="70"/>
    <n v="3"/>
    <n v="5"/>
    <n v="87.18"/>
    <n v="17.7"/>
    <n v="7.3"/>
    <d v="2023-07-15T00:00:00"/>
    <s v="ACL Tear"/>
    <d v="2023-07-09T00:00:00"/>
    <n v="79"/>
    <n v="1"/>
    <n v="2"/>
    <s v="Ankle"/>
    <n v="33"/>
    <n v="177"/>
    <n v="63"/>
    <s v="Argentina"/>
    <n v="64.900000000000006"/>
    <n v="8.31"/>
    <n v="0.54"/>
  </r>
  <r>
    <s v="PID0032"/>
    <x v="0"/>
    <x v="0"/>
    <s v="2023-02-01"/>
    <s v="Wednesday"/>
    <x v="1"/>
    <n v="74"/>
    <n v="0"/>
    <n v="1"/>
    <n v="61.64"/>
    <n v="9.1999999999999993"/>
    <n v="6.31"/>
    <d v="2023-09-17T00:00:00"/>
    <s v="None"/>
    <m/>
    <n v="22"/>
    <n v="0"/>
    <n v="3"/>
    <s v="None"/>
    <n v="34"/>
    <n v="196"/>
    <n v="98"/>
    <s v="USA"/>
    <n v="48.4"/>
    <n v="9.4600000000000009"/>
    <n v="0.67"/>
  </r>
  <r>
    <s v="PID0033"/>
    <x v="0"/>
    <x v="2"/>
    <s v="2023-02-02"/>
    <s v="Monday"/>
    <x v="0"/>
    <n v="83"/>
    <n v="0"/>
    <n v="1"/>
    <n v="61.37"/>
    <n v="9.1999999999999993"/>
    <n v="13.68"/>
    <m/>
    <s v="Ankle Sprain"/>
    <m/>
    <n v="32"/>
    <n v="0"/>
    <n v="0"/>
    <s v="Ankle"/>
    <n v="22"/>
    <n v="191"/>
    <n v="98"/>
    <s v="Brazil"/>
    <n v="66.2"/>
    <n v="9.92"/>
    <n v="0.95"/>
  </r>
  <r>
    <s v="PID0034"/>
    <x v="3"/>
    <x v="1"/>
    <s v="2023-02-03"/>
    <s v="Monday"/>
    <x v="0"/>
    <n v="22"/>
    <n v="1"/>
    <n v="4"/>
    <n v="81.31"/>
    <n v="15.5"/>
    <n v="14.63"/>
    <m/>
    <s v="ACL Tear"/>
    <d v="2023-09-16T00:00:00"/>
    <m/>
    <n v="0"/>
    <n v="2"/>
    <s v="None"/>
    <n v="21"/>
    <n v="195"/>
    <n v="94"/>
    <s v="Argentina"/>
    <n v="43.4"/>
    <n v="7.63"/>
    <n v="0.71"/>
  </r>
  <r>
    <s v="PID0035"/>
    <x v="2"/>
    <x v="1"/>
    <s v="2023-02-04"/>
    <s v="Wednesday"/>
    <x v="0"/>
    <n v="70"/>
    <n v="3"/>
    <n v="2"/>
    <n v="68.239999999999995"/>
    <n v="11.4"/>
    <n v="5.31"/>
    <m/>
    <s v="None"/>
    <m/>
    <m/>
    <n v="1"/>
    <n v="4"/>
    <s v="Hamstring"/>
    <n v="35"/>
    <n v="176"/>
    <n v="60"/>
    <s v="Brazil"/>
    <n v="61.1"/>
    <n v="9.31"/>
    <n v="0.55000000000000004"/>
  </r>
  <r>
    <s v="PID0036"/>
    <x v="2"/>
    <x v="2"/>
    <s v="2023-02-05"/>
    <s v="Thursday"/>
    <x v="1"/>
    <n v="26"/>
    <n v="1"/>
    <n v="1"/>
    <n v="61.28"/>
    <n v="9.1999999999999993"/>
    <n v="12.31"/>
    <m/>
    <s v="ACL Tear"/>
    <m/>
    <n v="84"/>
    <n v="0"/>
    <n v="4"/>
    <s v="Hamstring"/>
    <n v="36"/>
    <n v="194"/>
    <n v="83"/>
    <s v="USA"/>
    <n v="56.2"/>
    <n v="9.06"/>
    <n v="1.34"/>
  </r>
  <r>
    <s v="PID0037"/>
    <x v="0"/>
    <x v="2"/>
    <s v="2023-02-06"/>
    <s v="Sunday"/>
    <x v="0"/>
    <n v="40"/>
    <n v="1"/>
    <n v="0"/>
    <n v="54.13"/>
    <n v="6.4"/>
    <n v="14.1"/>
    <m/>
    <s v="Hamstring Strain"/>
    <d v="2023-09-25T00:00:00"/>
    <m/>
    <n v="0"/>
    <n v="3"/>
    <s v="Hamstring"/>
    <n v="21"/>
    <n v="170"/>
    <n v="95"/>
    <s v="Spain"/>
    <n v="42.9"/>
    <n v="8.2899999999999991"/>
    <n v="1.48"/>
  </r>
  <r>
    <s v="PID0038"/>
    <x v="2"/>
    <x v="0"/>
    <s v="2023-02-07"/>
    <s v="Friday"/>
    <x v="1"/>
    <n v="92"/>
    <n v="1"/>
    <n v="5"/>
    <n v="87.13"/>
    <n v="17.5"/>
    <n v="13.57"/>
    <m/>
    <s v="Ankle Sprain"/>
    <m/>
    <n v="10"/>
    <n v="0"/>
    <n v="0"/>
    <s v="Ankle"/>
    <n v="24"/>
    <n v="180"/>
    <n v="65"/>
    <s v="Brazil"/>
    <n v="47.3"/>
    <n v="9.82"/>
    <n v="1.29"/>
  </r>
  <r>
    <s v="PID0039"/>
    <x v="3"/>
    <x v="0"/>
    <s v="2023-02-08"/>
    <s v="Wednesday"/>
    <x v="0"/>
    <n v="58"/>
    <n v="2"/>
    <n v="5"/>
    <n v="87.02"/>
    <n v="17.399999999999999"/>
    <n v="14.65"/>
    <d v="2023-07-14T00:00:00"/>
    <s v="Hamstring Strain"/>
    <d v="2023-09-01T00:00:00"/>
    <m/>
    <n v="0"/>
    <n v="0"/>
    <s v="Ankle"/>
    <n v="27"/>
    <n v="185"/>
    <n v="90"/>
    <s v="Spain"/>
    <n v="40.4"/>
    <n v="6.8"/>
    <n v="1.35"/>
  </r>
  <r>
    <s v="PID0040"/>
    <x v="0"/>
    <x v="2"/>
    <s v="2023-02-09"/>
    <s v="Saturday"/>
    <x v="1"/>
    <n v="37"/>
    <n v="2"/>
    <n v="4"/>
    <n v="81.19"/>
    <n v="15.5"/>
    <n v="12.6"/>
    <d v="2023-12-04T00:00:00"/>
    <s v="Ankle Sprain"/>
    <m/>
    <n v="63"/>
    <n v="0"/>
    <n v="4"/>
    <s v="None"/>
    <n v="35"/>
    <n v="163"/>
    <n v="79"/>
    <s v="UK"/>
    <n v="54.1"/>
    <n v="6.44"/>
    <n v="0.74"/>
  </r>
  <r>
    <s v="PID0041"/>
    <x v="2"/>
    <x v="1"/>
    <s v="2023-02-10"/>
    <s v="Monday"/>
    <x v="1"/>
    <n v="23"/>
    <n v="1"/>
    <n v="6"/>
    <n v="94.2"/>
    <n v="19.8"/>
    <n v="9.42"/>
    <m/>
    <s v="None"/>
    <m/>
    <n v="80"/>
    <n v="0"/>
    <n v="1"/>
    <s v="Hamstring"/>
    <n v="36"/>
    <n v="193"/>
    <n v="83"/>
    <s v="Brazil"/>
    <n v="49"/>
    <n v="9.42"/>
    <n v="1.46"/>
  </r>
  <r>
    <s v="PID0042"/>
    <x v="0"/>
    <x v="1"/>
    <s v="2023-02-11"/>
    <s v="Wednesday"/>
    <x v="1"/>
    <n v="79"/>
    <n v="3"/>
    <n v="6"/>
    <n v="94.13"/>
    <n v="19.600000000000001"/>
    <n v="8.1199999999999992"/>
    <m/>
    <s v="Ankle Sprain"/>
    <m/>
    <m/>
    <n v="0"/>
    <n v="3"/>
    <s v="Hamstring"/>
    <n v="21"/>
    <n v="177"/>
    <n v="84"/>
    <s v="Brazil"/>
    <n v="58"/>
    <n v="7.76"/>
    <n v="0.7"/>
  </r>
  <r>
    <s v="PID0043"/>
    <x v="2"/>
    <x v="1"/>
    <s v="2023-02-12"/>
    <s v="Tuesday"/>
    <x v="1"/>
    <n v="33"/>
    <n v="0"/>
    <n v="3"/>
    <n v="73.83"/>
    <n v="13.6"/>
    <n v="8.2100000000000009"/>
    <m/>
    <s v="ACL Tear"/>
    <m/>
    <m/>
    <n v="0"/>
    <n v="3"/>
    <s v="Hamstring"/>
    <n v="27"/>
    <n v="199"/>
    <n v="95"/>
    <s v="Brazil"/>
    <n v="48.9"/>
    <n v="9.39"/>
    <n v="1.45"/>
  </r>
  <r>
    <s v="PID0044"/>
    <x v="0"/>
    <x v="2"/>
    <s v="2023-02-13"/>
    <s v="Thursday"/>
    <x v="1"/>
    <n v="28"/>
    <n v="3"/>
    <n v="4"/>
    <n v="81.099999999999994"/>
    <n v="15.5"/>
    <n v="12.24"/>
    <d v="2023-05-17T00:00:00"/>
    <s v="Hamstring Strain"/>
    <d v="2023-03-20T00:00:00"/>
    <n v="24"/>
    <n v="0"/>
    <n v="4"/>
    <s v="Ankle"/>
    <n v="18"/>
    <n v="194"/>
    <n v="80"/>
    <s v="Brazil"/>
    <n v="49"/>
    <n v="9.57"/>
    <n v="1.49"/>
  </r>
  <r>
    <s v="PID0045"/>
    <x v="2"/>
    <x v="2"/>
    <s v="2023-02-14"/>
    <s v="Saturday"/>
    <x v="1"/>
    <n v="72"/>
    <n v="4"/>
    <n v="3"/>
    <n v="73.63"/>
    <n v="13.6"/>
    <n v="12.46"/>
    <m/>
    <s v="ACL Tear"/>
    <d v="2023-04-25T00:00:00"/>
    <n v="74"/>
    <n v="0"/>
    <n v="4"/>
    <s v="ACL"/>
    <n v="35"/>
    <n v="188"/>
    <n v="89"/>
    <s v="Argentina"/>
    <n v="62.3"/>
    <n v="6.25"/>
    <n v="1.21"/>
  </r>
  <r>
    <s v="PID0046"/>
    <x v="0"/>
    <x v="1"/>
    <s v="2023-02-15"/>
    <s v="Saturday"/>
    <x v="0"/>
    <n v="21"/>
    <n v="2"/>
    <n v="6"/>
    <n v="93.85"/>
    <n v="19.600000000000001"/>
    <n v="7"/>
    <m/>
    <s v="ACL Tear"/>
    <d v="2023-06-17T00:00:00"/>
    <n v="85"/>
    <n v="0"/>
    <n v="1"/>
    <s v="ACL"/>
    <n v="22"/>
    <n v="188"/>
    <n v="83"/>
    <s v="Germany"/>
    <n v="41.4"/>
    <n v="9.5299999999999994"/>
    <n v="1.48"/>
  </r>
  <r>
    <s v="PID0047"/>
    <x v="3"/>
    <x v="0"/>
    <s v="2023-02-16"/>
    <s v="Wednesday"/>
    <x v="0"/>
    <n v="79"/>
    <n v="0"/>
    <n v="4"/>
    <n v="81.08"/>
    <n v="15.5"/>
    <n v="13.68"/>
    <m/>
    <s v="Hamstring Strain"/>
    <m/>
    <n v="80"/>
    <n v="1"/>
    <n v="1"/>
    <s v="Hamstring"/>
    <n v="32"/>
    <n v="197"/>
    <n v="89"/>
    <s v="Germany"/>
    <n v="67.099999999999994"/>
    <n v="7.79"/>
    <n v="1.07"/>
  </r>
  <r>
    <s v="PID0048"/>
    <x v="1"/>
    <x v="0"/>
    <s v="2023-02-17"/>
    <s v="Wednesday"/>
    <x v="0"/>
    <n v="90"/>
    <n v="0"/>
    <n v="4"/>
    <n v="80.739999999999995"/>
    <n v="15.5"/>
    <n v="12.15"/>
    <m/>
    <s v="Hamstring Strain"/>
    <m/>
    <n v="24"/>
    <n v="0"/>
    <n v="0"/>
    <s v="Ankle"/>
    <n v="34"/>
    <n v="180"/>
    <n v="81"/>
    <s v="USA"/>
    <n v="65.599999999999994"/>
    <n v="8.0399999999999991"/>
    <n v="0.76"/>
  </r>
  <r>
    <s v="PID0049"/>
    <x v="2"/>
    <x v="0"/>
    <s v="2023-02-18"/>
    <s v="Monday"/>
    <x v="0"/>
    <n v="63"/>
    <n v="4"/>
    <n v="4"/>
    <n v="80.150000000000006"/>
    <n v="15.4"/>
    <n v="10.63"/>
    <m/>
    <s v="ACL Tear"/>
    <d v="2023-08-09T00:00:00"/>
    <m/>
    <n v="0"/>
    <n v="3"/>
    <s v="Hamstring"/>
    <n v="20"/>
    <n v="172"/>
    <n v="87"/>
    <s v="Spain"/>
    <n v="60"/>
    <n v="8.51"/>
    <n v="0.94"/>
  </r>
  <r>
    <s v="PID0050"/>
    <x v="3"/>
    <x v="1"/>
    <s v="2023-02-19"/>
    <s v="Sunday"/>
    <x v="1"/>
    <n v="27"/>
    <n v="4"/>
    <n v="6"/>
    <n v="93.55"/>
    <n v="19.5"/>
    <n v="9.7200000000000006"/>
    <m/>
    <s v="ACL Tear"/>
    <m/>
    <m/>
    <n v="0"/>
    <n v="3"/>
    <s v="ACL"/>
    <n v="29"/>
    <n v="176"/>
    <n v="66"/>
    <s v="Germany"/>
    <n v="57.8"/>
    <n v="9.7100000000000009"/>
    <n v="1.0900000000000001"/>
  </r>
  <r>
    <s v="PID0051"/>
    <x v="2"/>
    <x v="1"/>
    <s v="2023-02-20"/>
    <s v="Saturday"/>
    <x v="1"/>
    <n v="66"/>
    <n v="1"/>
    <n v="3"/>
    <n v="73.510000000000005"/>
    <n v="13.4"/>
    <n v="10.43"/>
    <m/>
    <s v="None"/>
    <d v="2023-01-19T00:00:00"/>
    <m/>
    <n v="0"/>
    <n v="4"/>
    <s v="Hamstring"/>
    <n v="19"/>
    <n v="168"/>
    <n v="94"/>
    <s v="Germany"/>
    <n v="66.8"/>
    <n v="6.08"/>
    <n v="0.56999999999999995"/>
  </r>
  <r>
    <s v="PID0052"/>
    <x v="1"/>
    <x v="1"/>
    <s v="2023-02-21"/>
    <s v="Saturday"/>
    <x v="1"/>
    <n v="54"/>
    <n v="2"/>
    <n v="3"/>
    <n v="73.510000000000005"/>
    <n v="13.4"/>
    <n v="6.59"/>
    <m/>
    <s v="ACL Tear"/>
    <m/>
    <n v="30"/>
    <n v="0"/>
    <n v="0"/>
    <s v="None"/>
    <n v="18"/>
    <n v="160"/>
    <n v="87"/>
    <s v="UK"/>
    <n v="45.6"/>
    <n v="7.91"/>
    <n v="1.1200000000000001"/>
  </r>
  <r>
    <s v="PID0053"/>
    <x v="3"/>
    <x v="0"/>
    <s v="2023-02-22"/>
    <s v="Wednesday"/>
    <x v="0"/>
    <n v="55"/>
    <n v="2"/>
    <n v="4"/>
    <n v="79.8"/>
    <n v="15.4"/>
    <n v="7.04"/>
    <m/>
    <s v="Hamstring Strain"/>
    <m/>
    <m/>
    <n v="1"/>
    <n v="3"/>
    <s v="None"/>
    <n v="38"/>
    <n v="161"/>
    <n v="73"/>
    <s v="Brazil"/>
    <n v="42.4"/>
    <n v="8.75"/>
    <n v="1.48"/>
  </r>
  <r>
    <s v="PID0054"/>
    <x v="2"/>
    <x v="1"/>
    <s v="2023-02-23"/>
    <s v="Thursday"/>
    <x v="0"/>
    <n v="69"/>
    <n v="3"/>
    <n v="1"/>
    <n v="61.04"/>
    <n v="9.1999999999999993"/>
    <n v="5.91"/>
    <m/>
    <s v="Hamstring Strain"/>
    <d v="2023-08-21T00:00:00"/>
    <m/>
    <n v="0"/>
    <n v="0"/>
    <s v="ACL"/>
    <n v="34"/>
    <n v="188"/>
    <n v="69"/>
    <s v="Brazil"/>
    <n v="47.2"/>
    <n v="8.89"/>
    <n v="0.69"/>
  </r>
  <r>
    <s v="PID0055"/>
    <x v="0"/>
    <x v="1"/>
    <s v="2023-02-24"/>
    <s v="Thursday"/>
    <x v="0"/>
    <n v="23"/>
    <n v="1"/>
    <n v="2"/>
    <n v="68.2"/>
    <n v="11.3"/>
    <n v="6.54"/>
    <m/>
    <s v="ACL Tear"/>
    <m/>
    <m/>
    <n v="0"/>
    <n v="0"/>
    <s v="Ankle"/>
    <n v="39"/>
    <n v="192"/>
    <n v="75"/>
    <s v="Brazil"/>
    <n v="63.8"/>
    <n v="8.77"/>
    <n v="1.29"/>
  </r>
  <r>
    <s v="PID0056"/>
    <x v="3"/>
    <x v="1"/>
    <s v="2023-02-25"/>
    <s v="Monday"/>
    <x v="1"/>
    <n v="21"/>
    <n v="1"/>
    <n v="6"/>
    <n v="93.3"/>
    <n v="19.5"/>
    <n v="9.5399999999999991"/>
    <m/>
    <s v="ACL Tear"/>
    <m/>
    <m/>
    <n v="0"/>
    <n v="4"/>
    <s v="Hamstring"/>
    <n v="33"/>
    <n v="169"/>
    <n v="75"/>
    <s v="USA"/>
    <n v="41"/>
    <n v="6.54"/>
    <n v="1.41"/>
  </r>
  <r>
    <s v="PID0057"/>
    <x v="0"/>
    <x v="0"/>
    <s v="2023-02-26"/>
    <s v="Sunday"/>
    <x v="0"/>
    <n v="25"/>
    <n v="1"/>
    <n v="2"/>
    <n v="68.2"/>
    <n v="11.3"/>
    <n v="10.3"/>
    <d v="2023-08-03T00:00:00"/>
    <s v="ACL Tear"/>
    <m/>
    <n v="28"/>
    <n v="0"/>
    <n v="0"/>
    <s v="Hamstring"/>
    <n v="22"/>
    <n v="199"/>
    <n v="90"/>
    <s v="USA"/>
    <n v="57.5"/>
    <n v="7.2"/>
    <n v="1.44"/>
  </r>
  <r>
    <s v="PID0058"/>
    <x v="1"/>
    <x v="2"/>
    <s v="2023-02-27"/>
    <s v="Friday"/>
    <x v="0"/>
    <n v="73"/>
    <n v="1"/>
    <n v="2"/>
    <n v="68.11"/>
    <n v="11.2"/>
    <n v="5.18"/>
    <m/>
    <s v="Ankle Sprain"/>
    <m/>
    <m/>
    <n v="0"/>
    <n v="1"/>
    <s v="Ankle"/>
    <n v="32"/>
    <n v="180"/>
    <n v="84"/>
    <s v="UK"/>
    <n v="69.900000000000006"/>
    <n v="7.43"/>
    <n v="1.46"/>
  </r>
  <r>
    <s v="PID0059"/>
    <x v="1"/>
    <x v="0"/>
    <s v="2023-02-28"/>
    <s v="Sunday"/>
    <x v="1"/>
    <n v="23"/>
    <n v="2"/>
    <n v="3"/>
    <n v="73.459999999999994"/>
    <n v="13.3"/>
    <n v="12.97"/>
    <m/>
    <s v="Ankle Sprain"/>
    <m/>
    <m/>
    <n v="1"/>
    <n v="1"/>
    <s v="Hamstring"/>
    <n v="20"/>
    <n v="187"/>
    <n v="72"/>
    <s v="Spain"/>
    <n v="65.7"/>
    <n v="9.2200000000000006"/>
    <n v="1.02"/>
  </r>
  <r>
    <s v="PID0060"/>
    <x v="0"/>
    <x v="0"/>
    <s v="2023-03-01"/>
    <s v="Saturday"/>
    <x v="1"/>
    <n v="73"/>
    <n v="2"/>
    <n v="3"/>
    <n v="73.459999999999994"/>
    <n v="13.3"/>
    <n v="7.94"/>
    <m/>
    <s v="None"/>
    <d v="2023-05-18T00:00:00"/>
    <m/>
    <n v="0"/>
    <n v="2"/>
    <s v="Hamstring"/>
    <n v="24"/>
    <n v="170"/>
    <n v="65"/>
    <s v="Germany"/>
    <n v="55.6"/>
    <n v="7.12"/>
    <n v="1.48"/>
  </r>
  <r>
    <s v="PID0061"/>
    <x v="3"/>
    <x v="0"/>
    <s v="2023-03-02"/>
    <s v="Monday"/>
    <x v="0"/>
    <n v="82"/>
    <n v="1"/>
    <n v="1"/>
    <n v="60.74"/>
    <n v="9.1999999999999993"/>
    <n v="14.12"/>
    <m/>
    <s v="Hamstring Strain"/>
    <d v="2023-10-28T00:00:00"/>
    <m/>
    <n v="0"/>
    <n v="4"/>
    <s v="Hamstring"/>
    <n v="28"/>
    <n v="193"/>
    <n v="68"/>
    <s v="Spain"/>
    <n v="41.9"/>
    <n v="6.84"/>
    <n v="1.26"/>
  </r>
  <r>
    <s v="PID0062"/>
    <x v="3"/>
    <x v="2"/>
    <s v="2023-03-03"/>
    <s v="Sunday"/>
    <x v="0"/>
    <n v="37"/>
    <n v="3"/>
    <n v="2"/>
    <n v="68.069999999999993"/>
    <n v="11.1"/>
    <n v="14.68"/>
    <m/>
    <s v="Hamstring Strain"/>
    <d v="2023-08-01T00:00:00"/>
    <m/>
    <n v="0"/>
    <n v="2"/>
    <s v="ACL"/>
    <n v="27"/>
    <n v="167"/>
    <n v="95"/>
    <s v="Brazil"/>
    <n v="64.900000000000006"/>
    <n v="9.83"/>
    <n v="0.66"/>
  </r>
  <r>
    <s v="PID0063"/>
    <x v="3"/>
    <x v="2"/>
    <s v="2023-03-04"/>
    <s v="Monday"/>
    <x v="1"/>
    <n v="63"/>
    <n v="0"/>
    <n v="2"/>
    <n v="67.92"/>
    <n v="11"/>
    <n v="6.85"/>
    <m/>
    <s v="Hamstring Strain"/>
    <m/>
    <m/>
    <n v="0"/>
    <n v="1"/>
    <s v="None"/>
    <n v="26"/>
    <n v="181"/>
    <n v="79"/>
    <s v="Germany"/>
    <n v="58"/>
    <n v="6.04"/>
    <n v="0.98"/>
  </r>
  <r>
    <s v="PID0064"/>
    <x v="3"/>
    <x v="0"/>
    <s v="2023-03-05"/>
    <s v="Wednesday"/>
    <x v="0"/>
    <n v="53"/>
    <n v="0"/>
    <n v="4"/>
    <n v="79.77"/>
    <n v="15.4"/>
    <n v="9.6199999999999992"/>
    <d v="2023-06-28T00:00:00"/>
    <s v="Ankle Sprain"/>
    <d v="2023-04-25T00:00:00"/>
    <m/>
    <n v="0"/>
    <n v="2"/>
    <s v="None"/>
    <n v="31"/>
    <n v="167"/>
    <n v="77"/>
    <s v="Brazil"/>
    <n v="43.4"/>
    <n v="9.99"/>
    <n v="1.22"/>
  </r>
  <r>
    <s v="PID0065"/>
    <x v="1"/>
    <x v="0"/>
    <s v="2023-03-06"/>
    <s v="Friday"/>
    <x v="0"/>
    <n v="93"/>
    <n v="3"/>
    <n v="3"/>
    <n v="73.41"/>
    <n v="13.2"/>
    <n v="5.01"/>
    <d v="2023-09-08T00:00:00"/>
    <s v="ACL Tear"/>
    <m/>
    <n v="69"/>
    <n v="0"/>
    <n v="4"/>
    <s v="Ankle"/>
    <n v="30"/>
    <n v="174"/>
    <n v="80"/>
    <s v="UK"/>
    <n v="42.8"/>
    <n v="8.7100000000000009"/>
    <n v="0.75"/>
  </r>
  <r>
    <s v="PID0066"/>
    <x v="0"/>
    <x v="0"/>
    <s v="2023-03-07"/>
    <s v="Friday"/>
    <x v="1"/>
    <n v="81"/>
    <n v="1"/>
    <n v="2"/>
    <n v="67.849999999999994"/>
    <n v="10.8"/>
    <n v="10.98"/>
    <m/>
    <s v="None"/>
    <m/>
    <m/>
    <n v="0"/>
    <n v="4"/>
    <s v="ACL"/>
    <n v="19"/>
    <n v="176"/>
    <n v="63"/>
    <s v="UK"/>
    <n v="67.3"/>
    <n v="9.31"/>
    <n v="1.1399999999999999"/>
  </r>
  <r>
    <s v="PID0067"/>
    <x v="1"/>
    <x v="0"/>
    <s v="2023-03-08"/>
    <s v="Friday"/>
    <x v="0"/>
    <n v="33"/>
    <n v="2"/>
    <n v="5"/>
    <n v="86.9"/>
    <n v="17.3"/>
    <n v="11.07"/>
    <d v="2023-04-18T00:00:00"/>
    <s v="ACL Tear"/>
    <m/>
    <m/>
    <n v="0"/>
    <n v="0"/>
    <s v="Ankle"/>
    <n v="20"/>
    <n v="182"/>
    <n v="92"/>
    <s v="Germany"/>
    <n v="60.1"/>
    <n v="7.18"/>
    <n v="1.17"/>
  </r>
  <r>
    <s v="PID0068"/>
    <x v="2"/>
    <x v="0"/>
    <s v="2023-03-09"/>
    <s v="Tuesday"/>
    <x v="0"/>
    <n v="67"/>
    <n v="0"/>
    <n v="1"/>
    <n v="60.38"/>
    <n v="9.1"/>
    <n v="7.48"/>
    <d v="2023-01-22T00:00:00"/>
    <s v="Hamstring Strain"/>
    <m/>
    <m/>
    <n v="0"/>
    <n v="3"/>
    <s v="ACL"/>
    <n v="24"/>
    <n v="183"/>
    <n v="86"/>
    <s v="UK"/>
    <n v="64.900000000000006"/>
    <n v="6.06"/>
    <n v="0.66"/>
  </r>
  <r>
    <s v="PID0069"/>
    <x v="1"/>
    <x v="1"/>
    <s v="2023-03-10"/>
    <s v="Friday"/>
    <x v="1"/>
    <n v="34"/>
    <n v="4"/>
    <n v="5"/>
    <n v="86.84"/>
    <n v="17.3"/>
    <n v="10.58"/>
    <d v="2023-11-13T00:00:00"/>
    <s v="None"/>
    <m/>
    <n v="42"/>
    <n v="1"/>
    <n v="0"/>
    <s v="None"/>
    <n v="38"/>
    <n v="178"/>
    <n v="66"/>
    <s v="Argentina"/>
    <n v="66.400000000000006"/>
    <n v="8.9499999999999993"/>
    <n v="1.07"/>
  </r>
  <r>
    <s v="PID0070"/>
    <x v="0"/>
    <x v="0"/>
    <s v="2023-03-11"/>
    <s v="Thursday"/>
    <x v="0"/>
    <n v="91"/>
    <n v="4"/>
    <n v="5"/>
    <n v="86.68"/>
    <n v="17.3"/>
    <n v="7.26"/>
    <d v="2023-02-06T00:00:00"/>
    <s v="Hamstring Strain"/>
    <d v="2023-05-02T00:00:00"/>
    <n v="58"/>
    <n v="0"/>
    <n v="4"/>
    <s v="Hamstring"/>
    <n v="35"/>
    <n v="164"/>
    <n v="65"/>
    <s v="Germany"/>
    <n v="57.2"/>
    <n v="9.34"/>
    <n v="1.27"/>
  </r>
  <r>
    <s v="PID0071"/>
    <x v="2"/>
    <x v="0"/>
    <s v="2023-03-12"/>
    <s v="Thursday"/>
    <x v="0"/>
    <n v="81"/>
    <n v="3"/>
    <n v="6"/>
    <n v="93.29"/>
    <n v="19.5"/>
    <n v="6.61"/>
    <m/>
    <s v="None"/>
    <m/>
    <m/>
    <n v="0"/>
    <n v="1"/>
    <s v="None"/>
    <n v="20"/>
    <n v="191"/>
    <n v="74"/>
    <s v="UK"/>
    <n v="55.5"/>
    <n v="8.9600000000000009"/>
    <n v="1"/>
  </r>
  <r>
    <s v="PID0072"/>
    <x v="0"/>
    <x v="0"/>
    <s v="2023-03-13"/>
    <s v="Wednesday"/>
    <x v="0"/>
    <n v="59"/>
    <n v="1"/>
    <n v="6"/>
    <n v="93.26"/>
    <n v="19.5"/>
    <n v="11.52"/>
    <m/>
    <s v="None"/>
    <m/>
    <n v="44"/>
    <n v="0"/>
    <n v="1"/>
    <s v="Hamstring"/>
    <n v="27"/>
    <n v="160"/>
    <n v="77"/>
    <s v="Brazil"/>
    <n v="52.9"/>
    <n v="6.57"/>
    <n v="0.51"/>
  </r>
  <r>
    <s v="PID0073"/>
    <x v="0"/>
    <x v="0"/>
    <s v="2023-03-14"/>
    <s v="Monday"/>
    <x v="0"/>
    <n v="72"/>
    <n v="0"/>
    <n v="1"/>
    <n v="60.29"/>
    <n v="8.8000000000000007"/>
    <n v="8.26"/>
    <m/>
    <s v="None"/>
    <d v="2023-07-06T00:00:00"/>
    <m/>
    <n v="0"/>
    <n v="0"/>
    <s v="None"/>
    <n v="39"/>
    <n v="182"/>
    <n v="91"/>
    <s v="Germany"/>
    <n v="49.5"/>
    <n v="9.01"/>
    <n v="0.51"/>
  </r>
  <r>
    <s v="PID0074"/>
    <x v="0"/>
    <x v="1"/>
    <s v="2023-03-15"/>
    <s v="Thursday"/>
    <x v="1"/>
    <n v="43"/>
    <n v="1"/>
    <n v="5"/>
    <n v="86.33"/>
    <n v="17.2"/>
    <n v="10.9"/>
    <d v="2023-08-06T00:00:00"/>
    <s v="Ankle Sprain"/>
    <d v="2023-01-08T00:00:00"/>
    <m/>
    <n v="0"/>
    <n v="4"/>
    <s v="ACL"/>
    <n v="24"/>
    <n v="196"/>
    <n v="70"/>
    <s v="Brazil"/>
    <n v="53"/>
    <n v="9.08"/>
    <n v="0.86"/>
  </r>
  <r>
    <s v="PID0075"/>
    <x v="0"/>
    <x v="0"/>
    <s v="2023-03-16"/>
    <s v="Sunday"/>
    <x v="0"/>
    <n v="45"/>
    <n v="0"/>
    <n v="2"/>
    <n v="67.650000000000006"/>
    <n v="10.8"/>
    <n v="9.33"/>
    <m/>
    <s v="None"/>
    <m/>
    <m/>
    <n v="0"/>
    <n v="1"/>
    <s v="None"/>
    <n v="26"/>
    <n v="167"/>
    <n v="79"/>
    <s v="Spain"/>
    <n v="63.2"/>
    <n v="8.6300000000000008"/>
    <n v="1.43"/>
  </r>
  <r>
    <s v="PID0076"/>
    <x v="1"/>
    <x v="1"/>
    <s v="2023-03-17"/>
    <s v="Thursday"/>
    <x v="0"/>
    <n v="79"/>
    <n v="3"/>
    <n v="3"/>
    <n v="73.319999999999993"/>
    <n v="13.2"/>
    <n v="14.84"/>
    <m/>
    <s v="Hamstring Strain"/>
    <m/>
    <m/>
    <n v="0"/>
    <n v="4"/>
    <s v="ACL"/>
    <n v="34"/>
    <n v="172"/>
    <n v="83"/>
    <s v="Spain"/>
    <n v="58.1"/>
    <n v="9.06"/>
    <n v="0.73"/>
  </r>
  <r>
    <s v="PID0077"/>
    <x v="3"/>
    <x v="2"/>
    <s v="2023-03-18"/>
    <s v="Tuesday"/>
    <x v="1"/>
    <n v="60"/>
    <n v="3"/>
    <n v="1"/>
    <n v="59.88"/>
    <n v="8.6999999999999993"/>
    <n v="6.5"/>
    <d v="2023-03-20T00:00:00"/>
    <s v="Hamstring Strain"/>
    <m/>
    <m/>
    <n v="0"/>
    <n v="1"/>
    <s v="None"/>
    <n v="28"/>
    <n v="167"/>
    <n v="74"/>
    <s v="Germany"/>
    <n v="66.8"/>
    <n v="9.3800000000000008"/>
    <n v="1.1299999999999999"/>
  </r>
  <r>
    <s v="PID0078"/>
    <x v="1"/>
    <x v="2"/>
    <s v="2023-03-19"/>
    <s v="Tuesday"/>
    <x v="1"/>
    <n v="48"/>
    <n v="4"/>
    <n v="4"/>
    <n v="79.260000000000005"/>
    <n v="15.3"/>
    <n v="9.65"/>
    <m/>
    <s v="None"/>
    <m/>
    <m/>
    <n v="0"/>
    <n v="4"/>
    <s v="Ankle"/>
    <n v="24"/>
    <n v="182"/>
    <n v="66"/>
    <s v="USA"/>
    <n v="53.3"/>
    <n v="8.4499999999999993"/>
    <n v="0.72"/>
  </r>
  <r>
    <s v="PID0079"/>
    <x v="1"/>
    <x v="1"/>
    <s v="2023-03-20"/>
    <s v="Monday"/>
    <x v="0"/>
    <n v="34"/>
    <n v="1"/>
    <n v="5"/>
    <n v="86.18"/>
    <n v="17.2"/>
    <n v="11.8"/>
    <m/>
    <s v="ACL Tear"/>
    <d v="2023-11-19T00:00:00"/>
    <m/>
    <n v="0"/>
    <n v="2"/>
    <s v="Hamstring"/>
    <n v="31"/>
    <n v="160"/>
    <n v="80"/>
    <s v="UK"/>
    <n v="58.2"/>
    <n v="6.35"/>
    <n v="0.82"/>
  </r>
  <r>
    <s v="PID0080"/>
    <x v="3"/>
    <x v="1"/>
    <s v="2023-03-21"/>
    <s v="Friday"/>
    <x v="1"/>
    <n v="64"/>
    <n v="4"/>
    <n v="1"/>
    <n v="59.81"/>
    <n v="8.4"/>
    <n v="8.9600000000000009"/>
    <m/>
    <s v="Ankle Sprain"/>
    <m/>
    <n v="53"/>
    <n v="1"/>
    <n v="4"/>
    <s v="ACL"/>
    <n v="36"/>
    <n v="183"/>
    <n v="85"/>
    <s v="Brazil"/>
    <n v="58.9"/>
    <n v="7.95"/>
    <n v="1.35"/>
  </r>
  <r>
    <s v="PID0081"/>
    <x v="3"/>
    <x v="1"/>
    <s v="2023-03-22"/>
    <s v="Wednesday"/>
    <x v="1"/>
    <n v="84"/>
    <n v="1"/>
    <n v="0"/>
    <n v="54.07"/>
    <n v="6.3"/>
    <n v="14.75"/>
    <m/>
    <s v="ACL Tear"/>
    <m/>
    <n v="20"/>
    <n v="0"/>
    <n v="4"/>
    <s v="None"/>
    <n v="21"/>
    <n v="194"/>
    <n v="73"/>
    <s v="USA"/>
    <n v="57.8"/>
    <n v="6.31"/>
    <n v="1.23"/>
  </r>
  <r>
    <s v="PID0082"/>
    <x v="2"/>
    <x v="2"/>
    <s v="2023-03-23"/>
    <s v="Thursday"/>
    <x v="1"/>
    <n v="90"/>
    <n v="4"/>
    <n v="0"/>
    <n v="53.98"/>
    <n v="6.3"/>
    <n v="12.22"/>
    <m/>
    <s v="ACL Tear"/>
    <m/>
    <m/>
    <n v="0"/>
    <n v="0"/>
    <s v="Ankle"/>
    <n v="23"/>
    <n v="183"/>
    <n v="96"/>
    <s v="Germany"/>
    <n v="61.1"/>
    <n v="7.63"/>
    <n v="0.6"/>
  </r>
  <r>
    <s v="PID0083"/>
    <x v="1"/>
    <x v="0"/>
    <s v="2023-03-24"/>
    <s v="Saturday"/>
    <x v="0"/>
    <n v="28"/>
    <n v="2"/>
    <n v="6"/>
    <n v="93.14"/>
    <n v="19.399999999999999"/>
    <n v="11.57"/>
    <m/>
    <s v="Hamstring Strain"/>
    <d v="2023-02-13T00:00:00"/>
    <m/>
    <n v="0"/>
    <n v="2"/>
    <s v="Ankle"/>
    <n v="27"/>
    <n v="176"/>
    <n v="80"/>
    <s v="Spain"/>
    <n v="47.1"/>
    <n v="7.63"/>
    <n v="0.93"/>
  </r>
  <r>
    <s v="PID0084"/>
    <x v="2"/>
    <x v="1"/>
    <s v="2023-03-25"/>
    <s v="Saturday"/>
    <x v="1"/>
    <n v="20"/>
    <n v="2"/>
    <n v="3"/>
    <n v="73.22"/>
    <n v="13.2"/>
    <n v="12.57"/>
    <m/>
    <s v="None"/>
    <m/>
    <m/>
    <n v="0"/>
    <n v="3"/>
    <s v="ACL"/>
    <n v="24"/>
    <n v="164"/>
    <n v="77"/>
    <s v="Brazil"/>
    <n v="55.4"/>
    <n v="6.26"/>
    <n v="0.53"/>
  </r>
  <r>
    <s v="PID0085"/>
    <x v="0"/>
    <x v="0"/>
    <s v="2023-03-26"/>
    <s v="Wednesday"/>
    <x v="0"/>
    <n v="27"/>
    <n v="2"/>
    <n v="2"/>
    <n v="67.62"/>
    <n v="10.8"/>
    <n v="14.53"/>
    <m/>
    <s v="ACL Tear"/>
    <m/>
    <m/>
    <n v="0"/>
    <n v="0"/>
    <s v="Hamstring"/>
    <n v="30"/>
    <n v="179"/>
    <n v="64"/>
    <s v="Spain"/>
    <n v="43.1"/>
    <n v="7.4"/>
    <n v="0.98"/>
  </r>
  <r>
    <s v="PID0086"/>
    <x v="0"/>
    <x v="1"/>
    <s v="2023-03-27"/>
    <s v="Thursday"/>
    <x v="1"/>
    <n v="82"/>
    <n v="2"/>
    <n v="3"/>
    <n v="73.19"/>
    <n v="13.1"/>
    <n v="14.08"/>
    <m/>
    <s v="ACL Tear"/>
    <m/>
    <m/>
    <n v="1"/>
    <n v="3"/>
    <s v="ACL"/>
    <n v="31"/>
    <n v="180"/>
    <n v="62"/>
    <s v="Argentina"/>
    <n v="51.5"/>
    <n v="6.44"/>
    <n v="1.1599999999999999"/>
  </r>
  <r>
    <s v="PID0087"/>
    <x v="1"/>
    <x v="1"/>
    <s v="2023-03-28"/>
    <s v="Tuesday"/>
    <x v="0"/>
    <n v="30"/>
    <n v="0"/>
    <n v="3"/>
    <n v="73.06"/>
    <n v="13.1"/>
    <n v="12.24"/>
    <d v="2023-03-23T00:00:00"/>
    <s v="Hamstring Strain"/>
    <m/>
    <m/>
    <n v="1"/>
    <n v="1"/>
    <s v="ACL"/>
    <n v="21"/>
    <n v="199"/>
    <n v="82"/>
    <s v="Germany"/>
    <n v="54.6"/>
    <n v="9.23"/>
    <n v="0.62"/>
  </r>
  <r>
    <s v="PID0088"/>
    <x v="3"/>
    <x v="1"/>
    <s v="2023-03-29"/>
    <s v="Tuesday"/>
    <x v="1"/>
    <n v="27"/>
    <n v="2"/>
    <n v="3"/>
    <n v="72.41"/>
    <n v="13"/>
    <n v="12.49"/>
    <m/>
    <s v="Ankle Sprain"/>
    <d v="2023-02-16T00:00:00"/>
    <m/>
    <n v="0"/>
    <n v="3"/>
    <s v="Hamstring"/>
    <n v="25"/>
    <n v="190"/>
    <n v="85"/>
    <s v="UK"/>
    <n v="59.6"/>
    <n v="9.7899999999999991"/>
    <n v="0.79"/>
  </r>
  <r>
    <s v="PID0089"/>
    <x v="3"/>
    <x v="1"/>
    <s v="2023-03-30"/>
    <s v="Tuesday"/>
    <x v="1"/>
    <n v="54"/>
    <n v="3"/>
    <n v="3"/>
    <n v="72.39"/>
    <n v="13"/>
    <n v="6.46"/>
    <m/>
    <s v="ACL Tear"/>
    <m/>
    <m/>
    <n v="1"/>
    <n v="4"/>
    <s v="None"/>
    <n v="22"/>
    <n v="195"/>
    <n v="96"/>
    <s v="Brazil"/>
    <n v="68.5"/>
    <n v="6.29"/>
    <n v="0.9"/>
  </r>
  <r>
    <s v="PID0090"/>
    <x v="1"/>
    <x v="1"/>
    <s v="2023-03-31"/>
    <s v="Wednesday"/>
    <x v="1"/>
    <n v="54"/>
    <n v="3"/>
    <n v="4"/>
    <n v="79.099999999999994"/>
    <n v="15.2"/>
    <n v="6.03"/>
    <m/>
    <s v="Ankle Sprain"/>
    <m/>
    <m/>
    <n v="1"/>
    <n v="3"/>
    <s v="Hamstring"/>
    <n v="18"/>
    <n v="170"/>
    <n v="83"/>
    <s v="UK"/>
    <n v="58"/>
    <n v="9.82"/>
    <n v="1.42"/>
  </r>
  <r>
    <s v="PID0091"/>
    <x v="0"/>
    <x v="1"/>
    <s v="2023-04-01"/>
    <s v="Saturday"/>
    <x v="0"/>
    <n v="52"/>
    <n v="0"/>
    <n v="4"/>
    <n v="79.03"/>
    <n v="15.1"/>
    <n v="10.71"/>
    <m/>
    <s v="Hamstring Strain"/>
    <d v="2023-06-04T00:00:00"/>
    <m/>
    <n v="1"/>
    <n v="0"/>
    <s v="None"/>
    <n v="21"/>
    <n v="174"/>
    <n v="78"/>
    <s v="Argentina"/>
    <n v="62.3"/>
    <n v="8.09"/>
    <n v="1.49"/>
  </r>
  <r>
    <s v="PID0092"/>
    <x v="0"/>
    <x v="1"/>
    <s v="2023-04-02"/>
    <s v="Monday"/>
    <x v="0"/>
    <n v="24"/>
    <n v="2"/>
    <n v="6"/>
    <n v="93.12"/>
    <n v="19.399999999999999"/>
    <n v="5.18"/>
    <m/>
    <s v="None"/>
    <d v="2023-10-27T00:00:00"/>
    <m/>
    <n v="1"/>
    <n v="0"/>
    <s v="Hamstring"/>
    <n v="20"/>
    <n v="178"/>
    <n v="84"/>
    <s v="UK"/>
    <n v="55.2"/>
    <n v="7.2"/>
    <n v="0.54"/>
  </r>
  <r>
    <s v="PID0093"/>
    <x v="2"/>
    <x v="2"/>
    <s v="2023-04-03"/>
    <s v="Monday"/>
    <x v="0"/>
    <n v="60"/>
    <n v="2"/>
    <n v="1"/>
    <n v="59.73"/>
    <n v="8.1999999999999993"/>
    <n v="9.82"/>
    <m/>
    <s v="Ankle Sprain"/>
    <m/>
    <n v="81"/>
    <n v="0"/>
    <n v="3"/>
    <s v="ACL"/>
    <n v="26"/>
    <n v="166"/>
    <n v="80"/>
    <s v="Brazil"/>
    <n v="59"/>
    <n v="6.31"/>
    <n v="1.26"/>
  </r>
  <r>
    <s v="PID0094"/>
    <x v="1"/>
    <x v="1"/>
    <s v="2023-04-04"/>
    <s v="Wednesday"/>
    <x v="0"/>
    <n v="47"/>
    <n v="2"/>
    <n v="0"/>
    <n v="53.9"/>
    <n v="6.3"/>
    <n v="7.1"/>
    <m/>
    <s v="Hamstring Strain"/>
    <m/>
    <m/>
    <n v="0"/>
    <n v="0"/>
    <s v="ACL"/>
    <n v="25"/>
    <n v="187"/>
    <n v="71"/>
    <s v="Germany"/>
    <n v="42.1"/>
    <n v="8"/>
    <n v="0.87"/>
  </r>
  <r>
    <s v="PID0095"/>
    <x v="0"/>
    <x v="1"/>
    <s v="2023-04-05"/>
    <s v="Saturday"/>
    <x v="1"/>
    <n v="26"/>
    <n v="4"/>
    <n v="3"/>
    <n v="72.239999999999995"/>
    <n v="12.9"/>
    <n v="8.4600000000000009"/>
    <d v="2023-12-03T00:00:00"/>
    <s v="None"/>
    <m/>
    <n v="87"/>
    <n v="0"/>
    <n v="0"/>
    <s v="None"/>
    <n v="18"/>
    <n v="164"/>
    <n v="92"/>
    <s v="Spain"/>
    <n v="47.6"/>
    <n v="9.18"/>
    <n v="0.89"/>
  </r>
  <r>
    <s v="PID0096"/>
    <x v="1"/>
    <x v="1"/>
    <s v="2023-04-06"/>
    <s v="Sunday"/>
    <x v="0"/>
    <n v="92"/>
    <n v="1"/>
    <n v="6"/>
    <n v="93.08"/>
    <n v="19.399999999999999"/>
    <n v="12.76"/>
    <m/>
    <s v="ACL Tear"/>
    <m/>
    <m/>
    <n v="0"/>
    <n v="3"/>
    <s v="ACL"/>
    <n v="23"/>
    <n v="164"/>
    <n v="63"/>
    <s v="Argentina"/>
    <n v="50.9"/>
    <n v="8.83"/>
    <n v="1.25"/>
  </r>
  <r>
    <s v="PID0097"/>
    <x v="3"/>
    <x v="2"/>
    <s v="2023-04-07"/>
    <s v="Saturday"/>
    <x v="1"/>
    <n v="91"/>
    <n v="4"/>
    <n v="1"/>
    <n v="58.69"/>
    <n v="7.9"/>
    <n v="14.41"/>
    <m/>
    <s v="Ankle Sprain"/>
    <d v="2023-09-14T00:00:00"/>
    <m/>
    <n v="1"/>
    <n v="2"/>
    <s v="ACL"/>
    <n v="26"/>
    <n v="189"/>
    <n v="66"/>
    <s v="Germany"/>
    <n v="54.2"/>
    <n v="6.2"/>
    <n v="1.42"/>
  </r>
  <r>
    <s v="PID0098"/>
    <x v="0"/>
    <x v="1"/>
    <s v="2023-04-08"/>
    <s v="Monday"/>
    <x v="1"/>
    <n v="31"/>
    <n v="1"/>
    <n v="0"/>
    <n v="53.78"/>
    <n v="6.3"/>
    <n v="5.72"/>
    <m/>
    <s v="Hamstring Strain"/>
    <m/>
    <m/>
    <n v="0"/>
    <n v="2"/>
    <s v="None"/>
    <n v="24"/>
    <n v="191"/>
    <n v="81"/>
    <s v="Germany"/>
    <n v="41.4"/>
    <n v="6.29"/>
    <n v="1.45"/>
  </r>
  <r>
    <s v="PID0099"/>
    <x v="3"/>
    <x v="0"/>
    <s v="2023-04-09"/>
    <s v="Tuesday"/>
    <x v="1"/>
    <n v="53"/>
    <n v="2"/>
    <n v="5"/>
    <n v="86.03"/>
    <n v="17.2"/>
    <n v="10.34"/>
    <d v="2023-04-22T00:00:00"/>
    <s v="None"/>
    <m/>
    <m/>
    <n v="0"/>
    <n v="1"/>
    <s v="None"/>
    <n v="21"/>
    <n v="167"/>
    <n v="92"/>
    <s v="Spain"/>
    <n v="44.2"/>
    <n v="7.61"/>
    <n v="1.08"/>
  </r>
  <r>
    <s v="PID0100"/>
    <x v="3"/>
    <x v="0"/>
    <s v="2023-04-10"/>
    <s v="Wednesday"/>
    <x v="0"/>
    <n v="52"/>
    <n v="2"/>
    <n v="2"/>
    <n v="67.599999999999994"/>
    <n v="10.8"/>
    <n v="13.83"/>
    <d v="2023-08-23T00:00:00"/>
    <s v="ACL Tear"/>
    <d v="2023-08-09T00:00:00"/>
    <n v="83"/>
    <n v="1"/>
    <n v="0"/>
    <s v="Ankle"/>
    <n v="30"/>
    <n v="169"/>
    <n v="76"/>
    <s v="Spain"/>
    <n v="48.3"/>
    <n v="7.18"/>
    <n v="0.86"/>
  </r>
  <r>
    <s v="PID0101"/>
    <x v="3"/>
    <x v="1"/>
    <s v="2023-04-11"/>
    <s v="Tuesday"/>
    <x v="0"/>
    <n v="67"/>
    <n v="4"/>
    <n v="4"/>
    <n v="79"/>
    <n v="14.9"/>
    <n v="5.83"/>
    <m/>
    <s v="ACL Tear"/>
    <m/>
    <n v="75"/>
    <n v="1"/>
    <n v="3"/>
    <s v="Hamstring"/>
    <n v="34"/>
    <n v="197"/>
    <n v="83"/>
    <s v="Argentina"/>
    <n v="69.099999999999994"/>
    <n v="6.93"/>
    <n v="1.29"/>
  </r>
  <r>
    <s v="PID0102"/>
    <x v="3"/>
    <x v="1"/>
    <s v="2023-04-12"/>
    <s v="Tuesday"/>
    <x v="0"/>
    <n v="42"/>
    <n v="4"/>
    <n v="5"/>
    <n v="85.91"/>
    <n v="17.2"/>
    <n v="13.25"/>
    <m/>
    <s v="None"/>
    <m/>
    <n v="55"/>
    <n v="1"/>
    <n v="0"/>
    <s v="Hamstring"/>
    <n v="19"/>
    <n v="191"/>
    <n v="93"/>
    <s v="Spain"/>
    <n v="49.9"/>
    <n v="7.12"/>
    <n v="0.75"/>
  </r>
  <r>
    <s v="PID0103"/>
    <x v="2"/>
    <x v="2"/>
    <s v="2023-04-13"/>
    <s v="Sunday"/>
    <x v="1"/>
    <n v="81"/>
    <n v="1"/>
    <n v="0"/>
    <n v="53.5"/>
    <n v="6.2"/>
    <n v="8.58"/>
    <m/>
    <s v="Hamstring Strain"/>
    <m/>
    <m/>
    <n v="0"/>
    <n v="4"/>
    <s v="ACL"/>
    <n v="22"/>
    <n v="187"/>
    <n v="87"/>
    <s v="Spain"/>
    <n v="54.5"/>
    <n v="9.2100000000000009"/>
    <n v="1.06"/>
  </r>
  <r>
    <s v="PID0104"/>
    <x v="2"/>
    <x v="1"/>
    <s v="2023-04-14"/>
    <s v="Thursday"/>
    <x v="0"/>
    <n v="56"/>
    <n v="3"/>
    <n v="5"/>
    <n v="85.79"/>
    <n v="17.2"/>
    <n v="8.2200000000000006"/>
    <m/>
    <s v="None"/>
    <m/>
    <m/>
    <n v="0"/>
    <n v="0"/>
    <s v="ACL"/>
    <n v="29"/>
    <n v="176"/>
    <n v="98"/>
    <s v="Brazil"/>
    <n v="45.9"/>
    <n v="9.7200000000000006"/>
    <n v="0.86"/>
  </r>
  <r>
    <s v="PID0105"/>
    <x v="3"/>
    <x v="0"/>
    <s v="2023-04-15"/>
    <s v="Sunday"/>
    <x v="1"/>
    <n v="63"/>
    <n v="1"/>
    <n v="2"/>
    <n v="67.28"/>
    <n v="10.6"/>
    <n v="14.77"/>
    <m/>
    <s v="None"/>
    <d v="2023-02-17T00:00:00"/>
    <n v="18"/>
    <n v="0"/>
    <n v="0"/>
    <s v="Ankle"/>
    <n v="38"/>
    <n v="190"/>
    <n v="81"/>
    <s v="Argentina"/>
    <n v="58.3"/>
    <n v="7.62"/>
    <n v="1.1599999999999999"/>
  </r>
  <r>
    <s v="PID0106"/>
    <x v="2"/>
    <x v="1"/>
    <s v="2023-04-16"/>
    <s v="Friday"/>
    <x v="1"/>
    <n v="54"/>
    <n v="4"/>
    <n v="6"/>
    <n v="93.04"/>
    <n v="19.399999999999999"/>
    <n v="7.01"/>
    <d v="2023-10-14T00:00:00"/>
    <s v="None"/>
    <m/>
    <n v="12"/>
    <n v="0"/>
    <n v="2"/>
    <s v="Hamstring"/>
    <n v="25"/>
    <n v="167"/>
    <n v="76"/>
    <s v="USA"/>
    <n v="48.4"/>
    <n v="9.6199999999999992"/>
    <n v="0.74"/>
  </r>
  <r>
    <s v="PID0107"/>
    <x v="3"/>
    <x v="3"/>
    <s v="2023-04-17"/>
    <s v="Wednesday"/>
    <x v="1"/>
    <n v="84"/>
    <n v="0"/>
    <n v="0"/>
    <n v="53.42"/>
    <n v="6.2"/>
    <n v="11.93"/>
    <m/>
    <s v="None"/>
    <m/>
    <m/>
    <n v="0"/>
    <n v="3"/>
    <s v="ACL"/>
    <n v="23"/>
    <n v="199"/>
    <n v="93"/>
    <s v="USA"/>
    <n v="46.2"/>
    <n v="7.29"/>
    <n v="0.69"/>
  </r>
  <r>
    <s v="PID0108"/>
    <x v="1"/>
    <x v="0"/>
    <s v="2023-04-18"/>
    <s v="Saturday"/>
    <x v="0"/>
    <n v="66"/>
    <n v="0"/>
    <n v="5"/>
    <n v="85.55"/>
    <n v="17.100000000000001"/>
    <n v="13.21"/>
    <d v="2023-10-24T00:00:00"/>
    <s v="Hamstring Strain"/>
    <m/>
    <m/>
    <n v="0"/>
    <n v="0"/>
    <s v="Ankle"/>
    <n v="25"/>
    <n v="184"/>
    <n v="65"/>
    <s v="Argentina"/>
    <n v="55.5"/>
    <n v="7.91"/>
    <n v="1.42"/>
  </r>
  <r>
    <s v="PID0109"/>
    <x v="2"/>
    <x v="1"/>
    <s v="2023-04-19"/>
    <s v="Saturday"/>
    <x v="0"/>
    <n v="22"/>
    <n v="4"/>
    <n v="4"/>
    <n v="78.75"/>
    <n v="14.9"/>
    <n v="5.41"/>
    <m/>
    <s v="ACL Tear"/>
    <d v="2023-04-18T00:00:00"/>
    <m/>
    <n v="0"/>
    <n v="2"/>
    <s v="None"/>
    <n v="35"/>
    <n v="168"/>
    <n v="65"/>
    <s v="UK"/>
    <n v="40.200000000000003"/>
    <n v="6.9"/>
    <n v="0.6"/>
  </r>
  <r>
    <s v="PID0110"/>
    <x v="0"/>
    <x v="2"/>
    <s v="2023-04-20"/>
    <s v="Sunday"/>
    <x v="0"/>
    <n v="20"/>
    <n v="0"/>
    <n v="4"/>
    <n v="78.680000000000007"/>
    <n v="14.7"/>
    <n v="11.7"/>
    <d v="2023-04-13T00:00:00"/>
    <s v="None"/>
    <d v="2023-01-01T00:00:00"/>
    <m/>
    <n v="0"/>
    <n v="1"/>
    <s v="None"/>
    <n v="20"/>
    <n v="161"/>
    <n v="93"/>
    <s v="USA"/>
    <n v="40.200000000000003"/>
    <n v="8.56"/>
    <n v="1.01"/>
  </r>
  <r>
    <s v="PID0111"/>
    <x v="3"/>
    <x v="0"/>
    <s v="2023-04-21"/>
    <s v="Sunday"/>
    <x v="1"/>
    <n v="24"/>
    <n v="3"/>
    <n v="1"/>
    <n v="58.67"/>
    <n v="7.8"/>
    <n v="14.52"/>
    <d v="2023-12-15T00:00:00"/>
    <s v="Ankle Sprain"/>
    <m/>
    <m/>
    <n v="0"/>
    <n v="2"/>
    <s v="Hamstring"/>
    <n v="39"/>
    <n v="174"/>
    <n v="60"/>
    <s v="Argentina"/>
    <n v="46.6"/>
    <n v="9.92"/>
    <n v="0.72"/>
  </r>
  <r>
    <s v="PID0112"/>
    <x v="0"/>
    <x v="1"/>
    <s v="2023-04-22"/>
    <s v="Friday"/>
    <x v="0"/>
    <n v="33"/>
    <n v="1"/>
    <n v="5"/>
    <n v="85.5"/>
    <n v="17.100000000000001"/>
    <n v="6.24"/>
    <m/>
    <s v="Ankle Sprain"/>
    <m/>
    <m/>
    <n v="0"/>
    <n v="2"/>
    <s v="ACL"/>
    <n v="29"/>
    <n v="162"/>
    <n v="69"/>
    <s v="UK"/>
    <n v="41.1"/>
    <n v="8.41"/>
    <n v="0.54"/>
  </r>
  <r>
    <s v="PID0113"/>
    <x v="1"/>
    <x v="1"/>
    <s v="2023-04-23"/>
    <s v="Thursday"/>
    <x v="1"/>
    <n v="46"/>
    <n v="1"/>
    <n v="3"/>
    <n v="72.099999999999994"/>
    <n v="12.8"/>
    <n v="13.96"/>
    <m/>
    <s v="ACL Tear"/>
    <m/>
    <m/>
    <n v="0"/>
    <n v="2"/>
    <s v="Ankle"/>
    <n v="20"/>
    <n v="195"/>
    <n v="80"/>
    <s v="Brazil"/>
    <n v="43.2"/>
    <n v="7.43"/>
    <n v="0.54"/>
  </r>
  <r>
    <s v="PID0114"/>
    <x v="1"/>
    <x v="0"/>
    <s v="2023-04-24"/>
    <s v="Thursday"/>
    <x v="0"/>
    <n v="28"/>
    <n v="0"/>
    <n v="5"/>
    <n v="85.09"/>
    <n v="17.100000000000001"/>
    <n v="10.95"/>
    <d v="2023-01-25T00:00:00"/>
    <s v="None"/>
    <m/>
    <m/>
    <n v="0"/>
    <n v="0"/>
    <s v="None"/>
    <n v="39"/>
    <n v="163"/>
    <n v="64"/>
    <s v="UK"/>
    <n v="50.2"/>
    <n v="8.59"/>
    <n v="0.68"/>
  </r>
  <r>
    <s v="PID0115"/>
    <x v="2"/>
    <x v="1"/>
    <s v="2023-04-25"/>
    <s v="Friday"/>
    <x v="1"/>
    <n v="34"/>
    <n v="1"/>
    <n v="6"/>
    <n v="92.99"/>
    <n v="19.3"/>
    <n v="11.17"/>
    <m/>
    <s v="Hamstring Strain"/>
    <m/>
    <m/>
    <n v="0"/>
    <n v="0"/>
    <s v="Ankle"/>
    <n v="23"/>
    <n v="173"/>
    <n v="61"/>
    <s v="Germany"/>
    <n v="64.099999999999994"/>
    <n v="6.49"/>
    <n v="1.37"/>
  </r>
  <r>
    <s v="PID0116"/>
    <x v="3"/>
    <x v="1"/>
    <s v="2023-04-26"/>
    <s v="Wednesday"/>
    <x v="0"/>
    <n v="61"/>
    <n v="4"/>
    <n v="0"/>
    <n v="53.15"/>
    <n v="6.2"/>
    <n v="11.13"/>
    <d v="2023-09-25T00:00:00"/>
    <s v="None"/>
    <m/>
    <n v="35"/>
    <n v="0"/>
    <n v="1"/>
    <s v="Ankle"/>
    <n v="19"/>
    <n v="184"/>
    <n v="81"/>
    <s v="UK"/>
    <n v="57.2"/>
    <n v="9.5500000000000007"/>
    <n v="0.78"/>
  </r>
  <r>
    <s v="PID0117"/>
    <x v="1"/>
    <x v="2"/>
    <s v="2023-04-27"/>
    <s v="Saturday"/>
    <x v="0"/>
    <n v="70"/>
    <n v="2"/>
    <n v="0"/>
    <n v="53.07"/>
    <n v="6.1"/>
    <n v="7.99"/>
    <m/>
    <s v="None"/>
    <m/>
    <m/>
    <n v="0"/>
    <n v="4"/>
    <s v="None"/>
    <n v="29"/>
    <n v="169"/>
    <n v="61"/>
    <s v="Brazil"/>
    <n v="55.4"/>
    <n v="8.01"/>
    <n v="1.45"/>
  </r>
  <r>
    <s v="PID0118"/>
    <x v="3"/>
    <x v="1"/>
    <s v="2023-04-28"/>
    <s v="Wednesday"/>
    <x v="0"/>
    <n v="82"/>
    <n v="0"/>
    <n v="6"/>
    <n v="92.93"/>
    <n v="19.3"/>
    <n v="14.35"/>
    <m/>
    <s v="ACL Tear"/>
    <m/>
    <n v="81"/>
    <n v="0"/>
    <n v="4"/>
    <s v="Ankle"/>
    <n v="19"/>
    <n v="180"/>
    <n v="69"/>
    <s v="Spain"/>
    <n v="48.8"/>
    <n v="7.8"/>
    <n v="1.08"/>
  </r>
  <r>
    <s v="PID0119"/>
    <x v="2"/>
    <x v="0"/>
    <s v="2023-04-29"/>
    <s v="Saturday"/>
    <x v="0"/>
    <n v="71"/>
    <n v="1"/>
    <n v="5"/>
    <n v="84.82"/>
    <n v="17"/>
    <n v="14.47"/>
    <m/>
    <s v="ACL Tear"/>
    <d v="2023-01-05T00:00:00"/>
    <m/>
    <n v="1"/>
    <n v="4"/>
    <s v="Ankle"/>
    <n v="23"/>
    <n v="195"/>
    <n v="93"/>
    <s v="USA"/>
    <n v="68"/>
    <n v="8.34"/>
    <n v="0.94"/>
  </r>
  <r>
    <s v="PID0120"/>
    <x v="2"/>
    <x v="1"/>
    <s v="2023-04-30"/>
    <s v="Wednesday"/>
    <x v="1"/>
    <n v="23"/>
    <n v="0"/>
    <n v="6"/>
    <n v="92.72"/>
    <n v="19.3"/>
    <n v="11.25"/>
    <d v="2023-04-18T00:00:00"/>
    <s v="None"/>
    <d v="2023-03-01T00:00:00"/>
    <m/>
    <n v="0"/>
    <n v="1"/>
    <s v="None"/>
    <n v="34"/>
    <n v="171"/>
    <n v="75"/>
    <s v="Brazil"/>
    <n v="51.9"/>
    <n v="8.5"/>
    <n v="1.08"/>
  </r>
  <r>
    <s v="PID0121"/>
    <x v="2"/>
    <x v="1"/>
    <s v="2023-05-01"/>
    <s v="Friday"/>
    <x v="1"/>
    <n v="42"/>
    <n v="0"/>
    <n v="2"/>
    <n v="67.28"/>
    <n v="10.6"/>
    <n v="12.83"/>
    <m/>
    <s v="Ankle Sprain"/>
    <m/>
    <m/>
    <n v="0"/>
    <n v="4"/>
    <s v="Ankle"/>
    <n v="20"/>
    <n v="186"/>
    <n v="98"/>
    <s v="UK"/>
    <n v="42.6"/>
    <n v="6.29"/>
    <n v="1.02"/>
  </r>
  <r>
    <s v="PID0122"/>
    <x v="2"/>
    <x v="1"/>
    <s v="2023-05-02"/>
    <s v="Friday"/>
    <x v="1"/>
    <n v="34"/>
    <n v="2"/>
    <n v="6"/>
    <n v="91.97"/>
    <n v="19.3"/>
    <n v="11.12"/>
    <m/>
    <s v="Ankle Sprain"/>
    <m/>
    <m/>
    <n v="0"/>
    <n v="4"/>
    <s v="Ankle"/>
    <n v="19"/>
    <n v="199"/>
    <n v="81"/>
    <s v="Germany"/>
    <n v="58.5"/>
    <n v="8.73"/>
    <n v="1.26"/>
  </r>
  <r>
    <s v="PID0123"/>
    <x v="1"/>
    <x v="1"/>
    <s v="2023-05-03"/>
    <s v="Wednesday"/>
    <x v="0"/>
    <n v="62"/>
    <n v="4"/>
    <n v="4"/>
    <n v="78.489999999999995"/>
    <n v="14.7"/>
    <n v="9.84"/>
    <m/>
    <s v="Ankle Sprain"/>
    <m/>
    <m/>
    <n v="1"/>
    <n v="2"/>
    <s v="ACL"/>
    <n v="37"/>
    <n v="161"/>
    <n v="71"/>
    <s v="Argentina"/>
    <n v="43.4"/>
    <n v="6.97"/>
    <n v="0.78"/>
  </r>
  <r>
    <s v="PID0124"/>
    <x v="0"/>
    <x v="1"/>
    <s v="2023-05-04"/>
    <s v="Sunday"/>
    <x v="0"/>
    <n v="48"/>
    <n v="0"/>
    <n v="6"/>
    <n v="91.92"/>
    <n v="19.3"/>
    <n v="11.61"/>
    <m/>
    <s v="Ankle Sprain"/>
    <m/>
    <n v="57"/>
    <n v="0"/>
    <n v="0"/>
    <s v="ACL"/>
    <n v="25"/>
    <n v="172"/>
    <n v="83"/>
    <s v="Spain"/>
    <n v="50.4"/>
    <n v="8.86"/>
    <n v="0.85"/>
  </r>
  <r>
    <s v="PID0125"/>
    <x v="2"/>
    <x v="1"/>
    <s v="2023-05-05"/>
    <s v="Tuesday"/>
    <x v="1"/>
    <n v="55"/>
    <n v="1"/>
    <n v="0"/>
    <n v="53.02"/>
    <n v="6.1"/>
    <n v="10.53"/>
    <m/>
    <s v="Hamstring Strain"/>
    <d v="2023-05-05T00:00:00"/>
    <m/>
    <n v="0"/>
    <n v="0"/>
    <s v="Ankle"/>
    <n v="39"/>
    <n v="191"/>
    <n v="99"/>
    <s v="Spain"/>
    <n v="55.2"/>
    <n v="9.2899999999999991"/>
    <n v="1.39"/>
  </r>
  <r>
    <s v="PID0126"/>
    <x v="2"/>
    <x v="1"/>
    <s v="2023-05-06"/>
    <s v="Tuesday"/>
    <x v="0"/>
    <n v="32"/>
    <n v="3"/>
    <n v="4"/>
    <n v="78.34"/>
    <n v="14.6"/>
    <n v="10.97"/>
    <m/>
    <s v="ACL Tear"/>
    <m/>
    <n v="75"/>
    <n v="1"/>
    <n v="2"/>
    <s v="Ankle"/>
    <n v="29"/>
    <n v="190"/>
    <n v="97"/>
    <s v="UK"/>
    <n v="66.2"/>
    <n v="9.2200000000000006"/>
    <n v="1.45"/>
  </r>
  <r>
    <s v="PID0127"/>
    <x v="3"/>
    <x v="1"/>
    <s v="2023-05-07"/>
    <s v="Thursday"/>
    <x v="0"/>
    <n v="51"/>
    <n v="0"/>
    <n v="0"/>
    <n v="52.92"/>
    <n v="6.1"/>
    <n v="12.84"/>
    <m/>
    <s v="Ankle Sprain"/>
    <m/>
    <n v="79"/>
    <n v="0"/>
    <n v="2"/>
    <s v="None"/>
    <n v="21"/>
    <n v="175"/>
    <n v="69"/>
    <s v="Germany"/>
    <n v="54.8"/>
    <n v="8.2100000000000009"/>
    <n v="1.39"/>
  </r>
  <r>
    <s v="PID0128"/>
    <x v="0"/>
    <x v="0"/>
    <s v="2023-05-08"/>
    <s v="Tuesday"/>
    <x v="0"/>
    <n v="90"/>
    <n v="0"/>
    <n v="1"/>
    <n v="58.51"/>
    <n v="7.7"/>
    <n v="9.81"/>
    <m/>
    <s v="Hamstring Strain"/>
    <m/>
    <m/>
    <n v="0"/>
    <n v="2"/>
    <s v="None"/>
    <n v="22"/>
    <n v="191"/>
    <n v="94"/>
    <s v="UK"/>
    <n v="61.1"/>
    <n v="8.08"/>
    <n v="0.92"/>
  </r>
  <r>
    <s v="PID0129"/>
    <x v="3"/>
    <x v="1"/>
    <s v="2023-05-09"/>
    <s v="Thursday"/>
    <x v="1"/>
    <n v="78"/>
    <n v="2"/>
    <n v="3"/>
    <n v="71.819999999999993"/>
    <n v="12.8"/>
    <n v="5.41"/>
    <m/>
    <s v="None"/>
    <d v="2023-07-26T00:00:00"/>
    <n v="37"/>
    <n v="0"/>
    <n v="0"/>
    <s v="Ankle"/>
    <n v="30"/>
    <n v="191"/>
    <n v="91"/>
    <s v="Argentina"/>
    <n v="69.8"/>
    <n v="6.57"/>
    <n v="1.28"/>
  </r>
  <r>
    <s v="PID0130"/>
    <x v="2"/>
    <x v="2"/>
    <s v="2023-05-10"/>
    <s v="Friday"/>
    <x v="0"/>
    <n v="47"/>
    <n v="4"/>
    <n v="0"/>
    <n v="52.77"/>
    <n v="6.1"/>
    <n v="6.64"/>
    <d v="2023-07-14T00:00:00"/>
    <s v="ACL Tear"/>
    <m/>
    <n v="35"/>
    <n v="0"/>
    <n v="4"/>
    <s v="None"/>
    <n v="32"/>
    <n v="193"/>
    <n v="66"/>
    <s v="USA"/>
    <n v="43.9"/>
    <n v="9.1"/>
    <n v="0.98"/>
  </r>
  <r>
    <s v="PID0131"/>
    <x v="0"/>
    <x v="1"/>
    <s v="2023-05-11"/>
    <s v="Tuesday"/>
    <x v="1"/>
    <n v="85"/>
    <n v="3"/>
    <n v="4"/>
    <n v="78.05"/>
    <n v="14.6"/>
    <n v="9.39"/>
    <m/>
    <s v="ACL Tear"/>
    <m/>
    <m/>
    <n v="0"/>
    <n v="2"/>
    <s v="Hamstring"/>
    <n v="33"/>
    <n v="170"/>
    <n v="80"/>
    <s v="Brazil"/>
    <n v="48.2"/>
    <n v="7.09"/>
    <n v="1"/>
  </r>
  <r>
    <s v="PID0132"/>
    <x v="3"/>
    <x v="0"/>
    <s v="2023-05-12"/>
    <s v="Monday"/>
    <x v="0"/>
    <n v="61"/>
    <n v="1"/>
    <n v="1"/>
    <n v="58.35"/>
    <n v="7.6"/>
    <n v="12.25"/>
    <d v="2023-02-18T00:00:00"/>
    <s v="Hamstring Strain"/>
    <m/>
    <n v="34"/>
    <n v="0"/>
    <n v="1"/>
    <s v="Ankle"/>
    <n v="27"/>
    <n v="169"/>
    <n v="79"/>
    <s v="UK"/>
    <n v="51.8"/>
    <n v="7.99"/>
    <n v="0.7"/>
  </r>
  <r>
    <s v="PID0133"/>
    <x v="0"/>
    <x v="2"/>
    <s v="2023-05-13"/>
    <s v="Tuesday"/>
    <x v="1"/>
    <n v="64"/>
    <n v="3"/>
    <n v="0"/>
    <n v="52.47"/>
    <n v="6"/>
    <n v="10.93"/>
    <m/>
    <s v="Hamstring Strain"/>
    <d v="2023-05-28T00:00:00"/>
    <n v="21"/>
    <n v="1"/>
    <n v="2"/>
    <s v="None"/>
    <n v="33"/>
    <n v="174"/>
    <n v="85"/>
    <s v="Brazil"/>
    <n v="52.7"/>
    <n v="7.14"/>
    <n v="1.0900000000000001"/>
  </r>
  <r>
    <s v="PID0134"/>
    <x v="2"/>
    <x v="2"/>
    <s v="2023-05-14"/>
    <s v="Saturday"/>
    <x v="1"/>
    <n v="81"/>
    <n v="1"/>
    <n v="2"/>
    <n v="66.95"/>
    <n v="10.6"/>
    <n v="11.5"/>
    <m/>
    <s v="Ankle Sprain"/>
    <m/>
    <m/>
    <n v="1"/>
    <n v="3"/>
    <s v="None"/>
    <n v="29"/>
    <n v="176"/>
    <n v="63"/>
    <s v="Spain"/>
    <n v="52.3"/>
    <n v="6.54"/>
    <n v="0.69"/>
  </r>
  <r>
    <s v="PID0135"/>
    <x v="1"/>
    <x v="1"/>
    <s v="2023-05-15"/>
    <s v="Saturday"/>
    <x v="1"/>
    <n v="76"/>
    <n v="4"/>
    <n v="6"/>
    <n v="91.85"/>
    <n v="19.2"/>
    <n v="9.7899999999999991"/>
    <m/>
    <s v="Ankle Sprain"/>
    <m/>
    <m/>
    <n v="0"/>
    <n v="2"/>
    <s v="ACL"/>
    <n v="34"/>
    <n v="199"/>
    <n v="81"/>
    <s v="USA"/>
    <n v="67.2"/>
    <n v="8.52"/>
    <n v="0.83"/>
  </r>
  <r>
    <s v="PID0136"/>
    <x v="0"/>
    <x v="2"/>
    <s v="2023-05-16"/>
    <s v="Wednesday"/>
    <x v="0"/>
    <n v="25"/>
    <n v="1"/>
    <n v="3"/>
    <n v="71.77"/>
    <n v="12.8"/>
    <n v="11.16"/>
    <m/>
    <s v="Hamstring Strain"/>
    <m/>
    <n v="14"/>
    <n v="0"/>
    <n v="0"/>
    <s v="Ankle"/>
    <n v="33"/>
    <n v="177"/>
    <n v="74"/>
    <s v="Argentina"/>
    <n v="61.4"/>
    <n v="6.22"/>
    <n v="1.36"/>
  </r>
  <r>
    <s v="PID0137"/>
    <x v="0"/>
    <x v="0"/>
    <s v="2023-05-17"/>
    <s v="Wednesday"/>
    <x v="0"/>
    <n v="47"/>
    <n v="2"/>
    <n v="0"/>
    <n v="52.37"/>
    <n v="5.9"/>
    <n v="8.2899999999999991"/>
    <m/>
    <s v="Hamstring Strain"/>
    <d v="2023-09-17T00:00:00"/>
    <m/>
    <n v="0"/>
    <n v="2"/>
    <s v="Hamstring"/>
    <n v="29"/>
    <n v="168"/>
    <n v="99"/>
    <s v="Spain"/>
    <n v="58.2"/>
    <n v="8.99"/>
    <n v="0.71"/>
  </r>
  <r>
    <s v="PID0138"/>
    <x v="1"/>
    <x v="0"/>
    <s v="2023-05-18"/>
    <s v="Monday"/>
    <x v="1"/>
    <n v="47"/>
    <n v="2"/>
    <n v="1"/>
    <n v="58.3"/>
    <n v="7.6"/>
    <n v="9.6999999999999993"/>
    <m/>
    <s v="ACL Tear"/>
    <m/>
    <m/>
    <n v="1"/>
    <n v="3"/>
    <s v="Hamstring"/>
    <n v="25"/>
    <n v="184"/>
    <n v="80"/>
    <s v="Germany"/>
    <n v="49.3"/>
    <n v="7.27"/>
    <n v="0.56999999999999995"/>
  </r>
  <r>
    <s v="PID0139"/>
    <x v="1"/>
    <x v="1"/>
    <s v="2023-05-19"/>
    <s v="Wednesday"/>
    <x v="1"/>
    <n v="63"/>
    <n v="2"/>
    <n v="2"/>
    <n v="66.41"/>
    <n v="10.6"/>
    <n v="12.44"/>
    <m/>
    <s v="Hamstring Strain"/>
    <m/>
    <m/>
    <n v="1"/>
    <n v="1"/>
    <s v="Hamstring"/>
    <n v="37"/>
    <n v="199"/>
    <n v="74"/>
    <s v="UK"/>
    <n v="64.7"/>
    <n v="6"/>
    <n v="0.56999999999999995"/>
  </r>
  <r>
    <s v="PID0140"/>
    <x v="3"/>
    <x v="0"/>
    <s v="2023-05-20"/>
    <s v="Thursday"/>
    <x v="1"/>
    <n v="49"/>
    <n v="2"/>
    <n v="5"/>
    <n v="84.69"/>
    <n v="16.899999999999999"/>
    <n v="13.72"/>
    <m/>
    <s v="Hamstring Strain"/>
    <m/>
    <n v="57"/>
    <n v="0"/>
    <n v="4"/>
    <s v="None"/>
    <n v="20"/>
    <n v="173"/>
    <n v="81"/>
    <s v="Spain"/>
    <n v="68.7"/>
    <n v="8.0399999999999991"/>
    <n v="1.44"/>
  </r>
  <r>
    <s v="PID0141"/>
    <x v="2"/>
    <x v="3"/>
    <s v="2023-05-21"/>
    <s v="Thursday"/>
    <x v="0"/>
    <n v="81"/>
    <n v="1"/>
    <n v="1"/>
    <n v="58.19"/>
    <n v="7.5"/>
    <n v="9.34"/>
    <d v="2023-08-07T00:00:00"/>
    <s v="Ankle Sprain"/>
    <m/>
    <n v="46"/>
    <n v="1"/>
    <n v="2"/>
    <s v="ACL"/>
    <n v="33"/>
    <n v="184"/>
    <n v="87"/>
    <s v="Brazil"/>
    <n v="64.599999999999994"/>
    <n v="6.19"/>
    <n v="1.01"/>
  </r>
  <r>
    <s v="PID0142"/>
    <x v="3"/>
    <x v="1"/>
    <s v="2023-05-22"/>
    <s v="Tuesday"/>
    <x v="1"/>
    <n v="94"/>
    <n v="4"/>
    <n v="6"/>
    <n v="91.2"/>
    <n v="19.2"/>
    <n v="5.44"/>
    <d v="2023-06-18T00:00:00"/>
    <s v="ACL Tear"/>
    <d v="2023-11-07T00:00:00"/>
    <m/>
    <n v="0"/>
    <n v="3"/>
    <s v="Ankle"/>
    <n v="30"/>
    <n v="181"/>
    <n v="73"/>
    <s v="USA"/>
    <n v="40"/>
    <n v="7.1"/>
    <n v="0.91"/>
  </r>
  <r>
    <s v="PID0143"/>
    <x v="2"/>
    <x v="2"/>
    <s v="2023-05-23"/>
    <s v="Sunday"/>
    <x v="1"/>
    <n v="81"/>
    <n v="1"/>
    <n v="1"/>
    <n v="58.08"/>
    <n v="7.4"/>
    <n v="6.62"/>
    <d v="2023-05-01T00:00:00"/>
    <s v="Hamstring Strain"/>
    <d v="2023-02-16T00:00:00"/>
    <m/>
    <n v="0"/>
    <n v="3"/>
    <s v="None"/>
    <n v="36"/>
    <n v="189"/>
    <n v="86"/>
    <s v="Spain"/>
    <n v="59.1"/>
    <n v="8.83"/>
    <n v="1.31"/>
  </r>
  <r>
    <s v="PID0144"/>
    <x v="3"/>
    <x v="1"/>
    <s v="2023-05-24"/>
    <s v="Sunday"/>
    <x v="0"/>
    <n v="20"/>
    <n v="1"/>
    <n v="2"/>
    <n v="66.34"/>
    <n v="10.6"/>
    <n v="5.21"/>
    <m/>
    <s v="Ankle Sprain"/>
    <m/>
    <m/>
    <n v="0"/>
    <n v="1"/>
    <s v="Ankle"/>
    <n v="25"/>
    <n v="179"/>
    <n v="99"/>
    <s v="Germany"/>
    <n v="41.5"/>
    <n v="6.25"/>
    <n v="1.34"/>
  </r>
  <r>
    <s v="PID0145"/>
    <x v="1"/>
    <x v="2"/>
    <s v="2023-05-25"/>
    <s v="Friday"/>
    <x v="0"/>
    <n v="46"/>
    <n v="2"/>
    <n v="1"/>
    <n v="57.82"/>
    <n v="7.4"/>
    <n v="11.53"/>
    <m/>
    <s v="Ankle Sprain"/>
    <d v="2023-08-26T00:00:00"/>
    <n v="88"/>
    <n v="0"/>
    <n v="0"/>
    <s v="None"/>
    <n v="39"/>
    <n v="180"/>
    <n v="87"/>
    <s v="Germany"/>
    <n v="47.7"/>
    <n v="9.36"/>
    <n v="0.83"/>
  </r>
  <r>
    <s v="PID0146"/>
    <x v="2"/>
    <x v="0"/>
    <s v="2023-05-26"/>
    <s v="Thursday"/>
    <x v="0"/>
    <n v="81"/>
    <n v="2"/>
    <n v="2"/>
    <n v="66.319999999999993"/>
    <n v="10.6"/>
    <n v="8.32"/>
    <m/>
    <s v="Ankle Sprain"/>
    <m/>
    <m/>
    <n v="0"/>
    <n v="2"/>
    <s v="Hamstring"/>
    <n v="22"/>
    <n v="191"/>
    <n v="85"/>
    <s v="Spain"/>
    <n v="41.8"/>
    <n v="6.02"/>
    <n v="1.19"/>
  </r>
  <r>
    <s v="PID0147"/>
    <x v="0"/>
    <x v="1"/>
    <s v="2023-05-27"/>
    <s v="Saturday"/>
    <x v="0"/>
    <n v="22"/>
    <n v="0"/>
    <n v="0"/>
    <n v="52.32"/>
    <n v="5.8"/>
    <n v="10.42"/>
    <d v="2023-10-06T00:00:00"/>
    <s v="Hamstring Strain"/>
    <m/>
    <m/>
    <n v="0"/>
    <n v="3"/>
    <s v="ACL"/>
    <n v="37"/>
    <n v="180"/>
    <n v="61"/>
    <s v="Germany"/>
    <n v="58.1"/>
    <n v="6.99"/>
    <n v="1.27"/>
  </r>
  <r>
    <s v="PID0148"/>
    <x v="3"/>
    <x v="1"/>
    <s v="2023-05-28"/>
    <s v="Thursday"/>
    <x v="0"/>
    <n v="89"/>
    <n v="4"/>
    <n v="2"/>
    <n v="65.92"/>
    <n v="10.6"/>
    <n v="9.93"/>
    <m/>
    <s v="Ankle Sprain"/>
    <m/>
    <m/>
    <n v="0"/>
    <n v="1"/>
    <s v="None"/>
    <n v="25"/>
    <n v="194"/>
    <n v="84"/>
    <s v="Argentina"/>
    <n v="60.6"/>
    <n v="8.9600000000000009"/>
    <n v="1.1499999999999999"/>
  </r>
  <r>
    <s v="PID0149"/>
    <x v="2"/>
    <x v="1"/>
    <s v="2023-05-29"/>
    <s v="Monday"/>
    <x v="1"/>
    <n v="91"/>
    <n v="3"/>
    <n v="2"/>
    <n v="65.819999999999993"/>
    <n v="10.6"/>
    <n v="5.82"/>
    <d v="2023-06-01T00:00:00"/>
    <s v="Hamstring Strain"/>
    <m/>
    <m/>
    <n v="1"/>
    <n v="4"/>
    <s v="Ankle"/>
    <n v="29"/>
    <n v="191"/>
    <n v="62"/>
    <s v="Spain"/>
    <n v="43.4"/>
    <n v="7.27"/>
    <n v="0.65"/>
  </r>
  <r>
    <s v="PID0150"/>
    <x v="2"/>
    <x v="1"/>
    <s v="2023-05-30"/>
    <s v="Friday"/>
    <x v="1"/>
    <n v="46"/>
    <n v="1"/>
    <n v="3"/>
    <n v="71.650000000000006"/>
    <n v="12.7"/>
    <n v="9.0299999999999994"/>
    <m/>
    <s v="Hamstring Strain"/>
    <m/>
    <m/>
    <n v="0"/>
    <n v="3"/>
    <s v="ACL"/>
    <n v="18"/>
    <n v="189"/>
    <n v="67"/>
    <s v="USA"/>
    <n v="51.5"/>
    <n v="6.41"/>
    <n v="1.38"/>
  </r>
  <r>
    <s v="PID0151"/>
    <x v="2"/>
    <x v="0"/>
    <s v="2023-05-31"/>
    <s v="Sunday"/>
    <x v="1"/>
    <n v="28"/>
    <n v="0"/>
    <n v="2"/>
    <n v="65.53"/>
    <n v="10.6"/>
    <n v="7.21"/>
    <m/>
    <s v="ACL Tear"/>
    <d v="2023-04-18T00:00:00"/>
    <n v="53"/>
    <n v="0"/>
    <n v="1"/>
    <s v="None"/>
    <n v="38"/>
    <n v="198"/>
    <n v="92"/>
    <s v="Germany"/>
    <n v="53.7"/>
    <n v="7.44"/>
    <n v="1.04"/>
  </r>
  <r>
    <s v="PID0152"/>
    <x v="1"/>
    <x v="1"/>
    <s v="2023-06-01"/>
    <s v="Saturday"/>
    <x v="1"/>
    <n v="81"/>
    <n v="0"/>
    <n v="2"/>
    <n v="65.5"/>
    <n v="10.4"/>
    <n v="9.18"/>
    <d v="2023-09-23T00:00:00"/>
    <s v="Hamstring Strain"/>
    <m/>
    <m/>
    <n v="0"/>
    <n v="0"/>
    <s v="Hamstring"/>
    <n v="37"/>
    <n v="171"/>
    <n v="94"/>
    <s v="Brazil"/>
    <n v="51.1"/>
    <n v="7.08"/>
    <n v="0.78"/>
  </r>
  <r>
    <s v="PID0153"/>
    <x v="0"/>
    <x v="1"/>
    <s v="2023-06-02"/>
    <s v="Friday"/>
    <x v="0"/>
    <n v="56"/>
    <n v="1"/>
    <n v="5"/>
    <n v="84.69"/>
    <n v="16.899999999999999"/>
    <n v="7.04"/>
    <m/>
    <s v="None"/>
    <d v="2023-10-07T00:00:00"/>
    <m/>
    <n v="0"/>
    <n v="0"/>
    <s v="Ankle"/>
    <n v="23"/>
    <n v="177"/>
    <n v="65"/>
    <s v="UK"/>
    <n v="43.6"/>
    <n v="9.3699999999999992"/>
    <n v="0.93"/>
  </r>
  <r>
    <s v="PID0154"/>
    <x v="1"/>
    <x v="3"/>
    <s v="2023-06-03"/>
    <s v="Friday"/>
    <x v="1"/>
    <n v="70"/>
    <n v="0"/>
    <n v="0"/>
    <n v="52.2"/>
    <n v="5.8"/>
    <n v="13.4"/>
    <m/>
    <s v="None"/>
    <m/>
    <n v="24"/>
    <n v="0"/>
    <n v="3"/>
    <s v="Ankle"/>
    <n v="39"/>
    <n v="180"/>
    <n v="98"/>
    <s v="Germany"/>
    <n v="52.6"/>
    <n v="7.25"/>
    <n v="0.54"/>
  </r>
  <r>
    <s v="PID0155"/>
    <x v="2"/>
    <x v="1"/>
    <s v="2023-06-04"/>
    <s v="Thursday"/>
    <x v="1"/>
    <n v="63"/>
    <n v="0"/>
    <n v="6"/>
    <n v="90.97"/>
    <n v="19.100000000000001"/>
    <n v="6.74"/>
    <m/>
    <s v="ACL Tear"/>
    <d v="2023-05-13T00:00:00"/>
    <m/>
    <n v="0"/>
    <n v="3"/>
    <s v="None"/>
    <n v="35"/>
    <n v="172"/>
    <n v="82"/>
    <s v="Brazil"/>
    <n v="62.5"/>
    <n v="9.16"/>
    <n v="0.63"/>
  </r>
  <r>
    <s v="PID0156"/>
    <x v="2"/>
    <x v="2"/>
    <s v="2023-06-05"/>
    <s v="Sunday"/>
    <x v="1"/>
    <n v="43"/>
    <n v="0"/>
    <n v="3"/>
    <n v="71.59"/>
    <n v="12.7"/>
    <n v="14.61"/>
    <m/>
    <s v="Hamstring Strain"/>
    <m/>
    <n v="52"/>
    <n v="0"/>
    <n v="2"/>
    <s v="Hamstring"/>
    <n v="25"/>
    <n v="180"/>
    <n v="84"/>
    <s v="UK"/>
    <n v="42.1"/>
    <n v="9.57"/>
    <n v="1.27"/>
  </r>
  <r>
    <s v="PID0157"/>
    <x v="1"/>
    <x v="1"/>
    <s v="2023-06-06"/>
    <s v="Friday"/>
    <x v="0"/>
    <n v="78"/>
    <n v="4"/>
    <n v="5"/>
    <n v="84.69"/>
    <n v="16.899999999999999"/>
    <n v="9.16"/>
    <d v="2023-12-17T00:00:00"/>
    <s v="Ankle Sprain"/>
    <m/>
    <n v="57"/>
    <n v="0"/>
    <n v="1"/>
    <s v="ACL"/>
    <n v="24"/>
    <n v="167"/>
    <n v="78"/>
    <s v="Brazil"/>
    <n v="42.4"/>
    <n v="7.74"/>
    <n v="0.5"/>
  </r>
  <r>
    <s v="PID0158"/>
    <x v="0"/>
    <x v="0"/>
    <s v="2023-06-07"/>
    <s v="Tuesday"/>
    <x v="1"/>
    <n v="51"/>
    <n v="3"/>
    <n v="4"/>
    <n v="78.03"/>
    <n v="14.6"/>
    <n v="13.46"/>
    <d v="2023-06-17T00:00:00"/>
    <s v="ACL Tear"/>
    <m/>
    <m/>
    <n v="0"/>
    <n v="3"/>
    <s v="Ankle"/>
    <n v="18"/>
    <n v="199"/>
    <n v="64"/>
    <s v="Brazil"/>
    <n v="50.6"/>
    <n v="9.64"/>
    <n v="0.92"/>
  </r>
  <r>
    <s v="PID0159"/>
    <x v="0"/>
    <x v="0"/>
    <s v="2023-06-08"/>
    <s v="Monday"/>
    <x v="1"/>
    <n v="71"/>
    <n v="0"/>
    <n v="0"/>
    <n v="52.11"/>
    <n v="5.7"/>
    <n v="11.29"/>
    <d v="2023-08-26T00:00:00"/>
    <s v="ACL Tear"/>
    <m/>
    <m/>
    <n v="0"/>
    <n v="2"/>
    <s v="ACL"/>
    <n v="38"/>
    <n v="166"/>
    <n v="70"/>
    <s v="Spain"/>
    <n v="68.3"/>
    <n v="7.51"/>
    <n v="1.02"/>
  </r>
  <r>
    <s v="PID0160"/>
    <x v="2"/>
    <x v="1"/>
    <s v="2023-06-09"/>
    <s v="Wednesday"/>
    <x v="0"/>
    <n v="81"/>
    <n v="3"/>
    <n v="0"/>
    <n v="52.03"/>
    <n v="5.7"/>
    <n v="12.35"/>
    <d v="2023-10-21T00:00:00"/>
    <s v="Hamstring Strain"/>
    <m/>
    <m/>
    <n v="0"/>
    <n v="2"/>
    <s v="None"/>
    <n v="33"/>
    <n v="182"/>
    <n v="71"/>
    <s v="Spain"/>
    <n v="60.1"/>
    <n v="9.86"/>
    <n v="0.55000000000000004"/>
  </r>
  <r>
    <s v="PID0161"/>
    <x v="1"/>
    <x v="1"/>
    <s v="2023-06-10"/>
    <s v="Saturday"/>
    <x v="1"/>
    <n v="77"/>
    <n v="1"/>
    <n v="4"/>
    <n v="77.47"/>
    <n v="14.5"/>
    <n v="12.68"/>
    <d v="2023-11-20T00:00:00"/>
    <s v="None"/>
    <d v="2023-08-09T00:00:00"/>
    <m/>
    <n v="0"/>
    <n v="3"/>
    <s v="Ankle"/>
    <n v="29"/>
    <n v="191"/>
    <n v="69"/>
    <s v="USA"/>
    <n v="60.4"/>
    <n v="6.36"/>
    <n v="1.47"/>
  </r>
  <r>
    <s v="PID0162"/>
    <x v="2"/>
    <x v="1"/>
    <s v="2023-06-11"/>
    <s v="Tuesday"/>
    <x v="0"/>
    <n v="71"/>
    <n v="2"/>
    <n v="6"/>
    <n v="90.89"/>
    <n v="19.100000000000001"/>
    <n v="10.050000000000001"/>
    <d v="2023-01-25T00:00:00"/>
    <s v="Hamstring Strain"/>
    <d v="2023-03-14T00:00:00"/>
    <n v="79"/>
    <n v="0"/>
    <n v="0"/>
    <s v="Hamstring"/>
    <n v="23"/>
    <n v="170"/>
    <n v="67"/>
    <s v="Brazil"/>
    <n v="50.9"/>
    <n v="8.75"/>
    <n v="0.73"/>
  </r>
  <r>
    <s v="PID0163"/>
    <x v="2"/>
    <x v="0"/>
    <s v="2023-06-12"/>
    <s v="Sunday"/>
    <x v="0"/>
    <n v="31"/>
    <n v="0"/>
    <n v="2"/>
    <n v="65.14"/>
    <n v="10.4"/>
    <n v="10.43"/>
    <d v="2023-07-26T00:00:00"/>
    <s v="Hamstring Strain"/>
    <m/>
    <m/>
    <n v="1"/>
    <n v="1"/>
    <s v="Ankle"/>
    <n v="37"/>
    <n v="181"/>
    <n v="83"/>
    <s v="Argentina"/>
    <n v="57.8"/>
    <n v="7.98"/>
    <n v="0.8"/>
  </r>
  <r>
    <s v="PID0164"/>
    <x v="1"/>
    <x v="0"/>
    <s v="2023-06-13"/>
    <s v="Monday"/>
    <x v="0"/>
    <n v="58"/>
    <n v="4"/>
    <n v="5"/>
    <n v="84.16"/>
    <n v="16.8"/>
    <n v="10.14"/>
    <d v="2023-12-24T00:00:00"/>
    <s v="ACL Tear"/>
    <d v="2023-10-10T00:00:00"/>
    <m/>
    <n v="0"/>
    <n v="1"/>
    <s v="Hamstring"/>
    <n v="19"/>
    <n v="181"/>
    <n v="87"/>
    <s v="Spain"/>
    <n v="40.299999999999997"/>
    <n v="7.55"/>
    <n v="0.8"/>
  </r>
  <r>
    <s v="PID0165"/>
    <x v="2"/>
    <x v="0"/>
    <s v="2023-06-14"/>
    <s v="Thursday"/>
    <x v="1"/>
    <n v="21"/>
    <n v="1"/>
    <n v="1"/>
    <n v="57.29"/>
    <n v="7.3"/>
    <n v="10.88"/>
    <d v="2023-11-15T00:00:00"/>
    <s v="ACL Tear"/>
    <m/>
    <m/>
    <n v="0"/>
    <n v="0"/>
    <s v="Ankle"/>
    <n v="31"/>
    <n v="184"/>
    <n v="95"/>
    <s v="Brazil"/>
    <n v="59.1"/>
    <n v="8.5299999999999994"/>
    <n v="0.73"/>
  </r>
  <r>
    <s v="PID0166"/>
    <x v="3"/>
    <x v="1"/>
    <s v="2023-06-15"/>
    <s v="Sunday"/>
    <x v="1"/>
    <n v="22"/>
    <n v="3"/>
    <n v="3"/>
    <n v="71.45"/>
    <n v="12.6"/>
    <n v="5.29"/>
    <m/>
    <s v="Hamstring Strain"/>
    <m/>
    <m/>
    <n v="0"/>
    <n v="3"/>
    <s v="ACL"/>
    <n v="21"/>
    <n v="181"/>
    <n v="96"/>
    <s v="UK"/>
    <n v="67.400000000000006"/>
    <n v="8.82"/>
    <n v="0.5"/>
  </r>
  <r>
    <s v="PID0167"/>
    <x v="3"/>
    <x v="0"/>
    <s v="2023-06-16"/>
    <s v="Wednesday"/>
    <x v="0"/>
    <n v="75"/>
    <n v="1"/>
    <n v="1"/>
    <n v="57.22"/>
    <n v="7.3"/>
    <n v="8.9600000000000009"/>
    <m/>
    <s v="ACL Tear"/>
    <m/>
    <m/>
    <n v="0"/>
    <n v="1"/>
    <s v="Ankle"/>
    <n v="18"/>
    <n v="187"/>
    <n v="80"/>
    <s v="UK"/>
    <n v="58.4"/>
    <n v="6.02"/>
    <n v="1.23"/>
  </r>
  <r>
    <s v="PID0168"/>
    <x v="2"/>
    <x v="1"/>
    <s v="2023-06-17"/>
    <s v="Sunday"/>
    <x v="0"/>
    <n v="78"/>
    <n v="0"/>
    <n v="4"/>
    <n v="77.040000000000006"/>
    <n v="14.5"/>
    <n v="11.06"/>
    <m/>
    <s v="Hamstring Strain"/>
    <m/>
    <m/>
    <n v="0"/>
    <n v="3"/>
    <s v="Ankle"/>
    <n v="35"/>
    <n v="188"/>
    <n v="67"/>
    <s v="Argentina"/>
    <n v="66.2"/>
    <n v="6.67"/>
    <n v="1.47"/>
  </r>
  <r>
    <s v="PID0169"/>
    <x v="1"/>
    <x v="3"/>
    <s v="2023-06-18"/>
    <s v="Friday"/>
    <x v="1"/>
    <n v="21"/>
    <n v="0"/>
    <n v="0"/>
    <n v="52"/>
    <n v="5.7"/>
    <n v="10.98"/>
    <d v="2023-06-19T00:00:00"/>
    <s v="Ankle Sprain"/>
    <m/>
    <m/>
    <n v="1"/>
    <n v="3"/>
    <s v="ACL"/>
    <n v="30"/>
    <n v="172"/>
    <n v="68"/>
    <s v="USA"/>
    <n v="61.7"/>
    <n v="8.85"/>
    <n v="0.72"/>
  </r>
  <r>
    <s v="PID0170"/>
    <x v="0"/>
    <x v="1"/>
    <s v="2023-06-19"/>
    <s v="Friday"/>
    <x v="0"/>
    <n v="21"/>
    <n v="2"/>
    <n v="6"/>
    <n v="90.79"/>
    <n v="19"/>
    <n v="12.93"/>
    <m/>
    <s v="None"/>
    <m/>
    <n v="55"/>
    <n v="1"/>
    <n v="2"/>
    <s v="Hamstring"/>
    <n v="19"/>
    <n v="177"/>
    <n v="74"/>
    <s v="Argentina"/>
    <n v="43.6"/>
    <n v="8.67"/>
    <n v="1.1599999999999999"/>
  </r>
  <r>
    <s v="PID0171"/>
    <x v="0"/>
    <x v="0"/>
    <s v="2023-06-20"/>
    <s v="Thursday"/>
    <x v="1"/>
    <n v="73"/>
    <n v="1"/>
    <n v="0"/>
    <n v="51.99"/>
    <n v="5.7"/>
    <n v="11.55"/>
    <m/>
    <s v="Hamstring Strain"/>
    <m/>
    <m/>
    <n v="1"/>
    <n v="0"/>
    <s v="Ankle"/>
    <n v="26"/>
    <n v="161"/>
    <n v="99"/>
    <s v="Argentina"/>
    <n v="67.099999999999994"/>
    <n v="9.86"/>
    <n v="1.24"/>
  </r>
  <r>
    <s v="PID0172"/>
    <x v="1"/>
    <x v="1"/>
    <s v="2023-06-21"/>
    <s v="Friday"/>
    <x v="0"/>
    <n v="20"/>
    <n v="0"/>
    <n v="3"/>
    <n v="71.34"/>
    <n v="12.5"/>
    <n v="14.92"/>
    <m/>
    <s v="ACL Tear"/>
    <d v="2023-04-13T00:00:00"/>
    <m/>
    <n v="0"/>
    <n v="3"/>
    <s v="ACL"/>
    <n v="38"/>
    <n v="188"/>
    <n v="77"/>
    <s v="Spain"/>
    <n v="42"/>
    <n v="9.0399999999999991"/>
    <n v="1.35"/>
  </r>
  <r>
    <s v="PID0173"/>
    <x v="0"/>
    <x v="0"/>
    <s v="2023-06-22"/>
    <s v="Sunday"/>
    <x v="0"/>
    <n v="38"/>
    <n v="4"/>
    <n v="0"/>
    <n v="51.69"/>
    <n v="5.6"/>
    <n v="7.84"/>
    <m/>
    <s v="None"/>
    <d v="2023-08-18T00:00:00"/>
    <m/>
    <n v="0"/>
    <n v="4"/>
    <s v="Ankle"/>
    <n v="19"/>
    <n v="180"/>
    <n v="79"/>
    <s v="Spain"/>
    <n v="56"/>
    <n v="9.8000000000000007"/>
    <n v="0.92"/>
  </r>
  <r>
    <s v="PID0174"/>
    <x v="1"/>
    <x v="1"/>
    <s v="2023-06-23"/>
    <s v="Tuesday"/>
    <x v="0"/>
    <n v="21"/>
    <n v="3"/>
    <n v="0"/>
    <n v="51.65"/>
    <n v="5.6"/>
    <n v="8.59"/>
    <d v="2023-01-18T00:00:00"/>
    <s v="Hamstring Strain"/>
    <d v="2023-05-01T00:00:00"/>
    <m/>
    <n v="0"/>
    <n v="0"/>
    <s v="Ankle"/>
    <n v="26"/>
    <n v="174"/>
    <n v="65"/>
    <s v="Germany"/>
    <n v="44.3"/>
    <n v="8.81"/>
    <n v="0.8"/>
  </r>
  <r>
    <s v="PID0175"/>
    <x v="3"/>
    <x v="2"/>
    <s v="2023-06-24"/>
    <s v="Tuesday"/>
    <x v="0"/>
    <n v="72"/>
    <n v="1"/>
    <n v="3"/>
    <n v="71.290000000000006"/>
    <n v="12.5"/>
    <n v="8.84"/>
    <m/>
    <s v="ACL Tear"/>
    <m/>
    <m/>
    <n v="0"/>
    <n v="1"/>
    <s v="Hamstring"/>
    <n v="18"/>
    <n v="186"/>
    <n v="71"/>
    <s v="UK"/>
    <n v="40.4"/>
    <n v="7.19"/>
    <n v="0.83"/>
  </r>
  <r>
    <s v="PID0176"/>
    <x v="3"/>
    <x v="0"/>
    <s v="2023-06-25"/>
    <s v="Thursday"/>
    <x v="0"/>
    <n v="63"/>
    <n v="1"/>
    <n v="5"/>
    <n v="84.13"/>
    <n v="16.7"/>
    <n v="9.66"/>
    <m/>
    <s v="None"/>
    <m/>
    <m/>
    <n v="0"/>
    <n v="2"/>
    <s v="ACL"/>
    <n v="28"/>
    <n v="190"/>
    <n v="61"/>
    <s v="Germany"/>
    <n v="52.7"/>
    <n v="6.42"/>
    <n v="1.21"/>
  </r>
  <r>
    <s v="PID0177"/>
    <x v="0"/>
    <x v="0"/>
    <s v="2023-06-26"/>
    <s v="Sunday"/>
    <x v="1"/>
    <n v="51"/>
    <n v="2"/>
    <n v="5"/>
    <n v="84.05"/>
    <n v="16.600000000000001"/>
    <n v="13.36"/>
    <d v="2023-01-16T00:00:00"/>
    <s v="None"/>
    <d v="2023-05-08T00:00:00"/>
    <m/>
    <n v="0"/>
    <n v="1"/>
    <s v="Ankle"/>
    <n v="20"/>
    <n v="174"/>
    <n v="66"/>
    <s v="Argentina"/>
    <n v="48.9"/>
    <n v="9.1300000000000008"/>
    <n v="1.32"/>
  </r>
  <r>
    <s v="PID0178"/>
    <x v="1"/>
    <x v="2"/>
    <s v="2023-06-27"/>
    <s v="Sunday"/>
    <x v="0"/>
    <n v="89"/>
    <n v="2"/>
    <n v="3"/>
    <n v="71.2"/>
    <n v="12.4"/>
    <n v="7.36"/>
    <m/>
    <s v="ACL Tear"/>
    <m/>
    <m/>
    <n v="1"/>
    <n v="1"/>
    <s v="None"/>
    <n v="37"/>
    <n v="182"/>
    <n v="75"/>
    <s v="Argentina"/>
    <n v="54.6"/>
    <n v="8.58"/>
    <n v="0.68"/>
  </r>
  <r>
    <s v="PID0179"/>
    <x v="1"/>
    <x v="1"/>
    <s v="2023-06-28"/>
    <s v="Friday"/>
    <x v="1"/>
    <n v="51"/>
    <n v="4"/>
    <n v="6"/>
    <n v="90.67"/>
    <n v="19"/>
    <n v="12.76"/>
    <d v="2023-08-11T00:00:00"/>
    <s v="Hamstring Strain"/>
    <d v="2023-12-07T00:00:00"/>
    <m/>
    <n v="0"/>
    <n v="0"/>
    <s v="Ankle"/>
    <n v="21"/>
    <n v="183"/>
    <n v="62"/>
    <s v="USA"/>
    <n v="57.3"/>
    <n v="6.19"/>
    <n v="0.87"/>
  </r>
  <r>
    <s v="PID0180"/>
    <x v="0"/>
    <x v="1"/>
    <s v="2023-06-29"/>
    <s v="Saturday"/>
    <x v="0"/>
    <n v="87"/>
    <n v="4"/>
    <n v="4"/>
    <n v="76.92"/>
    <n v="14.4"/>
    <n v="9.0500000000000007"/>
    <m/>
    <s v="Ankle Sprain"/>
    <m/>
    <m/>
    <n v="0"/>
    <n v="1"/>
    <s v="Hamstring"/>
    <n v="35"/>
    <n v="172"/>
    <n v="62"/>
    <s v="Brazil"/>
    <n v="41.3"/>
    <n v="7.44"/>
    <n v="1.4"/>
  </r>
  <r>
    <s v="PID0181"/>
    <x v="3"/>
    <x v="2"/>
    <s v="2023-06-30"/>
    <s v="Wednesday"/>
    <x v="1"/>
    <n v="74"/>
    <n v="0"/>
    <n v="0"/>
    <n v="51.59"/>
    <n v="5.6"/>
    <n v="11.02"/>
    <m/>
    <s v="Hamstring Strain"/>
    <m/>
    <m/>
    <n v="0"/>
    <n v="3"/>
    <s v="None"/>
    <n v="23"/>
    <n v="181"/>
    <n v="86"/>
    <s v="UK"/>
    <n v="43.7"/>
    <n v="9.83"/>
    <n v="1.31"/>
  </r>
  <r>
    <s v="PID0182"/>
    <x v="3"/>
    <x v="1"/>
    <s v="2023-07-01"/>
    <s v="Thursday"/>
    <x v="0"/>
    <n v="94"/>
    <n v="0"/>
    <n v="6"/>
    <n v="90.65"/>
    <n v="19"/>
    <n v="11.33"/>
    <d v="2023-11-12T00:00:00"/>
    <s v="None"/>
    <d v="2023-02-22T00:00:00"/>
    <m/>
    <n v="0"/>
    <n v="1"/>
    <s v="Hamstring"/>
    <n v="20"/>
    <n v="196"/>
    <n v="99"/>
    <s v="Spain"/>
    <n v="56.8"/>
    <n v="8"/>
    <n v="1.48"/>
  </r>
  <r>
    <s v="PID0183"/>
    <x v="0"/>
    <x v="0"/>
    <s v="2023-07-02"/>
    <s v="Friday"/>
    <x v="1"/>
    <n v="75"/>
    <n v="4"/>
    <n v="0"/>
    <n v="51.57"/>
    <n v="5.5"/>
    <n v="8.73"/>
    <d v="2023-11-25T00:00:00"/>
    <s v="ACL Tear"/>
    <m/>
    <m/>
    <n v="0"/>
    <n v="2"/>
    <s v="ACL"/>
    <n v="39"/>
    <n v="192"/>
    <n v="97"/>
    <s v="Brazil"/>
    <n v="50.3"/>
    <n v="7.73"/>
    <n v="1.25"/>
  </r>
  <r>
    <s v="PID0184"/>
    <x v="0"/>
    <x v="1"/>
    <s v="2023-07-03"/>
    <s v="Sunday"/>
    <x v="0"/>
    <n v="36"/>
    <n v="4"/>
    <n v="4"/>
    <n v="76.88"/>
    <n v="14.4"/>
    <n v="10.130000000000001"/>
    <m/>
    <s v="None"/>
    <d v="2023-03-16T00:00:00"/>
    <m/>
    <n v="0"/>
    <n v="2"/>
    <s v="ACL"/>
    <n v="28"/>
    <n v="162"/>
    <n v="92"/>
    <s v="UK"/>
    <n v="61.9"/>
    <n v="7.83"/>
    <n v="0.89"/>
  </r>
  <r>
    <s v="PID0185"/>
    <x v="0"/>
    <x v="0"/>
    <s v="2023-07-04"/>
    <s v="Wednesday"/>
    <x v="1"/>
    <n v="57"/>
    <n v="3"/>
    <n v="5"/>
    <n v="83.92"/>
    <n v="16.5"/>
    <n v="9.1300000000000008"/>
    <m/>
    <s v="Hamstring Strain"/>
    <m/>
    <m/>
    <n v="0"/>
    <n v="4"/>
    <s v="None"/>
    <n v="32"/>
    <n v="178"/>
    <n v="87"/>
    <s v="USA"/>
    <n v="59.6"/>
    <n v="6.84"/>
    <n v="1.0900000000000001"/>
  </r>
  <r>
    <s v="PID0186"/>
    <x v="2"/>
    <x v="1"/>
    <s v="2023-07-05"/>
    <s v="Saturday"/>
    <x v="1"/>
    <n v="43"/>
    <n v="2"/>
    <n v="6"/>
    <n v="90.53"/>
    <n v="18.899999999999999"/>
    <n v="5.69"/>
    <d v="2023-01-11T00:00:00"/>
    <s v="Ankle Sprain"/>
    <m/>
    <m/>
    <n v="0"/>
    <n v="2"/>
    <s v="None"/>
    <n v="39"/>
    <n v="182"/>
    <n v="60"/>
    <s v="USA"/>
    <n v="65.400000000000006"/>
    <n v="7.47"/>
    <n v="1.1599999999999999"/>
  </r>
  <r>
    <s v="PID0187"/>
    <x v="0"/>
    <x v="0"/>
    <s v="2023-07-06"/>
    <s v="Thursday"/>
    <x v="1"/>
    <n v="88"/>
    <n v="0"/>
    <n v="2"/>
    <n v="65.11"/>
    <n v="10.3"/>
    <n v="9.3699999999999992"/>
    <m/>
    <s v="Ankle Sprain"/>
    <m/>
    <m/>
    <n v="1"/>
    <n v="1"/>
    <s v="ACL"/>
    <n v="22"/>
    <n v="188"/>
    <n v="67"/>
    <s v="Spain"/>
    <n v="60.8"/>
    <n v="7.48"/>
    <n v="0.57999999999999996"/>
  </r>
  <r>
    <s v="PID0188"/>
    <x v="3"/>
    <x v="0"/>
    <s v="2023-07-07"/>
    <s v="Wednesday"/>
    <x v="1"/>
    <n v="89"/>
    <n v="2"/>
    <n v="2"/>
    <n v="65.03"/>
    <n v="10.3"/>
    <n v="5.97"/>
    <m/>
    <s v="Hamstring Strain"/>
    <m/>
    <m/>
    <n v="1"/>
    <n v="2"/>
    <s v="Ankle"/>
    <n v="37"/>
    <n v="189"/>
    <n v="96"/>
    <s v="Argentina"/>
    <n v="52.9"/>
    <n v="6.21"/>
    <n v="1.04"/>
  </r>
  <r>
    <s v="PID0189"/>
    <x v="1"/>
    <x v="1"/>
    <s v="2023-07-08"/>
    <s v="Wednesday"/>
    <x v="1"/>
    <n v="30"/>
    <n v="2"/>
    <n v="2"/>
    <n v="64.81"/>
    <n v="10.3"/>
    <n v="9.0500000000000007"/>
    <m/>
    <s v="Ankle Sprain"/>
    <m/>
    <m/>
    <n v="0"/>
    <n v="0"/>
    <s v="None"/>
    <n v="27"/>
    <n v="198"/>
    <n v="91"/>
    <s v="Argentina"/>
    <n v="60.2"/>
    <n v="9.07"/>
    <n v="1.21"/>
  </r>
  <r>
    <s v="PID0190"/>
    <x v="3"/>
    <x v="1"/>
    <s v="2023-07-09"/>
    <s v="Thursday"/>
    <x v="0"/>
    <n v="35"/>
    <n v="4"/>
    <n v="5"/>
    <n v="83.65"/>
    <n v="16.399999999999999"/>
    <n v="10.93"/>
    <m/>
    <s v="Ankle Sprain"/>
    <m/>
    <m/>
    <n v="0"/>
    <n v="2"/>
    <s v="Ankle"/>
    <n v="29"/>
    <n v="184"/>
    <n v="96"/>
    <s v="Brazil"/>
    <n v="48.3"/>
    <n v="7.67"/>
    <n v="0.67"/>
  </r>
  <r>
    <s v="PID0191"/>
    <x v="0"/>
    <x v="0"/>
    <s v="2023-07-10"/>
    <s v="Saturday"/>
    <x v="1"/>
    <n v="92"/>
    <n v="3"/>
    <n v="5"/>
    <n v="83.53"/>
    <n v="16.399999999999999"/>
    <n v="10.79"/>
    <m/>
    <s v="None"/>
    <d v="2023-02-01T00:00:00"/>
    <n v="52"/>
    <n v="1"/>
    <n v="3"/>
    <s v="Ankle"/>
    <n v="32"/>
    <n v="196"/>
    <n v="63"/>
    <s v="Brazil"/>
    <n v="49.2"/>
    <n v="9.2899999999999991"/>
    <n v="1.28"/>
  </r>
  <r>
    <s v="PID0192"/>
    <x v="1"/>
    <x v="1"/>
    <s v="2023-07-11"/>
    <s v="Friday"/>
    <x v="0"/>
    <n v="78"/>
    <n v="1"/>
    <n v="4"/>
    <n v="76.510000000000005"/>
    <n v="14.4"/>
    <n v="11.63"/>
    <d v="2023-06-19T00:00:00"/>
    <s v="None"/>
    <m/>
    <n v="30"/>
    <n v="1"/>
    <n v="0"/>
    <s v="ACL"/>
    <n v="34"/>
    <n v="167"/>
    <n v="89"/>
    <s v="Germany"/>
    <n v="63.7"/>
    <n v="9.4"/>
    <n v="1.08"/>
  </r>
  <r>
    <s v="PID0193"/>
    <x v="0"/>
    <x v="0"/>
    <s v="2023-07-12"/>
    <s v="Wednesday"/>
    <x v="1"/>
    <n v="89"/>
    <n v="3"/>
    <n v="0"/>
    <n v="51.54"/>
    <n v="5.5"/>
    <n v="5.95"/>
    <m/>
    <s v="Ankle Sprain"/>
    <m/>
    <m/>
    <n v="0"/>
    <n v="4"/>
    <s v="Hamstring"/>
    <n v="27"/>
    <n v="175"/>
    <n v="65"/>
    <s v="Brazil"/>
    <n v="53.4"/>
    <n v="6.85"/>
    <n v="1.45"/>
  </r>
  <r>
    <s v="PID0194"/>
    <x v="0"/>
    <x v="0"/>
    <s v="2023-07-13"/>
    <s v="Friday"/>
    <x v="1"/>
    <n v="22"/>
    <n v="3"/>
    <n v="4"/>
    <n v="76.48"/>
    <n v="14.4"/>
    <n v="11.52"/>
    <d v="2023-11-27T00:00:00"/>
    <s v="ACL Tear"/>
    <d v="2023-08-27T00:00:00"/>
    <m/>
    <n v="0"/>
    <n v="3"/>
    <s v="Hamstring"/>
    <n v="23"/>
    <n v="167"/>
    <n v="78"/>
    <s v="Brazil"/>
    <n v="64"/>
    <n v="8.6300000000000008"/>
    <n v="0.54"/>
  </r>
  <r>
    <s v="PID0195"/>
    <x v="3"/>
    <x v="0"/>
    <s v="2023-07-14"/>
    <s v="Wednesday"/>
    <x v="1"/>
    <n v="39"/>
    <n v="2"/>
    <n v="4"/>
    <n v="76.47"/>
    <n v="14.3"/>
    <n v="8.1199999999999992"/>
    <m/>
    <s v="Ankle Sprain"/>
    <m/>
    <m/>
    <n v="0"/>
    <n v="1"/>
    <s v="Hamstring"/>
    <n v="35"/>
    <n v="160"/>
    <n v="91"/>
    <s v="Brazil"/>
    <n v="64.7"/>
    <n v="7.89"/>
    <n v="0.77"/>
  </r>
  <r>
    <s v="PID0196"/>
    <x v="2"/>
    <x v="0"/>
    <s v="2023-07-15"/>
    <s v="Wednesday"/>
    <x v="0"/>
    <n v="78"/>
    <n v="3"/>
    <n v="5"/>
    <n v="83.45"/>
    <n v="16.3"/>
    <n v="8.99"/>
    <m/>
    <s v="Hamstring Strain"/>
    <m/>
    <m/>
    <n v="1"/>
    <n v="1"/>
    <s v="None"/>
    <n v="30"/>
    <n v="164"/>
    <n v="68"/>
    <s v="Brazil"/>
    <n v="65.7"/>
    <n v="9.52"/>
    <n v="1.1000000000000001"/>
  </r>
  <r>
    <s v="PID0197"/>
    <x v="0"/>
    <x v="1"/>
    <s v="2023-07-16"/>
    <s v="Monday"/>
    <x v="1"/>
    <n v="55"/>
    <n v="0"/>
    <n v="2"/>
    <n v="64.69"/>
    <n v="10.1"/>
    <n v="13.58"/>
    <d v="2023-11-09T00:00:00"/>
    <s v="Ankle Sprain"/>
    <m/>
    <n v="32"/>
    <n v="1"/>
    <n v="1"/>
    <s v="None"/>
    <n v="20"/>
    <n v="162"/>
    <n v="71"/>
    <s v="Brazil"/>
    <n v="67.5"/>
    <n v="6.86"/>
    <n v="0.8"/>
  </r>
  <r>
    <s v="PID0198"/>
    <x v="0"/>
    <x v="2"/>
    <s v="2023-07-17"/>
    <s v="Sunday"/>
    <x v="1"/>
    <n v="38"/>
    <n v="2"/>
    <n v="1"/>
    <n v="57.08"/>
    <n v="7.1"/>
    <n v="5.09"/>
    <m/>
    <s v="Ankle Sprain"/>
    <m/>
    <m/>
    <n v="0"/>
    <n v="3"/>
    <s v="ACL"/>
    <n v="27"/>
    <n v="160"/>
    <n v="70"/>
    <s v="Argentina"/>
    <n v="52.9"/>
    <n v="8.7100000000000009"/>
    <n v="1.21"/>
  </r>
  <r>
    <s v="PID0199"/>
    <x v="3"/>
    <x v="1"/>
    <s v="2023-07-18"/>
    <s v="Monday"/>
    <x v="0"/>
    <n v="86"/>
    <n v="0"/>
    <n v="0"/>
    <n v="50.83"/>
    <n v="5.4"/>
    <n v="10.88"/>
    <d v="2023-04-12T00:00:00"/>
    <s v="Ankle Sprain"/>
    <m/>
    <m/>
    <n v="1"/>
    <n v="3"/>
    <s v="Ankle"/>
    <n v="31"/>
    <n v="163"/>
    <n v="75"/>
    <s v="UK"/>
    <n v="49.6"/>
    <n v="8.43"/>
    <n v="1.26"/>
  </r>
  <r>
    <s v="PID0200"/>
    <x v="3"/>
    <x v="0"/>
    <s v="2023-07-19"/>
    <s v="Saturday"/>
    <x v="1"/>
    <n v="38"/>
    <n v="1"/>
    <n v="5"/>
    <n v="83.38"/>
    <n v="16.3"/>
    <n v="10.99"/>
    <d v="2023-08-21T00:00:00"/>
    <s v="None"/>
    <d v="2023-02-28T00:00:00"/>
    <m/>
    <n v="0"/>
    <n v="3"/>
    <s v="None"/>
    <n v="23"/>
    <n v="199"/>
    <n v="60"/>
    <s v="Spain"/>
    <n v="57.5"/>
    <n v="7.18"/>
    <n v="0.6"/>
  </r>
  <r>
    <s v="PID0201"/>
    <x v="1"/>
    <x v="0"/>
    <s v="2023-07-20"/>
    <s v="Tuesday"/>
    <x v="1"/>
    <n v="39"/>
    <n v="2"/>
    <n v="2"/>
    <n v="64.16"/>
    <n v="10.1"/>
    <n v="8.9700000000000006"/>
    <m/>
    <s v="None"/>
    <m/>
    <n v="89"/>
    <n v="1"/>
    <n v="0"/>
    <s v="None"/>
    <n v="20"/>
    <n v="194"/>
    <n v="80"/>
    <s v="USA"/>
    <n v="51.1"/>
    <n v="6.55"/>
    <n v="1.01"/>
  </r>
  <r>
    <s v="PID0202"/>
    <x v="1"/>
    <x v="1"/>
    <s v="2023-07-21"/>
    <s v="Saturday"/>
    <x v="0"/>
    <n v="90"/>
    <n v="1"/>
    <n v="6"/>
    <n v="90.38"/>
    <n v="18.7"/>
    <n v="7.37"/>
    <m/>
    <s v="ACL Tear"/>
    <m/>
    <m/>
    <n v="0"/>
    <n v="0"/>
    <s v="ACL"/>
    <n v="33"/>
    <n v="191"/>
    <n v="89"/>
    <s v="Spain"/>
    <n v="58"/>
    <n v="8.61"/>
    <n v="1.01"/>
  </r>
  <r>
    <s v="PID0203"/>
    <x v="0"/>
    <x v="1"/>
    <s v="2023-07-22"/>
    <s v="Monday"/>
    <x v="0"/>
    <n v="71"/>
    <n v="2"/>
    <n v="1"/>
    <n v="56.96"/>
    <n v="7.1"/>
    <n v="7.35"/>
    <m/>
    <s v="ACL Tear"/>
    <m/>
    <m/>
    <n v="1"/>
    <n v="1"/>
    <s v="Hamstring"/>
    <n v="24"/>
    <n v="193"/>
    <n v="72"/>
    <s v="Argentina"/>
    <n v="61.2"/>
    <n v="8.9499999999999993"/>
    <n v="0.87"/>
  </r>
  <r>
    <s v="PID0204"/>
    <x v="2"/>
    <x v="2"/>
    <s v="2023-07-23"/>
    <s v="Tuesday"/>
    <x v="1"/>
    <n v="52"/>
    <n v="4"/>
    <n v="1"/>
    <n v="56.3"/>
    <n v="6.9"/>
    <n v="13.84"/>
    <m/>
    <s v="Ankle Sprain"/>
    <d v="2023-11-28T00:00:00"/>
    <m/>
    <n v="0"/>
    <n v="2"/>
    <s v="None"/>
    <n v="37"/>
    <n v="184"/>
    <n v="93"/>
    <s v="Brazil"/>
    <n v="60.7"/>
    <n v="7.26"/>
    <n v="1.43"/>
  </r>
  <r>
    <s v="PID0205"/>
    <x v="3"/>
    <x v="0"/>
    <s v="2023-07-24"/>
    <s v="Saturday"/>
    <x v="0"/>
    <n v="59"/>
    <n v="3"/>
    <n v="5"/>
    <n v="83.2"/>
    <n v="16.3"/>
    <n v="9.42"/>
    <m/>
    <s v="ACL Tear"/>
    <d v="2023-12-14T00:00:00"/>
    <m/>
    <n v="0"/>
    <n v="1"/>
    <s v="Hamstring"/>
    <n v="31"/>
    <n v="169"/>
    <n v="63"/>
    <s v="Germany"/>
    <n v="51.2"/>
    <n v="8.58"/>
    <n v="1.33"/>
  </r>
  <r>
    <s v="PID0206"/>
    <x v="1"/>
    <x v="2"/>
    <s v="2023-07-25"/>
    <s v="Thursday"/>
    <x v="0"/>
    <n v="58"/>
    <n v="4"/>
    <n v="3"/>
    <n v="71.03"/>
    <n v="12.4"/>
    <n v="8.31"/>
    <m/>
    <s v="Ankle Sprain"/>
    <m/>
    <m/>
    <n v="0"/>
    <n v="4"/>
    <s v="Hamstring"/>
    <n v="26"/>
    <n v="180"/>
    <n v="87"/>
    <s v="USA"/>
    <n v="45"/>
    <n v="7.58"/>
    <n v="1.2"/>
  </r>
  <r>
    <s v="PID0207"/>
    <x v="3"/>
    <x v="1"/>
    <s v="2023-07-26"/>
    <s v="Tuesday"/>
    <x v="0"/>
    <n v="20"/>
    <n v="1"/>
    <n v="0"/>
    <n v="50.43"/>
    <n v="5.4"/>
    <n v="9.49"/>
    <m/>
    <s v="ACL Tear"/>
    <d v="2023-05-07T00:00:00"/>
    <m/>
    <n v="1"/>
    <n v="0"/>
    <s v="Hamstring"/>
    <n v="32"/>
    <n v="198"/>
    <n v="97"/>
    <s v="Germany"/>
    <n v="52.9"/>
    <n v="8.85"/>
    <n v="1.21"/>
  </r>
  <r>
    <s v="PID0208"/>
    <x v="3"/>
    <x v="0"/>
    <s v="2023-07-27"/>
    <s v="Wednesday"/>
    <x v="0"/>
    <n v="30"/>
    <n v="3"/>
    <n v="1"/>
    <n v="56.08"/>
    <n v="6.8"/>
    <n v="11.69"/>
    <m/>
    <s v="Ankle Sprain"/>
    <m/>
    <m/>
    <n v="1"/>
    <n v="3"/>
    <s v="Hamstring"/>
    <n v="38"/>
    <n v="186"/>
    <n v="90"/>
    <s v="Argentina"/>
    <n v="44.3"/>
    <n v="6.8"/>
    <n v="0.96"/>
  </r>
  <r>
    <s v="PID0209"/>
    <x v="1"/>
    <x v="0"/>
    <s v="2023-07-28"/>
    <s v="Saturday"/>
    <x v="1"/>
    <n v="76"/>
    <n v="2"/>
    <n v="5"/>
    <n v="83.08"/>
    <n v="16.3"/>
    <n v="6.46"/>
    <m/>
    <s v="ACL Tear"/>
    <m/>
    <m/>
    <n v="1"/>
    <n v="0"/>
    <s v="ACL"/>
    <n v="20"/>
    <n v="186"/>
    <n v="86"/>
    <s v="Spain"/>
    <n v="66.7"/>
    <n v="9.56"/>
    <n v="1.42"/>
  </r>
  <r>
    <s v="PID0210"/>
    <x v="3"/>
    <x v="0"/>
    <s v="2023-07-29"/>
    <s v="Tuesday"/>
    <x v="0"/>
    <n v="69"/>
    <n v="3"/>
    <n v="5"/>
    <n v="83.03"/>
    <n v="16.3"/>
    <n v="9.49"/>
    <m/>
    <s v="ACL Tear"/>
    <m/>
    <n v="56"/>
    <n v="1"/>
    <n v="3"/>
    <s v="None"/>
    <n v="19"/>
    <n v="161"/>
    <n v="64"/>
    <s v="Germany"/>
    <n v="50.4"/>
    <n v="7.15"/>
    <n v="1.19"/>
  </r>
  <r>
    <s v="PID0211"/>
    <x v="1"/>
    <x v="2"/>
    <s v="2023-07-30"/>
    <s v="Saturday"/>
    <x v="1"/>
    <n v="42"/>
    <n v="0"/>
    <n v="2"/>
    <n v="64.08"/>
    <n v="9.9"/>
    <n v="10.88"/>
    <m/>
    <s v="Ankle Sprain"/>
    <m/>
    <m/>
    <n v="0"/>
    <n v="4"/>
    <s v="ACL"/>
    <n v="19"/>
    <n v="172"/>
    <n v="84"/>
    <s v="UK"/>
    <n v="44.6"/>
    <n v="7.47"/>
    <n v="1.23"/>
  </r>
  <r>
    <s v="PID0212"/>
    <x v="3"/>
    <x v="1"/>
    <s v="2023-07-31"/>
    <s v="Wednesday"/>
    <x v="1"/>
    <n v="50"/>
    <n v="3"/>
    <n v="6"/>
    <n v="90.27"/>
    <n v="18.7"/>
    <n v="14.49"/>
    <m/>
    <s v="Ankle Sprain"/>
    <m/>
    <n v="24"/>
    <n v="0"/>
    <n v="4"/>
    <s v="Ankle"/>
    <n v="20"/>
    <n v="168"/>
    <n v="62"/>
    <s v="UK"/>
    <n v="40.799999999999997"/>
    <n v="6.23"/>
    <n v="1.36"/>
  </r>
  <r>
    <s v="PID0213"/>
    <x v="2"/>
    <x v="2"/>
    <s v="2023-08-01"/>
    <s v="Saturday"/>
    <x v="1"/>
    <n v="61"/>
    <n v="0"/>
    <n v="3"/>
    <n v="70.95"/>
    <n v="12.4"/>
    <n v="7.53"/>
    <d v="2023-07-09T00:00:00"/>
    <s v="Ankle Sprain"/>
    <d v="2023-10-03T00:00:00"/>
    <n v="34"/>
    <n v="0"/>
    <n v="0"/>
    <s v="ACL"/>
    <n v="35"/>
    <n v="195"/>
    <n v="92"/>
    <s v="Brazil"/>
    <n v="59.4"/>
    <n v="6.45"/>
    <n v="0.77"/>
  </r>
  <r>
    <s v="PID0214"/>
    <x v="1"/>
    <x v="3"/>
    <s v="2023-08-02"/>
    <s v="Saturday"/>
    <x v="0"/>
    <n v="26"/>
    <n v="0"/>
    <n v="0"/>
    <n v="50.41"/>
    <n v="5.4"/>
    <n v="8.59"/>
    <m/>
    <s v="Ankle Sprain"/>
    <m/>
    <m/>
    <n v="0"/>
    <n v="3"/>
    <s v="ACL"/>
    <n v="31"/>
    <n v="181"/>
    <n v="63"/>
    <s v="Germany"/>
    <n v="59.1"/>
    <n v="8.06"/>
    <n v="1.31"/>
  </r>
  <r>
    <s v="PID0215"/>
    <x v="2"/>
    <x v="1"/>
    <s v="2023-08-03"/>
    <s v="Sunday"/>
    <x v="0"/>
    <n v="35"/>
    <n v="0"/>
    <n v="4"/>
    <n v="76.13"/>
    <n v="14.3"/>
    <n v="8.7899999999999991"/>
    <d v="2023-04-02T00:00:00"/>
    <s v="ACL Tear"/>
    <m/>
    <n v="45"/>
    <n v="0"/>
    <n v="4"/>
    <s v="ACL"/>
    <n v="37"/>
    <n v="185"/>
    <n v="84"/>
    <s v="Germany"/>
    <n v="50.2"/>
    <n v="7.07"/>
    <n v="0.7"/>
  </r>
  <r>
    <s v="PID0216"/>
    <x v="3"/>
    <x v="1"/>
    <s v="2023-08-04"/>
    <s v="Tuesday"/>
    <x v="1"/>
    <n v="79"/>
    <n v="1"/>
    <n v="6"/>
    <n v="90.25"/>
    <n v="18.7"/>
    <n v="11.06"/>
    <m/>
    <s v="Hamstring Strain"/>
    <d v="2023-09-10T00:00:00"/>
    <m/>
    <n v="0"/>
    <n v="1"/>
    <s v="ACL"/>
    <n v="35"/>
    <n v="171"/>
    <n v="79"/>
    <s v="Germany"/>
    <n v="42.2"/>
    <n v="9.34"/>
    <n v="0.85"/>
  </r>
  <r>
    <s v="PID0217"/>
    <x v="1"/>
    <x v="0"/>
    <s v="2023-08-05"/>
    <s v="Tuesday"/>
    <x v="1"/>
    <n v="21"/>
    <n v="4"/>
    <n v="6"/>
    <n v="89.82"/>
    <n v="18.600000000000001"/>
    <n v="8.57"/>
    <m/>
    <s v="Hamstring Strain"/>
    <m/>
    <n v="84"/>
    <n v="0"/>
    <n v="1"/>
    <s v="ACL"/>
    <n v="27"/>
    <n v="176"/>
    <n v="93"/>
    <s v="Germany"/>
    <n v="52.3"/>
    <n v="6.06"/>
    <n v="0.84"/>
  </r>
  <r>
    <s v="PID0218"/>
    <x v="0"/>
    <x v="2"/>
    <s v="2023-08-06"/>
    <s v="Monday"/>
    <x v="1"/>
    <n v="20"/>
    <n v="2"/>
    <n v="2"/>
    <n v="63.37"/>
    <n v="9.8000000000000007"/>
    <n v="10.34"/>
    <m/>
    <s v="ACL Tear"/>
    <d v="2023-05-27T00:00:00"/>
    <m/>
    <n v="0"/>
    <n v="3"/>
    <s v="Hamstring"/>
    <n v="19"/>
    <n v="173"/>
    <n v="85"/>
    <s v="Spain"/>
    <n v="49.3"/>
    <n v="7.52"/>
    <n v="1.48"/>
  </r>
  <r>
    <s v="PID0219"/>
    <x v="0"/>
    <x v="1"/>
    <s v="2023-08-07"/>
    <s v="Sunday"/>
    <x v="1"/>
    <n v="67"/>
    <n v="3"/>
    <n v="1"/>
    <n v="55.95"/>
    <n v="6.8"/>
    <n v="12.82"/>
    <m/>
    <s v="None"/>
    <d v="2023-05-02T00:00:00"/>
    <m/>
    <n v="0"/>
    <n v="0"/>
    <s v="Ankle"/>
    <n v="39"/>
    <n v="173"/>
    <n v="64"/>
    <s v="Spain"/>
    <n v="60.3"/>
    <n v="7.35"/>
    <n v="1.36"/>
  </r>
  <r>
    <s v="PID0220"/>
    <x v="0"/>
    <x v="2"/>
    <s v="2023-08-08"/>
    <s v="Tuesday"/>
    <x v="0"/>
    <n v="31"/>
    <n v="4"/>
    <n v="1"/>
    <n v="55.78"/>
    <n v="6.8"/>
    <n v="12.05"/>
    <m/>
    <s v="Hamstring Strain"/>
    <m/>
    <m/>
    <n v="0"/>
    <n v="4"/>
    <s v="ACL"/>
    <n v="18"/>
    <n v="193"/>
    <n v="94"/>
    <s v="USA"/>
    <n v="58.2"/>
    <n v="6.08"/>
    <n v="1.2"/>
  </r>
  <r>
    <s v="PID0221"/>
    <x v="2"/>
    <x v="2"/>
    <s v="2023-08-09"/>
    <s v="Sunday"/>
    <x v="1"/>
    <n v="88"/>
    <n v="2"/>
    <n v="2"/>
    <n v="62.75"/>
    <n v="9.8000000000000007"/>
    <n v="9.4600000000000009"/>
    <m/>
    <s v="ACL Tear"/>
    <m/>
    <m/>
    <n v="1"/>
    <n v="0"/>
    <s v="Ankle"/>
    <n v="21"/>
    <n v="179"/>
    <n v="87"/>
    <s v="Germany"/>
    <n v="50.9"/>
    <n v="6.5"/>
    <n v="1.23"/>
  </r>
  <r>
    <s v="PID0222"/>
    <x v="1"/>
    <x v="1"/>
    <s v="2023-08-10"/>
    <s v="Saturday"/>
    <x v="0"/>
    <n v="56"/>
    <n v="2"/>
    <n v="5"/>
    <n v="82.95"/>
    <n v="16.2"/>
    <n v="13.64"/>
    <m/>
    <s v="Hamstring Strain"/>
    <m/>
    <n v="60"/>
    <n v="0"/>
    <n v="1"/>
    <s v="Hamstring"/>
    <n v="31"/>
    <n v="170"/>
    <n v="88"/>
    <s v="Spain"/>
    <n v="46.5"/>
    <n v="7.65"/>
    <n v="1.06"/>
  </r>
  <r>
    <s v="PID0223"/>
    <x v="2"/>
    <x v="0"/>
    <s v="2023-08-11"/>
    <s v="Friday"/>
    <x v="1"/>
    <n v="51"/>
    <n v="0"/>
    <n v="1"/>
    <n v="55.6"/>
    <n v="6.8"/>
    <n v="10.58"/>
    <m/>
    <s v="Hamstring Strain"/>
    <m/>
    <m/>
    <n v="1"/>
    <n v="4"/>
    <s v="None"/>
    <n v="18"/>
    <n v="175"/>
    <n v="68"/>
    <s v="Brazil"/>
    <n v="69.599999999999994"/>
    <n v="7.97"/>
    <n v="1.45"/>
  </r>
  <r>
    <s v="PID0224"/>
    <x v="2"/>
    <x v="2"/>
    <s v="2023-08-12"/>
    <s v="Wednesday"/>
    <x v="0"/>
    <n v="28"/>
    <n v="1"/>
    <n v="3"/>
    <n v="70.849999999999994"/>
    <n v="12.1"/>
    <n v="10.4"/>
    <m/>
    <s v="Ankle Sprain"/>
    <d v="2023-06-08T00:00:00"/>
    <n v="24"/>
    <n v="0"/>
    <n v="0"/>
    <s v="Ankle"/>
    <n v="31"/>
    <n v="190"/>
    <n v="97"/>
    <s v="Germany"/>
    <n v="53.6"/>
    <n v="7.62"/>
    <n v="1"/>
  </r>
  <r>
    <s v="PID0225"/>
    <x v="1"/>
    <x v="1"/>
    <s v="2023-08-13"/>
    <s v="Saturday"/>
    <x v="1"/>
    <n v="38"/>
    <n v="1"/>
    <n v="0"/>
    <n v="50.24"/>
    <n v="5.3"/>
    <n v="5.34"/>
    <m/>
    <s v="None"/>
    <m/>
    <m/>
    <n v="0"/>
    <n v="2"/>
    <s v="ACL"/>
    <n v="33"/>
    <n v="165"/>
    <n v="65"/>
    <s v="Brazil"/>
    <n v="60.6"/>
    <n v="8.1199999999999992"/>
    <n v="0.88"/>
  </r>
  <r>
    <s v="PID0226"/>
    <x v="3"/>
    <x v="1"/>
    <s v="2023-08-14"/>
    <s v="Wednesday"/>
    <x v="0"/>
    <n v="67"/>
    <n v="4"/>
    <n v="6"/>
    <n v="89.79"/>
    <n v="18.600000000000001"/>
    <n v="14.87"/>
    <m/>
    <s v="ACL Tear"/>
    <m/>
    <n v="77"/>
    <n v="0"/>
    <n v="3"/>
    <s v="Ankle"/>
    <n v="39"/>
    <n v="178"/>
    <n v="78"/>
    <s v="Spain"/>
    <n v="44.2"/>
    <n v="8.3800000000000008"/>
    <n v="0.66"/>
  </r>
  <r>
    <s v="PID0227"/>
    <x v="3"/>
    <x v="0"/>
    <s v="2023-08-15"/>
    <s v="Monday"/>
    <x v="0"/>
    <n v="22"/>
    <n v="1"/>
    <n v="6"/>
    <n v="89.73"/>
    <n v="18.600000000000001"/>
    <n v="6.23"/>
    <m/>
    <s v="Hamstring Strain"/>
    <m/>
    <n v="30"/>
    <n v="0"/>
    <n v="3"/>
    <s v="Hamstring"/>
    <n v="31"/>
    <n v="196"/>
    <n v="70"/>
    <s v="Germany"/>
    <n v="54.6"/>
    <n v="6.04"/>
    <n v="1.29"/>
  </r>
  <r>
    <s v="PID0228"/>
    <x v="2"/>
    <x v="0"/>
    <s v="2023-08-16"/>
    <s v="Monday"/>
    <x v="0"/>
    <n v="39"/>
    <n v="3"/>
    <n v="3"/>
    <n v="70.790000000000006"/>
    <n v="12.1"/>
    <n v="7.31"/>
    <m/>
    <s v="Hamstring Strain"/>
    <m/>
    <m/>
    <n v="0"/>
    <n v="2"/>
    <s v="Hamstring"/>
    <n v="37"/>
    <n v="163"/>
    <n v="61"/>
    <s v="Argentina"/>
    <n v="40.799999999999997"/>
    <n v="7.86"/>
    <n v="1.23"/>
  </r>
  <r>
    <s v="PID0229"/>
    <x v="3"/>
    <x v="0"/>
    <s v="2023-08-17"/>
    <s v="Monday"/>
    <x v="0"/>
    <n v="43"/>
    <n v="1"/>
    <n v="1"/>
    <n v="55.42"/>
    <n v="6.7"/>
    <n v="5.52"/>
    <m/>
    <s v="ACL Tear"/>
    <m/>
    <n v="22"/>
    <n v="0"/>
    <n v="1"/>
    <s v="Ankle"/>
    <n v="20"/>
    <n v="163"/>
    <n v="68"/>
    <s v="Spain"/>
    <n v="55.2"/>
    <n v="9.85"/>
    <n v="0.88"/>
  </r>
  <r>
    <s v="PID0230"/>
    <x v="1"/>
    <x v="1"/>
    <s v="2023-08-18"/>
    <s v="Monday"/>
    <x v="1"/>
    <n v="73"/>
    <n v="4"/>
    <n v="6"/>
    <n v="89.67"/>
    <n v="18.5"/>
    <n v="11.4"/>
    <m/>
    <s v="Hamstring Strain"/>
    <m/>
    <n v="28"/>
    <n v="0"/>
    <n v="4"/>
    <s v="Ankle"/>
    <n v="20"/>
    <n v="179"/>
    <n v="80"/>
    <s v="Spain"/>
    <n v="68.900000000000006"/>
    <n v="8.08"/>
    <n v="0.53"/>
  </r>
  <r>
    <s v="PID0231"/>
    <x v="2"/>
    <x v="1"/>
    <s v="2023-08-19"/>
    <s v="Tuesday"/>
    <x v="1"/>
    <n v="52"/>
    <n v="1"/>
    <n v="4"/>
    <n v="75.8"/>
    <n v="14.3"/>
    <n v="7.25"/>
    <d v="2023-12-27T00:00:00"/>
    <s v="Hamstring Strain"/>
    <m/>
    <m/>
    <n v="0"/>
    <n v="3"/>
    <s v="Ankle"/>
    <n v="26"/>
    <n v="169"/>
    <n v="83"/>
    <s v="Germany"/>
    <n v="51.5"/>
    <n v="8.7100000000000009"/>
    <n v="1.34"/>
  </r>
  <r>
    <s v="PID0232"/>
    <x v="3"/>
    <x v="0"/>
    <s v="2023-08-20"/>
    <s v="Wednesday"/>
    <x v="1"/>
    <n v="43"/>
    <n v="3"/>
    <n v="0"/>
    <n v="50.23"/>
    <n v="5.3"/>
    <n v="6.8"/>
    <m/>
    <s v="Hamstring Strain"/>
    <d v="2023-05-27T00:00:00"/>
    <m/>
    <n v="0"/>
    <n v="2"/>
    <s v="None"/>
    <n v="23"/>
    <n v="183"/>
    <n v="93"/>
    <s v="USA"/>
    <n v="41.2"/>
    <n v="7.25"/>
    <n v="0.51"/>
  </r>
  <r>
    <s v="PID0233"/>
    <x v="0"/>
    <x v="0"/>
    <s v="2023-08-21"/>
    <s v="Monday"/>
    <x v="0"/>
    <n v="94"/>
    <n v="0"/>
    <n v="0"/>
    <n v="50.23"/>
    <n v="5.2"/>
    <n v="5.89"/>
    <m/>
    <s v="ACL Tear"/>
    <d v="2023-04-13T00:00:00"/>
    <n v="43"/>
    <n v="0"/>
    <n v="2"/>
    <s v="None"/>
    <n v="30"/>
    <n v="194"/>
    <n v="81"/>
    <s v="USA"/>
    <n v="40.9"/>
    <n v="9.1"/>
    <n v="1.2"/>
  </r>
  <r>
    <s v="PID0234"/>
    <x v="2"/>
    <x v="0"/>
    <s v="2023-08-22"/>
    <s v="Friday"/>
    <x v="1"/>
    <n v="91"/>
    <n v="4"/>
    <n v="6"/>
    <n v="89.56"/>
    <n v="18.5"/>
    <n v="6.03"/>
    <m/>
    <s v="None"/>
    <m/>
    <m/>
    <n v="0"/>
    <n v="1"/>
    <s v="ACL"/>
    <n v="38"/>
    <n v="185"/>
    <n v="62"/>
    <s v="Germany"/>
    <n v="51.6"/>
    <n v="9.09"/>
    <n v="1.47"/>
  </r>
  <r>
    <s v="PID0235"/>
    <x v="0"/>
    <x v="1"/>
    <s v="2023-08-23"/>
    <s v="Wednesday"/>
    <x v="0"/>
    <n v="55"/>
    <n v="0"/>
    <n v="2"/>
    <n v="62.66"/>
    <n v="9.8000000000000007"/>
    <n v="10.85"/>
    <m/>
    <s v="Ankle Sprain"/>
    <d v="2023-10-16T00:00:00"/>
    <n v="87"/>
    <n v="0"/>
    <n v="1"/>
    <s v="ACL"/>
    <n v="19"/>
    <n v="196"/>
    <n v="71"/>
    <s v="Germany"/>
    <n v="44.8"/>
    <n v="8.09"/>
    <n v="0.94"/>
  </r>
  <r>
    <s v="PID0236"/>
    <x v="1"/>
    <x v="0"/>
    <s v="2023-08-24"/>
    <s v="Tuesday"/>
    <x v="0"/>
    <n v="57"/>
    <n v="0"/>
    <n v="6"/>
    <n v="89.45"/>
    <n v="18.399999999999999"/>
    <n v="11.88"/>
    <m/>
    <s v="Hamstring Strain"/>
    <m/>
    <m/>
    <n v="1"/>
    <n v="0"/>
    <s v="Hamstring"/>
    <n v="25"/>
    <n v="197"/>
    <n v="87"/>
    <s v="Spain"/>
    <n v="40.700000000000003"/>
    <n v="9.9"/>
    <n v="0.73"/>
  </r>
  <r>
    <s v="PID0237"/>
    <x v="1"/>
    <x v="0"/>
    <s v="2023-08-25"/>
    <s v="Thursday"/>
    <x v="1"/>
    <n v="44"/>
    <n v="0"/>
    <n v="2"/>
    <n v="62.48"/>
    <n v="9.8000000000000007"/>
    <n v="8.9700000000000006"/>
    <m/>
    <s v="ACL Tear"/>
    <m/>
    <n v="77"/>
    <n v="0"/>
    <n v="3"/>
    <s v="ACL"/>
    <n v="38"/>
    <n v="180"/>
    <n v="89"/>
    <s v="UK"/>
    <n v="62.7"/>
    <n v="6.5"/>
    <n v="1.2"/>
  </r>
  <r>
    <s v="PID0238"/>
    <x v="3"/>
    <x v="0"/>
    <s v="2023-08-26"/>
    <s v="Friday"/>
    <x v="1"/>
    <n v="37"/>
    <n v="2"/>
    <n v="6"/>
    <n v="89.07"/>
    <n v="18.399999999999999"/>
    <n v="9.8000000000000007"/>
    <m/>
    <s v="Ankle Sprain"/>
    <m/>
    <n v="61"/>
    <n v="0"/>
    <n v="0"/>
    <s v="Hamstring"/>
    <n v="19"/>
    <n v="199"/>
    <n v="85"/>
    <s v="USA"/>
    <n v="53.8"/>
    <n v="6.07"/>
    <n v="1.32"/>
  </r>
  <r>
    <s v="PID0239"/>
    <x v="0"/>
    <x v="1"/>
    <s v="2023-08-27"/>
    <s v="Thursday"/>
    <x v="0"/>
    <n v="85"/>
    <n v="2"/>
    <n v="4"/>
    <n v="75.760000000000005"/>
    <n v="14.2"/>
    <n v="11.86"/>
    <m/>
    <s v="ACL Tear"/>
    <m/>
    <n v="36"/>
    <n v="1"/>
    <n v="2"/>
    <s v="Hamstring"/>
    <n v="21"/>
    <n v="198"/>
    <n v="80"/>
    <s v="Brazil"/>
    <n v="48.7"/>
    <n v="9.08"/>
    <n v="1.05"/>
  </r>
  <r>
    <s v="PID0240"/>
    <x v="2"/>
    <x v="0"/>
    <s v="2023-08-28"/>
    <s v="Tuesday"/>
    <x v="0"/>
    <n v="73"/>
    <n v="0"/>
    <n v="5"/>
    <n v="82.95"/>
    <n v="16.100000000000001"/>
    <n v="5.17"/>
    <m/>
    <s v="Ankle Sprain"/>
    <m/>
    <n v="38"/>
    <n v="0"/>
    <n v="4"/>
    <s v="ACL"/>
    <n v="32"/>
    <n v="180"/>
    <n v="87"/>
    <s v="UK"/>
    <n v="67"/>
    <n v="9.23"/>
    <n v="1.47"/>
  </r>
  <r>
    <s v="PID0241"/>
    <x v="0"/>
    <x v="1"/>
    <s v="2023-08-29"/>
    <s v="Friday"/>
    <x v="0"/>
    <n v="54"/>
    <n v="4"/>
    <n v="0"/>
    <n v="50.15"/>
    <n v="5.2"/>
    <n v="8.23"/>
    <m/>
    <s v="Hamstring Strain"/>
    <m/>
    <m/>
    <n v="0"/>
    <n v="4"/>
    <s v="None"/>
    <n v="21"/>
    <n v="169"/>
    <n v="85"/>
    <s v="Brazil"/>
    <n v="43.5"/>
    <n v="6.48"/>
    <n v="0.55000000000000004"/>
  </r>
  <r>
    <s v="PID0242"/>
    <x v="0"/>
    <x v="0"/>
    <s v="2023-08-30"/>
    <s v="Monday"/>
    <x v="0"/>
    <n v="80"/>
    <n v="3"/>
    <n v="6"/>
    <n v="88.9"/>
    <n v="18.399999999999999"/>
    <n v="14.73"/>
    <m/>
    <s v="None"/>
    <m/>
    <m/>
    <n v="0"/>
    <n v="1"/>
    <s v="ACL"/>
    <n v="30"/>
    <n v="197"/>
    <n v="92"/>
    <s v="Spain"/>
    <n v="68.7"/>
    <n v="7.06"/>
    <n v="1"/>
  </r>
  <r>
    <s v="PID0243"/>
    <x v="0"/>
    <x v="1"/>
    <s v="2023-08-31"/>
    <s v="Monday"/>
    <x v="1"/>
    <n v="60"/>
    <n v="3"/>
    <n v="4"/>
    <n v="75.709999999999994"/>
    <n v="14.2"/>
    <n v="10.8"/>
    <m/>
    <s v="Ankle Sprain"/>
    <m/>
    <n v="37"/>
    <n v="0"/>
    <n v="4"/>
    <s v="ACL"/>
    <n v="29"/>
    <n v="163"/>
    <n v="80"/>
    <s v="USA"/>
    <n v="49.4"/>
    <n v="6.07"/>
    <n v="1.22"/>
  </r>
  <r>
    <s v="PID0244"/>
    <x v="1"/>
    <x v="2"/>
    <s v="2023-09-01"/>
    <s v="Monday"/>
    <x v="1"/>
    <n v="52"/>
    <n v="1"/>
    <n v="2"/>
    <n v="62.28"/>
    <n v="9.8000000000000007"/>
    <n v="7.54"/>
    <m/>
    <s v="Ankle Sprain"/>
    <d v="2023-07-16T00:00:00"/>
    <m/>
    <n v="0"/>
    <n v="4"/>
    <s v="Hamstring"/>
    <n v="30"/>
    <n v="179"/>
    <n v="94"/>
    <s v="Germany"/>
    <n v="66.7"/>
    <n v="7.17"/>
    <n v="1.36"/>
  </r>
  <r>
    <s v="PID0245"/>
    <x v="1"/>
    <x v="2"/>
    <s v="2023-09-02"/>
    <s v="Saturday"/>
    <x v="0"/>
    <n v="87"/>
    <n v="4"/>
    <n v="2"/>
    <n v="62.23"/>
    <n v="9.6"/>
    <n v="10.220000000000001"/>
    <m/>
    <s v="Hamstring Strain"/>
    <m/>
    <n v="44"/>
    <n v="1"/>
    <n v="4"/>
    <s v="None"/>
    <n v="31"/>
    <n v="176"/>
    <n v="93"/>
    <s v="Germany"/>
    <n v="58.1"/>
    <n v="9.09"/>
    <n v="0.68"/>
  </r>
  <r>
    <s v="PID0246"/>
    <x v="3"/>
    <x v="0"/>
    <s v="2023-09-03"/>
    <s v="Friday"/>
    <x v="0"/>
    <n v="52"/>
    <n v="2"/>
    <n v="0"/>
    <n v="50.11"/>
    <n v="5.2"/>
    <n v="8.43"/>
    <d v="2023-09-12T00:00:00"/>
    <s v="Ankle Sprain"/>
    <d v="2023-04-11T00:00:00"/>
    <n v="17"/>
    <n v="0"/>
    <n v="2"/>
    <s v="ACL"/>
    <n v="37"/>
    <n v="166"/>
    <n v="77"/>
    <s v="USA"/>
    <n v="64.8"/>
    <n v="8.07"/>
    <n v="1.3"/>
  </r>
  <r>
    <s v="PID0247"/>
    <x v="3"/>
    <x v="2"/>
    <s v="2023-09-04"/>
    <s v="Saturday"/>
    <x v="0"/>
    <n v="33"/>
    <n v="0"/>
    <n v="3"/>
    <n v="70.69"/>
    <n v="12"/>
    <n v="10.32"/>
    <d v="2023-08-17T00:00:00"/>
    <s v="Ankle Sprain"/>
    <m/>
    <m/>
    <n v="0"/>
    <n v="4"/>
    <s v="Hamstring"/>
    <n v="35"/>
    <n v="163"/>
    <n v="70"/>
    <s v="UK"/>
    <n v="69.5"/>
    <n v="7.39"/>
    <n v="1.05"/>
  </r>
  <r>
    <s v="PID0248"/>
    <x v="1"/>
    <x v="0"/>
    <s v="2023-09-05"/>
    <s v="Monday"/>
    <x v="0"/>
    <n v="40"/>
    <n v="1"/>
    <n v="6"/>
    <n v="88.75"/>
    <n v="18.399999999999999"/>
    <n v="6.26"/>
    <d v="2023-06-07T00:00:00"/>
    <s v="None"/>
    <m/>
    <n v="25"/>
    <n v="0"/>
    <n v="4"/>
    <s v="ACL"/>
    <n v="23"/>
    <n v="188"/>
    <n v="82"/>
    <s v="Brazil"/>
    <n v="48.7"/>
    <n v="7.49"/>
    <n v="0.9"/>
  </r>
  <r>
    <s v="PID0249"/>
    <x v="1"/>
    <x v="1"/>
    <s v="2023-09-06"/>
    <s v="Sunday"/>
    <x v="0"/>
    <n v="67"/>
    <n v="3"/>
    <n v="1"/>
    <n v="55.42"/>
    <n v="6.7"/>
    <n v="6.33"/>
    <m/>
    <s v="Hamstring Strain"/>
    <d v="2023-09-14T00:00:00"/>
    <n v="45"/>
    <n v="0"/>
    <n v="4"/>
    <s v="Ankle"/>
    <n v="28"/>
    <n v="173"/>
    <n v="81"/>
    <s v="Brazil"/>
    <n v="68.8"/>
    <n v="6.01"/>
    <n v="0.63"/>
  </r>
  <r>
    <s v="PID0250"/>
    <x v="1"/>
    <x v="0"/>
    <s v="2023-09-07"/>
    <s v="Sunday"/>
    <x v="1"/>
    <n v="39"/>
    <n v="2"/>
    <n v="2"/>
    <n v="62.15"/>
    <n v="9.4"/>
    <n v="6.44"/>
    <m/>
    <s v="Ankle Sprain"/>
    <d v="2023-03-02T00:00:00"/>
    <n v="39"/>
    <n v="0"/>
    <n v="0"/>
    <s v="ACL"/>
    <n v="19"/>
    <n v="162"/>
    <n v="76"/>
    <s v="Spain"/>
    <n v="51.7"/>
    <n v="7.2"/>
    <n v="1.37"/>
  </r>
  <r>
    <s v="PID0251"/>
    <x v="1"/>
    <x v="0"/>
    <s v="2023-09-08"/>
    <s v="Saturday"/>
    <x v="1"/>
    <n v="27"/>
    <n v="2"/>
    <n v="5"/>
    <n v="82.9"/>
    <n v="16.100000000000001"/>
    <n v="14.4"/>
    <m/>
    <s v="None"/>
    <d v="2023-05-26T00:00:00"/>
    <m/>
    <n v="0"/>
    <n v="2"/>
    <s v="Hamstring"/>
    <n v="36"/>
    <n v="183"/>
    <n v="64"/>
    <s v="Argentina"/>
    <n v="51.6"/>
    <n v="8.59"/>
    <n v="0.66"/>
  </r>
  <r>
    <s v="PID0252"/>
    <x v="2"/>
    <x v="1"/>
    <s v="2023-09-09"/>
    <s v="Tuesday"/>
    <x v="0"/>
    <n v="26"/>
    <n v="0"/>
    <n v="5"/>
    <n v="82.58"/>
    <n v="16"/>
    <n v="12.33"/>
    <m/>
    <s v="Ankle Sprain"/>
    <m/>
    <m/>
    <n v="0"/>
    <n v="1"/>
    <s v="Hamstring"/>
    <n v="36"/>
    <n v="196"/>
    <n v="70"/>
    <s v="Spain"/>
    <n v="50.2"/>
    <n v="9.9"/>
    <n v="0.81"/>
  </r>
  <r>
    <s v="PID0253"/>
    <x v="2"/>
    <x v="0"/>
    <s v="2023-09-10"/>
    <s v="Thursday"/>
    <x v="0"/>
    <n v="86"/>
    <n v="3"/>
    <n v="2"/>
    <n v="61.99"/>
    <n v="9.4"/>
    <n v="6.62"/>
    <m/>
    <s v="None"/>
    <d v="2023-10-12T00:00:00"/>
    <n v="27"/>
    <n v="0"/>
    <n v="0"/>
    <s v="None"/>
    <n v="22"/>
    <n v="175"/>
    <n v="89"/>
    <s v="Argentina"/>
    <n v="56.2"/>
    <n v="9.39"/>
    <n v="0.79"/>
  </r>
  <r>
    <s v="PID0254"/>
    <x v="1"/>
    <x v="0"/>
    <s v="2023-09-11"/>
    <s v="Sunday"/>
    <x v="0"/>
    <n v="36"/>
    <n v="4"/>
    <n v="3"/>
    <n v="70.58"/>
    <n v="12"/>
    <n v="6.88"/>
    <m/>
    <s v="None"/>
    <m/>
    <m/>
    <n v="0"/>
    <n v="3"/>
    <s v="Hamstring"/>
    <n v="36"/>
    <n v="163"/>
    <n v="74"/>
    <s v="USA"/>
    <n v="44.6"/>
    <n v="6.09"/>
    <n v="1.37"/>
  </r>
  <r>
    <s v="PID0255"/>
    <x v="1"/>
    <x v="2"/>
    <s v="2023-09-12"/>
    <s v="Friday"/>
    <x v="1"/>
    <n v="52"/>
    <n v="2"/>
    <n v="3"/>
    <n v="70.48"/>
    <n v="12"/>
    <n v="12.31"/>
    <m/>
    <s v="Ankle Sprain"/>
    <m/>
    <m/>
    <n v="0"/>
    <n v="2"/>
    <s v="None"/>
    <n v="19"/>
    <n v="183"/>
    <n v="86"/>
    <s v="Spain"/>
    <n v="56.6"/>
    <n v="9.59"/>
    <n v="1.17"/>
  </r>
  <r>
    <s v="PID0256"/>
    <x v="3"/>
    <x v="1"/>
    <s v="2023-09-13"/>
    <s v="Sunday"/>
    <x v="1"/>
    <n v="67"/>
    <n v="0"/>
    <n v="4"/>
    <n v="75.459999999999994"/>
    <n v="14.2"/>
    <n v="6.56"/>
    <d v="2023-03-09T00:00:00"/>
    <s v="None"/>
    <d v="2023-10-14T00:00:00"/>
    <m/>
    <n v="1"/>
    <n v="2"/>
    <s v="ACL"/>
    <n v="27"/>
    <n v="193"/>
    <n v="94"/>
    <s v="Spain"/>
    <n v="56.3"/>
    <n v="9.1300000000000008"/>
    <n v="1.3"/>
  </r>
  <r>
    <s v="PID0257"/>
    <x v="0"/>
    <x v="1"/>
    <s v="2023-09-14"/>
    <s v="Saturday"/>
    <x v="1"/>
    <n v="78"/>
    <n v="4"/>
    <n v="5"/>
    <n v="82.47"/>
    <n v="15.9"/>
    <n v="7.35"/>
    <m/>
    <s v="Ankle Sprain"/>
    <m/>
    <m/>
    <n v="0"/>
    <n v="3"/>
    <s v="Ankle"/>
    <n v="19"/>
    <n v="189"/>
    <n v="92"/>
    <s v="Germany"/>
    <n v="62.9"/>
    <n v="9.1199999999999992"/>
    <n v="0.75"/>
  </r>
  <r>
    <s v="PID0258"/>
    <x v="1"/>
    <x v="1"/>
    <s v="2023-09-15"/>
    <s v="Wednesday"/>
    <x v="0"/>
    <n v="41"/>
    <n v="3"/>
    <n v="4"/>
    <n v="75.23"/>
    <n v="14.2"/>
    <n v="14.63"/>
    <m/>
    <s v="Ankle Sprain"/>
    <m/>
    <n v="11"/>
    <n v="0"/>
    <n v="3"/>
    <s v="ACL"/>
    <n v="28"/>
    <n v="177"/>
    <n v="79"/>
    <s v="Spain"/>
    <n v="65"/>
    <n v="7.83"/>
    <n v="1.1200000000000001"/>
  </r>
  <r>
    <s v="PID0259"/>
    <x v="3"/>
    <x v="1"/>
    <s v="2023-09-16"/>
    <s v="Tuesday"/>
    <x v="1"/>
    <n v="49"/>
    <n v="2"/>
    <n v="5"/>
    <n v="82.41"/>
    <n v="15.9"/>
    <n v="7.55"/>
    <d v="2023-07-17T00:00:00"/>
    <s v="None"/>
    <d v="2023-06-16T00:00:00"/>
    <m/>
    <n v="0"/>
    <n v="3"/>
    <s v="None"/>
    <n v="35"/>
    <n v="178"/>
    <n v="75"/>
    <s v="Brazil"/>
    <n v="53.2"/>
    <n v="7.59"/>
    <n v="1.07"/>
  </r>
  <r>
    <s v="PID0260"/>
    <x v="3"/>
    <x v="1"/>
    <s v="2023-09-17"/>
    <s v="Sunday"/>
    <x v="1"/>
    <n v="57"/>
    <n v="4"/>
    <n v="6"/>
    <n v="88.71"/>
    <n v="18.3"/>
    <n v="11.62"/>
    <m/>
    <s v="None"/>
    <m/>
    <n v="58"/>
    <n v="0"/>
    <n v="1"/>
    <s v="ACL"/>
    <n v="32"/>
    <n v="190"/>
    <n v="93"/>
    <s v="USA"/>
    <n v="49.1"/>
    <n v="7.21"/>
    <n v="1.33"/>
  </r>
  <r>
    <s v="PID0261"/>
    <x v="2"/>
    <x v="1"/>
    <s v="2023-09-18"/>
    <s v="Monday"/>
    <x v="0"/>
    <n v="70"/>
    <n v="4"/>
    <n v="6"/>
    <n v="88.38"/>
    <n v="18.2"/>
    <n v="14.79"/>
    <m/>
    <s v="ACL Tear"/>
    <m/>
    <m/>
    <n v="0"/>
    <n v="4"/>
    <s v="ACL"/>
    <n v="26"/>
    <n v="178"/>
    <n v="61"/>
    <s v="Germany"/>
    <n v="47.8"/>
    <n v="6.26"/>
    <n v="1.41"/>
  </r>
  <r>
    <s v="PID0262"/>
    <x v="0"/>
    <x v="3"/>
    <s v="2023-09-19"/>
    <s v="Monday"/>
    <x v="0"/>
    <n v="73"/>
    <n v="1"/>
    <n v="1"/>
    <n v="55.21"/>
    <n v="6.5"/>
    <n v="8.74"/>
    <m/>
    <s v="Ankle Sprain"/>
    <m/>
    <n v="86"/>
    <n v="0"/>
    <n v="2"/>
    <s v="Ankle"/>
    <n v="36"/>
    <n v="178"/>
    <n v="94"/>
    <s v="Germany"/>
    <n v="45.8"/>
    <n v="6.91"/>
    <n v="0.51"/>
  </r>
  <r>
    <s v="PID0263"/>
    <x v="0"/>
    <x v="1"/>
    <s v="2023-09-20"/>
    <s v="Monday"/>
    <x v="1"/>
    <n v="27"/>
    <n v="2"/>
    <n v="6"/>
    <n v="88.35"/>
    <n v="18.2"/>
    <n v="5.18"/>
    <m/>
    <s v="ACL Tear"/>
    <m/>
    <m/>
    <n v="0"/>
    <n v="4"/>
    <s v="None"/>
    <n v="26"/>
    <n v="181"/>
    <n v="99"/>
    <s v="Germany"/>
    <n v="41.7"/>
    <n v="6.99"/>
    <n v="1.17"/>
  </r>
  <r>
    <s v="PID0264"/>
    <x v="0"/>
    <x v="0"/>
    <s v="2023-09-21"/>
    <s v="Saturday"/>
    <x v="0"/>
    <n v="46"/>
    <n v="2"/>
    <n v="1"/>
    <n v="55.19"/>
    <n v="6.5"/>
    <n v="7.44"/>
    <m/>
    <s v="Hamstring Strain"/>
    <m/>
    <m/>
    <n v="1"/>
    <n v="4"/>
    <s v="Hamstring"/>
    <n v="20"/>
    <n v="183"/>
    <n v="87"/>
    <s v="USA"/>
    <n v="50.3"/>
    <n v="7.94"/>
    <n v="0.55000000000000004"/>
  </r>
  <r>
    <s v="PID0265"/>
    <x v="1"/>
    <x v="1"/>
    <s v="2023-09-22"/>
    <s v="Monday"/>
    <x v="0"/>
    <n v="46"/>
    <n v="1"/>
    <n v="6"/>
    <n v="88.09"/>
    <n v="18"/>
    <n v="13.31"/>
    <m/>
    <s v="Ankle Sprain"/>
    <m/>
    <m/>
    <n v="0"/>
    <n v="3"/>
    <s v="Hamstring"/>
    <n v="38"/>
    <n v="171"/>
    <n v="98"/>
    <s v="UK"/>
    <n v="48.1"/>
    <n v="8.99"/>
    <n v="1.05"/>
  </r>
  <r>
    <s v="PID0266"/>
    <x v="1"/>
    <x v="2"/>
    <s v="2023-09-23"/>
    <s v="Wednesday"/>
    <x v="0"/>
    <n v="40"/>
    <n v="3"/>
    <n v="0"/>
    <n v="50.05"/>
    <n v="5.2"/>
    <n v="13.65"/>
    <d v="2023-07-04T00:00:00"/>
    <s v="Ankle Sprain"/>
    <d v="2023-06-14T00:00:00"/>
    <n v="13"/>
    <n v="0"/>
    <n v="1"/>
    <s v="Hamstring"/>
    <n v="26"/>
    <n v="189"/>
    <n v="65"/>
    <s v="UK"/>
    <n v="69"/>
    <n v="7.9"/>
    <n v="0.79"/>
  </r>
  <r>
    <s v="PID0267"/>
    <x v="0"/>
    <x v="1"/>
    <s v="2023-09-24"/>
    <s v="Sunday"/>
    <x v="1"/>
    <n v="49"/>
    <n v="0"/>
    <n v="6"/>
    <n v="87.87"/>
    <n v="18"/>
    <n v="12.69"/>
    <m/>
    <s v="Ankle Sprain"/>
    <m/>
    <m/>
    <n v="1"/>
    <n v="0"/>
    <s v="None"/>
    <n v="31"/>
    <n v="197"/>
    <n v="68"/>
    <s v="USA"/>
    <n v="56.7"/>
    <n v="6.23"/>
    <n v="0.81"/>
  </r>
  <r>
    <s v="PID0268"/>
    <x v="3"/>
    <x v="1"/>
    <s v="2023-09-25"/>
    <s v="Friday"/>
    <x v="1"/>
    <n v="47"/>
    <n v="4"/>
    <n v="4"/>
    <n v="75.19"/>
    <n v="13.9"/>
    <n v="6.13"/>
    <m/>
    <s v="ACL Tear"/>
    <m/>
    <m/>
    <n v="1"/>
    <n v="1"/>
    <s v="Hamstring"/>
    <n v="36"/>
    <n v="190"/>
    <n v="79"/>
    <s v="Brazil"/>
    <n v="50.4"/>
    <n v="9.83"/>
    <n v="0.85"/>
  </r>
  <r>
    <s v="PID0269"/>
    <x v="2"/>
    <x v="0"/>
    <s v="2023-09-26"/>
    <s v="Sunday"/>
    <x v="0"/>
    <n v="83"/>
    <n v="1"/>
    <n v="2"/>
    <n v="61.87"/>
    <n v="9.4"/>
    <n v="12.96"/>
    <d v="2023-04-11T00:00:00"/>
    <s v="Hamstring Strain"/>
    <m/>
    <m/>
    <n v="1"/>
    <n v="4"/>
    <s v="Hamstring"/>
    <n v="24"/>
    <n v="195"/>
    <n v="60"/>
    <s v="Brazil"/>
    <n v="57.4"/>
    <n v="9.77"/>
    <n v="1.1200000000000001"/>
  </r>
  <r>
    <s v="PID0270"/>
    <x v="2"/>
    <x v="1"/>
    <s v="2023-09-27"/>
    <s v="Friday"/>
    <x v="0"/>
    <n v="88"/>
    <n v="0"/>
    <n v="4"/>
    <n v="75.03"/>
    <n v="13.9"/>
    <n v="14.19"/>
    <d v="2023-01-18T00:00:00"/>
    <s v="Ankle Sprain"/>
    <d v="2023-10-22T00:00:00"/>
    <m/>
    <n v="0"/>
    <n v="1"/>
    <s v="Hamstring"/>
    <n v="33"/>
    <n v="178"/>
    <n v="67"/>
    <s v="Argentina"/>
    <n v="44.2"/>
    <n v="9.14"/>
    <n v="0.83"/>
  </r>
  <r>
    <s v="PID0271"/>
    <x v="1"/>
    <x v="2"/>
    <s v="2023-09-28"/>
    <s v="Friday"/>
    <x v="1"/>
    <n v="80"/>
    <n v="1"/>
    <n v="2"/>
    <n v="61.71"/>
    <n v="9.3000000000000007"/>
    <n v="11.01"/>
    <d v="2023-05-28T00:00:00"/>
    <s v="ACL Tear"/>
    <m/>
    <m/>
    <n v="0"/>
    <n v="3"/>
    <s v="Hamstring"/>
    <n v="33"/>
    <n v="195"/>
    <n v="82"/>
    <s v="UK"/>
    <n v="53.3"/>
    <n v="9.9700000000000006"/>
    <n v="1.23"/>
  </r>
  <r>
    <s v="PID0272"/>
    <x v="3"/>
    <x v="0"/>
    <s v="2023-09-29"/>
    <s v="Friday"/>
    <x v="0"/>
    <n v="67"/>
    <n v="2"/>
    <n v="3"/>
    <n v="69.849999999999994"/>
    <n v="11.9"/>
    <n v="14.41"/>
    <m/>
    <s v="Hamstring Strain"/>
    <m/>
    <m/>
    <n v="0"/>
    <n v="0"/>
    <s v="ACL"/>
    <n v="18"/>
    <n v="189"/>
    <n v="62"/>
    <s v="Brazil"/>
    <n v="58.8"/>
    <n v="8.18"/>
    <n v="0.9"/>
  </r>
  <r>
    <s v="PID0273"/>
    <x v="1"/>
    <x v="1"/>
    <s v="2023-09-30"/>
    <s v="Saturday"/>
    <x v="0"/>
    <n v="38"/>
    <n v="4"/>
    <n v="4"/>
    <n v="75.010000000000005"/>
    <n v="13.8"/>
    <n v="13.27"/>
    <m/>
    <s v="Ankle Sprain"/>
    <m/>
    <m/>
    <n v="0"/>
    <n v="3"/>
    <s v="None"/>
    <n v="21"/>
    <n v="192"/>
    <n v="63"/>
    <s v="Germany"/>
    <n v="54.7"/>
    <n v="9.85"/>
    <n v="0.56999999999999995"/>
  </r>
  <r>
    <s v="PID0274"/>
    <x v="0"/>
    <x v="0"/>
    <s v="2023-10-01"/>
    <s v="Saturday"/>
    <x v="0"/>
    <n v="23"/>
    <n v="0"/>
    <n v="3"/>
    <n v="69.67"/>
    <n v="11.8"/>
    <n v="11.67"/>
    <m/>
    <s v="Hamstring Strain"/>
    <d v="2023-03-12T00:00:00"/>
    <n v="84"/>
    <n v="0"/>
    <n v="0"/>
    <s v="Hamstring"/>
    <n v="21"/>
    <n v="177"/>
    <n v="84"/>
    <s v="Germany"/>
    <n v="52.1"/>
    <n v="6.3"/>
    <n v="1.28"/>
  </r>
  <r>
    <s v="PID0275"/>
    <x v="1"/>
    <x v="2"/>
    <s v="2023-10-02"/>
    <s v="Monday"/>
    <x v="0"/>
    <n v="54"/>
    <n v="0"/>
    <n v="1"/>
    <n v="55.14"/>
    <n v="6.5"/>
    <n v="10.77"/>
    <m/>
    <s v="None"/>
    <m/>
    <m/>
    <n v="0"/>
    <n v="4"/>
    <s v="ACL"/>
    <n v="24"/>
    <n v="187"/>
    <n v="97"/>
    <s v="Germany"/>
    <n v="69.8"/>
    <n v="7.46"/>
    <n v="0.79"/>
  </r>
  <r>
    <s v="PID0276"/>
    <x v="1"/>
    <x v="3"/>
    <s v="2023-10-03"/>
    <s v="Thursday"/>
    <x v="1"/>
    <n v="83"/>
    <n v="0"/>
    <n v="1"/>
    <n v="54.93"/>
    <n v="6.5"/>
    <n v="8.49"/>
    <m/>
    <s v="None"/>
    <m/>
    <n v="16"/>
    <n v="1"/>
    <n v="0"/>
    <s v="Ankle"/>
    <n v="25"/>
    <n v="170"/>
    <n v="74"/>
    <s v="Germany"/>
    <n v="66.400000000000006"/>
    <n v="6.9"/>
    <n v="0.93"/>
  </r>
  <r>
    <s v="PID0277"/>
    <x v="1"/>
    <x v="0"/>
    <s v="2023-10-04"/>
    <s v="Friday"/>
    <x v="0"/>
    <n v="68"/>
    <n v="0"/>
    <n v="0"/>
    <n v="50.01"/>
    <n v="5.2"/>
    <n v="6.59"/>
    <m/>
    <s v="None"/>
    <m/>
    <m/>
    <n v="0"/>
    <n v="0"/>
    <s v="ACL"/>
    <n v="34"/>
    <n v="192"/>
    <n v="80"/>
    <s v="UK"/>
    <n v="58.7"/>
    <n v="6.78"/>
    <n v="1.19"/>
  </r>
  <r>
    <s v="PID0278"/>
    <x v="1"/>
    <x v="1"/>
    <s v="2023-10-05"/>
    <s v="Friday"/>
    <x v="1"/>
    <n v="36"/>
    <n v="0"/>
    <n v="6"/>
    <n v="87.81"/>
    <n v="18"/>
    <n v="11.05"/>
    <m/>
    <s v="None"/>
    <d v="2023-03-15T00:00:00"/>
    <m/>
    <n v="1"/>
    <n v="0"/>
    <s v="Ankle"/>
    <n v="22"/>
    <n v="176"/>
    <n v="94"/>
    <s v="Spain"/>
    <n v="57.1"/>
    <n v="6.56"/>
    <n v="0.83"/>
  </r>
  <r>
    <s v="PID0279"/>
    <x v="2"/>
    <x v="1"/>
    <s v="2023-10-06"/>
    <s v="Tuesday"/>
    <x v="1"/>
    <n v="63"/>
    <n v="1"/>
    <n v="4"/>
    <n v="74.47"/>
    <n v="13.8"/>
    <n v="8.18"/>
    <m/>
    <s v="Hamstring Strain"/>
    <d v="2023-02-15T00:00:00"/>
    <m/>
    <n v="0"/>
    <n v="1"/>
    <s v="Hamstring"/>
    <n v="24"/>
    <n v="165"/>
    <n v="73"/>
    <s v="Argentina"/>
    <n v="58.6"/>
    <n v="8.49"/>
    <n v="0.56000000000000005"/>
  </r>
  <r>
    <s v="PID0280"/>
    <x v="3"/>
    <x v="0"/>
    <s v="2023-10-07"/>
    <s v="Sunday"/>
    <x v="1"/>
    <n v="49"/>
    <n v="4"/>
    <n v="3"/>
    <n v="69.45"/>
    <n v="11.8"/>
    <n v="13.66"/>
    <m/>
    <s v="Ankle Sprain"/>
    <m/>
    <m/>
    <n v="0"/>
    <n v="1"/>
    <s v="Hamstring"/>
    <n v="37"/>
    <n v="163"/>
    <n v="95"/>
    <s v="USA"/>
    <n v="46"/>
    <n v="9.1300000000000008"/>
    <n v="0.8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9">
  <r>
    <x v="0"/>
  </r>
  <r>
    <x v="1"/>
  </r>
  <r>
    <x v="0"/>
  </r>
  <r>
    <x v="2"/>
  </r>
  <r>
    <x v="0"/>
  </r>
  <r>
    <x v="0"/>
  </r>
  <r>
    <x v="2"/>
  </r>
  <r>
    <x v="3"/>
  </r>
  <r>
    <x v="0"/>
  </r>
  <r>
    <x v="2"/>
  </r>
  <r>
    <x v="2"/>
  </r>
  <r>
    <x v="1"/>
  </r>
  <r>
    <x v="2"/>
  </r>
  <r>
    <x v="1"/>
  </r>
  <r>
    <x v="1"/>
  </r>
  <r>
    <x v="2"/>
  </r>
  <r>
    <x v="0"/>
  </r>
  <r>
    <x v="2"/>
  </r>
  <r>
    <x v="2"/>
  </r>
  <r>
    <x v="3"/>
  </r>
  <r>
    <x v="1"/>
  </r>
  <r>
    <x v="3"/>
  </r>
  <r>
    <x v="3"/>
  </r>
  <r>
    <x v="0"/>
  </r>
  <r>
    <x v="0"/>
  </r>
  <r>
    <x v="1"/>
  </r>
  <r>
    <x v="1"/>
  </r>
  <r>
    <x v="1"/>
  </r>
  <r>
    <x v="2"/>
  </r>
  <r>
    <x v="2"/>
  </r>
  <r>
    <x v="3"/>
  </r>
  <r>
    <x v="0"/>
  </r>
  <r>
    <x v="2"/>
  </r>
  <r>
    <x v="3"/>
  </r>
  <r>
    <x v="2"/>
  </r>
  <r>
    <x v="1"/>
  </r>
  <r>
    <x v="0"/>
  </r>
  <r>
    <x v="1"/>
  </r>
  <r>
    <x v="0"/>
  </r>
  <r>
    <x v="3"/>
  </r>
  <r>
    <x v="0"/>
  </r>
  <r>
    <x v="2"/>
  </r>
  <r>
    <x v="1"/>
  </r>
  <r>
    <x v="2"/>
  </r>
  <r>
    <x v="2"/>
  </r>
  <r>
    <x v="1"/>
  </r>
  <r>
    <x v="1"/>
  </r>
  <r>
    <x v="2"/>
  </r>
  <r>
    <x v="2"/>
  </r>
  <r>
    <x v="3"/>
  </r>
  <r>
    <x v="2"/>
  </r>
  <r>
    <x v="1"/>
  </r>
  <r>
    <x v="1"/>
  </r>
  <r>
    <x v="2"/>
  </r>
  <r>
    <x v="2"/>
  </r>
  <r>
    <x v="2"/>
  </r>
  <r>
    <x v="0"/>
  </r>
  <r>
    <x v="0"/>
  </r>
  <r>
    <x v="3"/>
  </r>
  <r>
    <x v="1"/>
  </r>
  <r>
    <x v="1"/>
  </r>
  <r>
    <x v="1"/>
  </r>
  <r>
    <x v="0"/>
  </r>
  <r>
    <x v="2"/>
  </r>
  <r>
    <x v="3"/>
  </r>
  <r>
    <x v="2"/>
  </r>
  <r>
    <x v="1"/>
  </r>
  <r>
    <x v="3"/>
  </r>
  <r>
    <x v="1"/>
  </r>
  <r>
    <x v="3"/>
  </r>
  <r>
    <x v="3"/>
  </r>
  <r>
    <x v="3"/>
  </r>
  <r>
    <x v="0"/>
  </r>
  <r>
    <x v="3"/>
  </r>
  <r>
    <x v="1"/>
  </r>
  <r>
    <x v="1"/>
  </r>
  <r>
    <x v="3"/>
  </r>
  <r>
    <x v="2"/>
  </r>
  <r>
    <x v="0"/>
  </r>
  <r>
    <x v="2"/>
  </r>
  <r>
    <x v="2"/>
  </r>
  <r>
    <x v="1"/>
  </r>
  <r>
    <x v="3"/>
  </r>
  <r>
    <x v="2"/>
  </r>
  <r>
    <x v="2"/>
  </r>
  <r>
    <x v="1"/>
  </r>
  <r>
    <x v="0"/>
  </r>
  <r>
    <x v="2"/>
  </r>
  <r>
    <x v="0"/>
  </r>
  <r>
    <x v="1"/>
  </r>
  <r>
    <x v="3"/>
  </r>
  <r>
    <x v="0"/>
  </r>
  <r>
    <x v="1"/>
  </r>
  <r>
    <x v="3"/>
  </r>
  <r>
    <x v="2"/>
  </r>
  <r>
    <x v="0"/>
  </r>
  <r>
    <x v="1"/>
  </r>
  <r>
    <x v="3"/>
  </r>
  <r>
    <x v="2"/>
  </r>
  <r>
    <x v="2"/>
  </r>
  <r>
    <x v="3"/>
  </r>
  <r>
    <x v="1"/>
  </r>
  <r>
    <x v="3"/>
  </r>
  <r>
    <x v="3"/>
  </r>
  <r>
    <x v="3"/>
  </r>
  <r>
    <x v="3"/>
  </r>
  <r>
    <x v="1"/>
  </r>
  <r>
    <x v="2"/>
  </r>
  <r>
    <x v="3"/>
  </r>
  <r>
    <x v="0"/>
  </r>
  <r>
    <x v="0"/>
  </r>
  <r>
    <x v="2"/>
  </r>
  <r>
    <x v="3"/>
  </r>
  <r>
    <x v="1"/>
  </r>
  <r>
    <x v="3"/>
  </r>
  <r>
    <x v="3"/>
  </r>
  <r>
    <x v="2"/>
  </r>
  <r>
    <x v="2"/>
  </r>
  <r>
    <x v="3"/>
  </r>
  <r>
    <x v="0"/>
  </r>
  <r>
    <x v="0"/>
  </r>
  <r>
    <x v="0"/>
  </r>
  <r>
    <x v="0"/>
  </r>
  <r>
    <x v="1"/>
  </r>
  <r>
    <x v="2"/>
  </r>
  <r>
    <x v="0"/>
  </r>
  <r>
    <x v="1"/>
  </r>
  <r>
    <x v="3"/>
  </r>
  <r>
    <x v="2"/>
  </r>
  <r>
    <x v="2"/>
  </r>
  <r>
    <x v="1"/>
  </r>
  <r>
    <x v="1"/>
  </r>
  <r>
    <x v="0"/>
  </r>
  <r>
    <x v="0"/>
  </r>
  <r>
    <x v="1"/>
  </r>
  <r>
    <x v="1"/>
  </r>
  <r>
    <x v="2"/>
  </r>
  <r>
    <x v="1"/>
  </r>
  <r>
    <x v="1"/>
  </r>
  <r>
    <x v="0"/>
  </r>
  <r>
    <x v="2"/>
  </r>
  <r>
    <x v="1"/>
  </r>
  <r>
    <x v="0"/>
  </r>
  <r>
    <x v="0"/>
  </r>
  <r>
    <x v="0"/>
  </r>
  <r>
    <x v="1"/>
  </r>
  <r>
    <x v="0"/>
  </r>
  <r>
    <x v="1"/>
  </r>
  <r>
    <x v="1"/>
  </r>
  <r>
    <x v="2"/>
  </r>
  <r>
    <x v="1"/>
  </r>
  <r>
    <x v="3"/>
  </r>
  <r>
    <x v="3"/>
  </r>
  <r>
    <x v="2"/>
  </r>
  <r>
    <x v="1"/>
  </r>
  <r>
    <x v="0"/>
  </r>
  <r>
    <x v="2"/>
  </r>
  <r>
    <x v="2"/>
  </r>
  <r>
    <x v="1"/>
  </r>
  <r>
    <x v="3"/>
  </r>
  <r>
    <x v="1"/>
  </r>
  <r>
    <x v="1"/>
  </r>
  <r>
    <x v="2"/>
  </r>
  <r>
    <x v="2"/>
  </r>
  <r>
    <x v="1"/>
  </r>
  <r>
    <x v="2"/>
  </r>
  <r>
    <x v="1"/>
  </r>
  <r>
    <x v="0"/>
  </r>
  <r>
    <x v="3"/>
  </r>
  <r>
    <x v="1"/>
  </r>
  <r>
    <x v="2"/>
  </r>
  <r>
    <x v="3"/>
  </r>
  <r>
    <x v="1"/>
  </r>
  <r>
    <x v="2"/>
  </r>
  <r>
    <x v="3"/>
  </r>
  <r>
    <x v="3"/>
  </r>
  <r>
    <x v="2"/>
  </r>
  <r>
    <x v="1"/>
  </r>
  <r>
    <x v="0"/>
  </r>
  <r>
    <x v="1"/>
  </r>
  <r>
    <x v="3"/>
  </r>
  <r>
    <x v="2"/>
  </r>
  <r>
    <x v="3"/>
  </r>
  <r>
    <x v="1"/>
  </r>
  <r>
    <x v="0"/>
  </r>
  <r>
    <x v="0"/>
  </r>
  <r>
    <x v="1"/>
  </r>
  <r>
    <x v="0"/>
  </r>
  <r>
    <x v="0"/>
  </r>
  <r>
    <x v="3"/>
  </r>
  <r>
    <x v="3"/>
  </r>
  <r>
    <x v="0"/>
  </r>
  <r>
    <x v="2"/>
  </r>
  <r>
    <x v="0"/>
  </r>
  <r>
    <x v="1"/>
  </r>
  <r>
    <x v="0"/>
  </r>
  <r>
    <x v="0"/>
  </r>
  <r>
    <x v="0"/>
  </r>
  <r>
    <x v="3"/>
  </r>
  <r>
    <x v="3"/>
  </r>
  <r>
    <x v="2"/>
  </r>
  <r>
    <x v="2"/>
  </r>
  <r>
    <x v="0"/>
  </r>
  <r>
    <x v="2"/>
  </r>
  <r>
    <x v="0"/>
  </r>
  <r>
    <x v="2"/>
  </r>
  <r>
    <x v="0"/>
  </r>
  <r>
    <x v="2"/>
  </r>
  <r>
    <x v="2"/>
  </r>
  <r>
    <x v="0"/>
  </r>
  <r>
    <x v="0"/>
  </r>
  <r>
    <x v="0"/>
  </r>
  <r>
    <x v="0"/>
  </r>
  <r>
    <x v="2"/>
  </r>
  <r>
    <x v="1"/>
  </r>
  <r>
    <x v="1"/>
  </r>
  <r>
    <x v="2"/>
  </r>
  <r>
    <x v="3"/>
  </r>
  <r>
    <x v="1"/>
  </r>
  <r>
    <x v="2"/>
  </r>
  <r>
    <x v="1"/>
  </r>
  <r>
    <x v="1"/>
  </r>
  <r>
    <x v="0"/>
  </r>
  <r>
    <x v="3"/>
  </r>
  <r>
    <x v="2"/>
  </r>
  <r>
    <x v="1"/>
  </r>
  <r>
    <x v="1"/>
  </r>
  <r>
    <x v="2"/>
  </r>
  <r>
    <x v="1"/>
  </r>
  <r>
    <x v="1"/>
  </r>
  <r>
    <x v="1"/>
  </r>
  <r>
    <x v="2"/>
  </r>
  <r>
    <x v="3"/>
  </r>
  <r>
    <x v="0"/>
  </r>
  <r>
    <x v="1"/>
  </r>
  <r>
    <x v="2"/>
  </r>
  <r>
    <x v="0"/>
  </r>
  <r>
    <x v="2"/>
  </r>
  <r>
    <x v="0"/>
  </r>
  <r>
    <x v="1"/>
  </r>
  <r>
    <x v="3"/>
  </r>
  <r>
    <x v="0"/>
  </r>
  <r>
    <x v="0"/>
  </r>
  <r>
    <x v="1"/>
  </r>
  <r>
    <x v="0"/>
  </r>
  <r>
    <x v="0"/>
  </r>
  <r>
    <x v="3"/>
  </r>
  <r>
    <x v="1"/>
  </r>
  <r>
    <x v="0"/>
  </r>
  <r>
    <x v="3"/>
  </r>
  <r>
    <x v="0"/>
  </r>
  <r>
    <x v="3"/>
  </r>
  <r>
    <x v="3"/>
  </r>
  <r>
    <x v="0"/>
  </r>
  <r>
    <x v="3"/>
  </r>
  <r>
    <x v="0"/>
  </r>
  <r>
    <x v="0"/>
  </r>
  <r>
    <x v="3"/>
  </r>
  <r>
    <x v="3"/>
  </r>
  <r>
    <x v="2"/>
  </r>
  <r>
    <x v="0"/>
  </r>
  <r>
    <x v="2"/>
  </r>
  <r>
    <x v="1"/>
  </r>
  <r>
    <x v="0"/>
  </r>
  <r>
    <x v="0"/>
  </r>
  <r>
    <x v="0"/>
  </r>
  <r>
    <x v="2"/>
  </r>
  <r>
    <x v="1"/>
  </r>
  <r>
    <x v="0"/>
  </r>
  <r>
    <x v="2"/>
  </r>
  <r>
    <x v="1"/>
  </r>
  <r>
    <x v="0"/>
  </r>
  <r>
    <x v="1"/>
  </r>
  <r>
    <x v="3"/>
  </r>
  <r>
    <x v="3"/>
  </r>
  <r>
    <x v="3"/>
  </r>
  <r>
    <x v="3"/>
  </r>
  <r>
    <x v="1"/>
  </r>
  <r>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x v="0"/>
    <x v="0"/>
    <s v="Defender"/>
    <x v="0"/>
    <x v="0"/>
    <x v="0"/>
    <n v="0"/>
    <n v="2"/>
    <x v="0"/>
    <x v="0"/>
    <x v="0"/>
  </r>
  <r>
    <x v="1"/>
    <x v="1"/>
    <s v="Midfielder"/>
    <x v="1"/>
    <x v="1"/>
    <x v="1"/>
    <n v="2"/>
    <n v="6"/>
    <x v="1"/>
    <x v="1"/>
    <x v="1"/>
  </r>
  <r>
    <x v="2"/>
    <x v="1"/>
    <s v="Defender"/>
    <x v="2"/>
    <x v="0"/>
    <x v="2"/>
    <n v="2"/>
    <n v="2"/>
    <x v="2"/>
    <x v="2"/>
    <x v="2"/>
  </r>
  <r>
    <x v="3"/>
    <x v="0"/>
    <s v="Defender"/>
    <x v="3"/>
    <x v="2"/>
    <x v="3"/>
    <n v="0"/>
    <n v="5"/>
    <x v="3"/>
    <x v="1"/>
    <x v="3"/>
  </r>
  <r>
    <x v="4"/>
    <x v="0"/>
    <s v="Midfielder"/>
    <x v="4"/>
    <x v="3"/>
    <x v="4"/>
    <n v="4"/>
    <n v="5"/>
    <x v="4"/>
    <x v="0"/>
    <x v="3"/>
  </r>
  <r>
    <x v="5"/>
    <x v="1"/>
    <s v="Midfielder"/>
    <x v="5"/>
    <x v="0"/>
    <x v="5"/>
    <n v="0"/>
    <n v="2"/>
    <x v="5"/>
    <x v="1"/>
    <x v="3"/>
  </r>
  <r>
    <x v="6"/>
    <x v="0"/>
    <s v="Midfielder"/>
    <x v="6"/>
    <x v="3"/>
    <x v="5"/>
    <n v="1"/>
    <n v="6"/>
    <x v="6"/>
    <x v="1"/>
    <x v="4"/>
  </r>
  <r>
    <x v="7"/>
    <x v="2"/>
    <s v="Forward"/>
    <x v="7"/>
    <x v="0"/>
    <x v="6"/>
    <n v="0"/>
    <n v="2"/>
    <x v="5"/>
    <x v="0"/>
    <x v="2"/>
  </r>
  <r>
    <x v="8"/>
    <x v="3"/>
    <s v="Defender"/>
    <x v="8"/>
    <x v="3"/>
    <x v="7"/>
    <n v="2"/>
    <n v="1"/>
    <x v="7"/>
    <x v="3"/>
    <x v="5"/>
  </r>
  <r>
    <x v="9"/>
    <x v="1"/>
    <s v="Defender"/>
    <x v="9"/>
    <x v="2"/>
    <x v="8"/>
    <n v="0"/>
    <n v="3"/>
    <x v="8"/>
    <x v="1"/>
    <x v="3"/>
  </r>
  <r>
    <x v="10"/>
    <x v="1"/>
    <s v="Midfielder"/>
    <x v="10"/>
    <x v="4"/>
    <x v="9"/>
    <n v="4"/>
    <n v="6"/>
    <x v="9"/>
    <x v="0"/>
    <x v="3"/>
  </r>
  <r>
    <x v="11"/>
    <x v="2"/>
    <s v="Defender"/>
    <x v="11"/>
    <x v="3"/>
    <x v="10"/>
    <n v="3"/>
    <n v="6"/>
    <x v="10"/>
    <x v="0"/>
    <x v="5"/>
  </r>
  <r>
    <x v="12"/>
    <x v="1"/>
    <s v="Defender"/>
    <x v="12"/>
    <x v="5"/>
    <x v="11"/>
    <n v="0"/>
    <n v="4"/>
    <x v="11"/>
    <x v="2"/>
    <x v="2"/>
  </r>
  <r>
    <x v="13"/>
    <x v="2"/>
    <s v="Goalkeeper"/>
    <x v="13"/>
    <x v="4"/>
    <x v="12"/>
    <n v="0"/>
    <n v="0"/>
    <x v="12"/>
    <x v="0"/>
    <x v="2"/>
  </r>
  <r>
    <x v="14"/>
    <x v="1"/>
    <s v="Midfielder"/>
    <x v="14"/>
    <x v="4"/>
    <x v="10"/>
    <n v="4"/>
    <n v="3"/>
    <x v="13"/>
    <x v="2"/>
    <x v="0"/>
  </r>
  <r>
    <x v="15"/>
    <x v="0"/>
    <s v="Defender"/>
    <x v="15"/>
    <x v="3"/>
    <x v="13"/>
    <n v="2"/>
    <n v="5"/>
    <x v="14"/>
    <x v="2"/>
    <x v="0"/>
  </r>
  <r>
    <x v="16"/>
    <x v="3"/>
    <s v="Midfielder"/>
    <x v="16"/>
    <x v="5"/>
    <x v="14"/>
    <n v="4"/>
    <n v="6"/>
    <x v="15"/>
    <x v="0"/>
    <x v="0"/>
  </r>
  <r>
    <x v="17"/>
    <x v="3"/>
    <s v="Forward"/>
    <x v="17"/>
    <x v="5"/>
    <x v="4"/>
    <n v="4"/>
    <n v="2"/>
    <x v="16"/>
    <x v="1"/>
    <x v="2"/>
  </r>
  <r>
    <x v="18"/>
    <x v="2"/>
    <s v="Forward"/>
    <x v="18"/>
    <x v="6"/>
    <x v="15"/>
    <n v="4"/>
    <n v="3"/>
    <x v="17"/>
    <x v="0"/>
    <x v="1"/>
  </r>
  <r>
    <x v="19"/>
    <x v="0"/>
    <s v="Defender"/>
    <x v="19"/>
    <x v="1"/>
    <x v="16"/>
    <n v="4"/>
    <n v="4"/>
    <x v="18"/>
    <x v="0"/>
    <x v="3"/>
  </r>
  <r>
    <x v="20"/>
    <x v="2"/>
    <s v="Defender"/>
    <x v="20"/>
    <x v="0"/>
    <x v="8"/>
    <n v="1"/>
    <n v="5"/>
    <x v="19"/>
    <x v="3"/>
    <x v="1"/>
  </r>
  <r>
    <x v="21"/>
    <x v="3"/>
    <s v="Defender"/>
    <x v="21"/>
    <x v="4"/>
    <x v="17"/>
    <n v="1"/>
    <n v="0"/>
    <x v="20"/>
    <x v="2"/>
    <x v="5"/>
  </r>
  <r>
    <x v="22"/>
    <x v="2"/>
    <s v="Midfielder"/>
    <x v="22"/>
    <x v="5"/>
    <x v="18"/>
    <n v="2"/>
    <n v="0"/>
    <x v="21"/>
    <x v="3"/>
    <x v="2"/>
  </r>
  <r>
    <x v="23"/>
    <x v="2"/>
    <s v="Defender"/>
    <x v="23"/>
    <x v="2"/>
    <x v="19"/>
    <n v="0"/>
    <n v="4"/>
    <x v="22"/>
    <x v="3"/>
    <x v="3"/>
  </r>
  <r>
    <x v="24"/>
    <x v="0"/>
    <s v="Forward"/>
    <x v="24"/>
    <x v="0"/>
    <x v="14"/>
    <n v="4"/>
    <n v="4"/>
    <x v="22"/>
    <x v="1"/>
    <x v="1"/>
  </r>
  <r>
    <x v="25"/>
    <x v="1"/>
    <s v="Forward"/>
    <x v="25"/>
    <x v="4"/>
    <x v="1"/>
    <n v="0"/>
    <n v="2"/>
    <x v="23"/>
    <x v="1"/>
    <x v="3"/>
  </r>
  <r>
    <x v="26"/>
    <x v="1"/>
    <s v="Midfielder"/>
    <x v="26"/>
    <x v="1"/>
    <x v="20"/>
    <n v="0"/>
    <n v="6"/>
    <x v="24"/>
    <x v="2"/>
    <x v="1"/>
  </r>
  <r>
    <x v="27"/>
    <x v="2"/>
    <s v="Midfielder"/>
    <x v="27"/>
    <x v="1"/>
    <x v="20"/>
    <n v="2"/>
    <n v="0"/>
    <x v="25"/>
    <x v="2"/>
    <x v="2"/>
  </r>
  <r>
    <x v="28"/>
    <x v="3"/>
    <s v="Defender"/>
    <x v="28"/>
    <x v="0"/>
    <x v="21"/>
    <n v="4"/>
    <n v="5"/>
    <x v="19"/>
    <x v="2"/>
    <x v="4"/>
  </r>
  <r>
    <x v="29"/>
    <x v="3"/>
    <s v="Midfielder"/>
    <x v="29"/>
    <x v="1"/>
    <x v="20"/>
    <n v="4"/>
    <n v="3"/>
    <x v="26"/>
    <x v="0"/>
    <x v="3"/>
  </r>
  <r>
    <x v="30"/>
    <x v="3"/>
    <s v="Defender"/>
    <x v="30"/>
    <x v="3"/>
    <x v="22"/>
    <n v="3"/>
    <n v="5"/>
    <x v="27"/>
    <x v="0"/>
    <x v="4"/>
  </r>
  <r>
    <x v="31"/>
    <x v="0"/>
    <s v="Defender"/>
    <x v="31"/>
    <x v="4"/>
    <x v="23"/>
    <n v="0"/>
    <n v="1"/>
    <x v="28"/>
    <x v="3"/>
    <x v="5"/>
  </r>
  <r>
    <x v="32"/>
    <x v="0"/>
    <s v="Forward"/>
    <x v="32"/>
    <x v="3"/>
    <x v="13"/>
    <n v="0"/>
    <n v="1"/>
    <x v="29"/>
    <x v="1"/>
    <x v="2"/>
  </r>
  <r>
    <x v="33"/>
    <x v="3"/>
    <s v="Midfielder"/>
    <x v="33"/>
    <x v="3"/>
    <x v="7"/>
    <n v="1"/>
    <n v="4"/>
    <x v="30"/>
    <x v="0"/>
    <x v="4"/>
  </r>
  <r>
    <x v="34"/>
    <x v="2"/>
    <s v="Midfielder"/>
    <x v="34"/>
    <x v="4"/>
    <x v="22"/>
    <n v="3"/>
    <n v="2"/>
    <x v="31"/>
    <x v="3"/>
    <x v="2"/>
  </r>
  <r>
    <x v="35"/>
    <x v="2"/>
    <s v="Forward"/>
    <x v="35"/>
    <x v="2"/>
    <x v="24"/>
    <n v="1"/>
    <n v="1"/>
    <x v="32"/>
    <x v="0"/>
    <x v="5"/>
  </r>
  <r>
    <x v="36"/>
    <x v="0"/>
    <s v="Forward"/>
    <x v="36"/>
    <x v="0"/>
    <x v="4"/>
    <n v="1"/>
    <n v="0"/>
    <x v="33"/>
    <x v="2"/>
    <x v="0"/>
  </r>
  <r>
    <x v="37"/>
    <x v="2"/>
    <s v="Defender"/>
    <x v="37"/>
    <x v="1"/>
    <x v="25"/>
    <n v="1"/>
    <n v="5"/>
    <x v="34"/>
    <x v="1"/>
    <x v="2"/>
  </r>
  <r>
    <x v="38"/>
    <x v="3"/>
    <s v="Defender"/>
    <x v="38"/>
    <x v="4"/>
    <x v="26"/>
    <n v="2"/>
    <n v="5"/>
    <x v="35"/>
    <x v="2"/>
    <x v="0"/>
  </r>
  <r>
    <x v="39"/>
    <x v="0"/>
    <s v="Forward"/>
    <x v="39"/>
    <x v="6"/>
    <x v="27"/>
    <n v="2"/>
    <n v="4"/>
    <x v="36"/>
    <x v="1"/>
    <x v="1"/>
  </r>
  <r>
    <x v="40"/>
    <x v="2"/>
    <s v="Midfielder"/>
    <x v="40"/>
    <x v="3"/>
    <x v="28"/>
    <n v="1"/>
    <n v="6"/>
    <x v="37"/>
    <x v="3"/>
    <x v="2"/>
  </r>
  <r>
    <x v="41"/>
    <x v="0"/>
    <s v="Midfielder"/>
    <x v="41"/>
    <x v="4"/>
    <x v="14"/>
    <n v="3"/>
    <n v="6"/>
    <x v="38"/>
    <x v="1"/>
    <x v="2"/>
  </r>
  <r>
    <x v="42"/>
    <x v="2"/>
    <s v="Midfielder"/>
    <x v="42"/>
    <x v="5"/>
    <x v="29"/>
    <n v="0"/>
    <n v="3"/>
    <x v="39"/>
    <x v="0"/>
    <x v="2"/>
  </r>
  <r>
    <x v="43"/>
    <x v="0"/>
    <s v="Forward"/>
    <x v="43"/>
    <x v="2"/>
    <x v="30"/>
    <n v="3"/>
    <n v="4"/>
    <x v="40"/>
    <x v="2"/>
    <x v="2"/>
  </r>
  <r>
    <x v="44"/>
    <x v="2"/>
    <s v="Forward"/>
    <x v="44"/>
    <x v="6"/>
    <x v="9"/>
    <n v="4"/>
    <n v="3"/>
    <x v="41"/>
    <x v="0"/>
    <x v="4"/>
  </r>
  <r>
    <x v="45"/>
    <x v="0"/>
    <s v="Midfielder"/>
    <x v="45"/>
    <x v="6"/>
    <x v="10"/>
    <n v="2"/>
    <n v="6"/>
    <x v="42"/>
    <x v="0"/>
    <x v="3"/>
  </r>
  <r>
    <x v="46"/>
    <x v="3"/>
    <s v="Defender"/>
    <x v="46"/>
    <x v="4"/>
    <x v="14"/>
    <n v="0"/>
    <n v="4"/>
    <x v="43"/>
    <x v="2"/>
    <x v="3"/>
  </r>
  <r>
    <x v="47"/>
    <x v="1"/>
    <s v="Defender"/>
    <x v="47"/>
    <x v="4"/>
    <x v="31"/>
    <n v="0"/>
    <n v="4"/>
    <x v="44"/>
    <x v="2"/>
    <x v="5"/>
  </r>
  <r>
    <x v="48"/>
    <x v="2"/>
    <s v="Defender"/>
    <x v="48"/>
    <x v="3"/>
    <x v="32"/>
    <n v="4"/>
    <n v="4"/>
    <x v="45"/>
    <x v="0"/>
    <x v="0"/>
  </r>
  <r>
    <x v="49"/>
    <x v="3"/>
    <s v="Midfielder"/>
    <x v="49"/>
    <x v="0"/>
    <x v="33"/>
    <n v="4"/>
    <n v="6"/>
    <x v="46"/>
    <x v="0"/>
    <x v="3"/>
  </r>
  <r>
    <x v="50"/>
    <x v="2"/>
    <s v="Midfielder"/>
    <x v="50"/>
    <x v="6"/>
    <x v="21"/>
    <n v="1"/>
    <n v="3"/>
    <x v="47"/>
    <x v="3"/>
    <x v="3"/>
  </r>
  <r>
    <x v="51"/>
    <x v="1"/>
    <s v="Midfielder"/>
    <x v="51"/>
    <x v="6"/>
    <x v="34"/>
    <n v="2"/>
    <n v="3"/>
    <x v="47"/>
    <x v="0"/>
    <x v="1"/>
  </r>
  <r>
    <x v="52"/>
    <x v="3"/>
    <s v="Defender"/>
    <x v="52"/>
    <x v="4"/>
    <x v="35"/>
    <n v="2"/>
    <n v="4"/>
    <x v="48"/>
    <x v="2"/>
    <x v="2"/>
  </r>
  <r>
    <x v="53"/>
    <x v="2"/>
    <s v="Midfielder"/>
    <x v="53"/>
    <x v="2"/>
    <x v="36"/>
    <n v="3"/>
    <n v="1"/>
    <x v="49"/>
    <x v="2"/>
    <x v="2"/>
  </r>
  <r>
    <x v="54"/>
    <x v="0"/>
    <s v="Midfielder"/>
    <x v="54"/>
    <x v="2"/>
    <x v="28"/>
    <n v="1"/>
    <n v="2"/>
    <x v="50"/>
    <x v="0"/>
    <x v="2"/>
  </r>
  <r>
    <x v="55"/>
    <x v="3"/>
    <s v="Midfielder"/>
    <x v="55"/>
    <x v="3"/>
    <x v="10"/>
    <n v="1"/>
    <n v="6"/>
    <x v="51"/>
    <x v="0"/>
    <x v="5"/>
  </r>
  <r>
    <x v="56"/>
    <x v="0"/>
    <s v="Defender"/>
    <x v="56"/>
    <x v="0"/>
    <x v="37"/>
    <n v="1"/>
    <n v="2"/>
    <x v="50"/>
    <x v="0"/>
    <x v="5"/>
  </r>
  <r>
    <x v="57"/>
    <x v="1"/>
    <s v="Forward"/>
    <x v="57"/>
    <x v="1"/>
    <x v="38"/>
    <n v="1"/>
    <n v="2"/>
    <x v="52"/>
    <x v="1"/>
    <x v="1"/>
  </r>
  <r>
    <x v="58"/>
    <x v="1"/>
    <s v="Defender"/>
    <x v="58"/>
    <x v="0"/>
    <x v="28"/>
    <n v="2"/>
    <n v="3"/>
    <x v="53"/>
    <x v="1"/>
    <x v="0"/>
  </r>
  <r>
    <x v="59"/>
    <x v="0"/>
    <s v="Defender"/>
    <x v="59"/>
    <x v="6"/>
    <x v="38"/>
    <n v="2"/>
    <n v="3"/>
    <x v="53"/>
    <x v="3"/>
    <x v="3"/>
  </r>
  <r>
    <x v="60"/>
    <x v="3"/>
    <s v="Defender"/>
    <x v="60"/>
    <x v="3"/>
    <x v="39"/>
    <n v="1"/>
    <n v="1"/>
    <x v="54"/>
    <x v="2"/>
    <x v="0"/>
  </r>
  <r>
    <x v="61"/>
    <x v="3"/>
    <s v="Forward"/>
    <x v="61"/>
    <x v="0"/>
    <x v="27"/>
    <n v="3"/>
    <n v="2"/>
    <x v="55"/>
    <x v="2"/>
    <x v="2"/>
  </r>
  <r>
    <x v="62"/>
    <x v="3"/>
    <s v="Forward"/>
    <x v="62"/>
    <x v="3"/>
    <x v="32"/>
    <n v="0"/>
    <n v="2"/>
    <x v="56"/>
    <x v="2"/>
    <x v="3"/>
  </r>
  <r>
    <x v="63"/>
    <x v="3"/>
    <s v="Defender"/>
    <x v="63"/>
    <x v="4"/>
    <x v="40"/>
    <n v="0"/>
    <n v="4"/>
    <x v="57"/>
    <x v="1"/>
    <x v="2"/>
  </r>
  <r>
    <x v="64"/>
    <x v="1"/>
    <s v="Defender"/>
    <x v="64"/>
    <x v="1"/>
    <x v="41"/>
    <n v="3"/>
    <n v="3"/>
    <x v="58"/>
    <x v="0"/>
    <x v="1"/>
  </r>
  <r>
    <x v="65"/>
    <x v="0"/>
    <s v="Defender"/>
    <x v="65"/>
    <x v="1"/>
    <x v="20"/>
    <n v="1"/>
    <n v="2"/>
    <x v="59"/>
    <x v="3"/>
    <x v="1"/>
  </r>
  <r>
    <x v="66"/>
    <x v="1"/>
    <s v="Defender"/>
    <x v="66"/>
    <x v="1"/>
    <x v="29"/>
    <n v="2"/>
    <n v="5"/>
    <x v="60"/>
    <x v="0"/>
    <x v="3"/>
  </r>
  <r>
    <x v="67"/>
    <x v="2"/>
    <s v="Defender"/>
    <x v="67"/>
    <x v="5"/>
    <x v="42"/>
    <n v="0"/>
    <n v="1"/>
    <x v="61"/>
    <x v="2"/>
    <x v="1"/>
  </r>
  <r>
    <x v="68"/>
    <x v="1"/>
    <s v="Midfielder"/>
    <x v="68"/>
    <x v="1"/>
    <x v="1"/>
    <n v="4"/>
    <n v="5"/>
    <x v="62"/>
    <x v="3"/>
    <x v="4"/>
  </r>
  <r>
    <x v="69"/>
    <x v="0"/>
    <s v="Defender"/>
    <x v="69"/>
    <x v="2"/>
    <x v="2"/>
    <n v="4"/>
    <n v="5"/>
    <x v="63"/>
    <x v="2"/>
    <x v="3"/>
  </r>
  <r>
    <x v="70"/>
    <x v="2"/>
    <s v="Defender"/>
    <x v="70"/>
    <x v="2"/>
    <x v="20"/>
    <n v="3"/>
    <n v="6"/>
    <x v="64"/>
    <x v="3"/>
    <x v="1"/>
  </r>
  <r>
    <x v="71"/>
    <x v="0"/>
    <s v="Defender"/>
    <x v="71"/>
    <x v="4"/>
    <x v="43"/>
    <n v="1"/>
    <n v="6"/>
    <x v="65"/>
    <x v="3"/>
    <x v="2"/>
  </r>
  <r>
    <x v="72"/>
    <x v="0"/>
    <s v="Defender"/>
    <x v="72"/>
    <x v="3"/>
    <x v="9"/>
    <n v="0"/>
    <n v="1"/>
    <x v="66"/>
    <x v="3"/>
    <x v="3"/>
  </r>
  <r>
    <x v="73"/>
    <x v="0"/>
    <s v="Midfielder"/>
    <x v="73"/>
    <x v="2"/>
    <x v="6"/>
    <n v="1"/>
    <n v="5"/>
    <x v="67"/>
    <x v="1"/>
    <x v="2"/>
  </r>
  <r>
    <x v="74"/>
    <x v="0"/>
    <s v="Defender"/>
    <x v="74"/>
    <x v="0"/>
    <x v="44"/>
    <n v="0"/>
    <n v="2"/>
    <x v="68"/>
    <x v="3"/>
    <x v="0"/>
  </r>
  <r>
    <x v="75"/>
    <x v="1"/>
    <s v="Midfielder"/>
    <x v="75"/>
    <x v="2"/>
    <x v="14"/>
    <n v="3"/>
    <n v="3"/>
    <x v="69"/>
    <x v="2"/>
    <x v="0"/>
  </r>
  <r>
    <x v="76"/>
    <x v="3"/>
    <s v="Forward"/>
    <x v="76"/>
    <x v="5"/>
    <x v="45"/>
    <n v="3"/>
    <n v="1"/>
    <x v="70"/>
    <x v="2"/>
    <x v="3"/>
  </r>
  <r>
    <x v="77"/>
    <x v="1"/>
    <s v="Forward"/>
    <x v="77"/>
    <x v="5"/>
    <x v="46"/>
    <n v="4"/>
    <n v="4"/>
    <x v="71"/>
    <x v="3"/>
    <x v="5"/>
  </r>
  <r>
    <x v="78"/>
    <x v="1"/>
    <s v="Midfielder"/>
    <x v="78"/>
    <x v="3"/>
    <x v="1"/>
    <n v="1"/>
    <n v="5"/>
    <x v="72"/>
    <x v="0"/>
    <x v="1"/>
  </r>
  <r>
    <x v="79"/>
    <x v="3"/>
    <s v="Midfielder"/>
    <x v="79"/>
    <x v="1"/>
    <x v="47"/>
    <n v="4"/>
    <n v="1"/>
    <x v="73"/>
    <x v="1"/>
    <x v="2"/>
  </r>
  <r>
    <x v="80"/>
    <x v="3"/>
    <s v="Midfielder"/>
    <x v="80"/>
    <x v="4"/>
    <x v="48"/>
    <n v="1"/>
    <n v="0"/>
    <x v="74"/>
    <x v="0"/>
    <x v="5"/>
  </r>
  <r>
    <x v="81"/>
    <x v="2"/>
    <s v="Forward"/>
    <x v="81"/>
    <x v="2"/>
    <x v="31"/>
    <n v="4"/>
    <n v="0"/>
    <x v="75"/>
    <x v="0"/>
    <x v="3"/>
  </r>
  <r>
    <x v="82"/>
    <x v="1"/>
    <s v="Defender"/>
    <x v="82"/>
    <x v="6"/>
    <x v="30"/>
    <n v="2"/>
    <n v="6"/>
    <x v="76"/>
    <x v="2"/>
    <x v="0"/>
  </r>
  <r>
    <x v="83"/>
    <x v="2"/>
    <s v="Midfielder"/>
    <x v="83"/>
    <x v="6"/>
    <x v="49"/>
    <n v="2"/>
    <n v="3"/>
    <x v="77"/>
    <x v="3"/>
    <x v="2"/>
  </r>
  <r>
    <x v="84"/>
    <x v="0"/>
    <s v="Defender"/>
    <x v="84"/>
    <x v="4"/>
    <x v="33"/>
    <n v="2"/>
    <n v="2"/>
    <x v="78"/>
    <x v="0"/>
    <x v="0"/>
  </r>
  <r>
    <x v="85"/>
    <x v="0"/>
    <s v="Midfielder"/>
    <x v="85"/>
    <x v="2"/>
    <x v="39"/>
    <n v="2"/>
    <n v="3"/>
    <x v="79"/>
    <x v="0"/>
    <x v="4"/>
  </r>
  <r>
    <x v="86"/>
    <x v="1"/>
    <s v="Midfielder"/>
    <x v="86"/>
    <x v="5"/>
    <x v="50"/>
    <n v="0"/>
    <n v="3"/>
    <x v="80"/>
    <x v="2"/>
    <x v="3"/>
  </r>
  <r>
    <x v="87"/>
    <x v="3"/>
    <s v="Midfielder"/>
    <x v="87"/>
    <x v="5"/>
    <x v="33"/>
    <n v="2"/>
    <n v="3"/>
    <x v="81"/>
    <x v="1"/>
    <x v="1"/>
  </r>
  <r>
    <x v="88"/>
    <x v="3"/>
    <s v="Midfielder"/>
    <x v="88"/>
    <x v="5"/>
    <x v="34"/>
    <n v="3"/>
    <n v="3"/>
    <x v="82"/>
    <x v="0"/>
    <x v="2"/>
  </r>
  <r>
    <x v="89"/>
    <x v="1"/>
    <s v="Midfielder"/>
    <x v="89"/>
    <x v="4"/>
    <x v="34"/>
    <n v="3"/>
    <n v="4"/>
    <x v="83"/>
    <x v="1"/>
    <x v="1"/>
  </r>
  <r>
    <x v="90"/>
    <x v="0"/>
    <s v="Midfielder"/>
    <x v="90"/>
    <x v="6"/>
    <x v="15"/>
    <n v="0"/>
    <n v="4"/>
    <x v="84"/>
    <x v="2"/>
    <x v="4"/>
  </r>
  <r>
    <x v="91"/>
    <x v="0"/>
    <s v="Midfielder"/>
    <x v="91"/>
    <x v="3"/>
    <x v="51"/>
    <n v="2"/>
    <n v="6"/>
    <x v="85"/>
    <x v="3"/>
    <x v="1"/>
  </r>
  <r>
    <x v="92"/>
    <x v="2"/>
    <s v="Forward"/>
    <x v="92"/>
    <x v="3"/>
    <x v="45"/>
    <n v="2"/>
    <n v="1"/>
    <x v="86"/>
    <x v="1"/>
    <x v="2"/>
  </r>
  <r>
    <x v="93"/>
    <x v="1"/>
    <s v="Midfielder"/>
    <x v="93"/>
    <x v="4"/>
    <x v="52"/>
    <n v="2"/>
    <n v="0"/>
    <x v="87"/>
    <x v="2"/>
    <x v="3"/>
  </r>
  <r>
    <x v="94"/>
    <x v="0"/>
    <s v="Midfielder"/>
    <x v="94"/>
    <x v="6"/>
    <x v="24"/>
    <n v="4"/>
    <n v="3"/>
    <x v="88"/>
    <x v="3"/>
    <x v="0"/>
  </r>
  <r>
    <x v="95"/>
    <x v="1"/>
    <s v="Midfielder"/>
    <x v="95"/>
    <x v="0"/>
    <x v="25"/>
    <n v="1"/>
    <n v="6"/>
    <x v="89"/>
    <x v="0"/>
    <x v="4"/>
  </r>
  <r>
    <x v="96"/>
    <x v="3"/>
    <s v="Forward"/>
    <x v="96"/>
    <x v="6"/>
    <x v="2"/>
    <n v="4"/>
    <n v="1"/>
    <x v="90"/>
    <x v="1"/>
    <x v="3"/>
  </r>
  <r>
    <x v="97"/>
    <x v="0"/>
    <s v="Midfielder"/>
    <x v="97"/>
    <x v="3"/>
    <x v="53"/>
    <n v="1"/>
    <n v="0"/>
    <x v="91"/>
    <x v="2"/>
    <x v="3"/>
  </r>
  <r>
    <x v="98"/>
    <x v="3"/>
    <s v="Defender"/>
    <x v="98"/>
    <x v="5"/>
    <x v="40"/>
    <n v="2"/>
    <n v="5"/>
    <x v="92"/>
    <x v="3"/>
    <x v="0"/>
  </r>
  <r>
    <x v="99"/>
    <x v="3"/>
    <s v="Defender"/>
    <x v="99"/>
    <x v="4"/>
    <x v="15"/>
    <n v="2"/>
    <n v="2"/>
    <x v="93"/>
    <x v="0"/>
    <x v="0"/>
  </r>
  <r>
    <x v="100"/>
    <x v="3"/>
    <s v="Midfielder"/>
    <x v="100"/>
    <x v="5"/>
    <x v="42"/>
    <n v="4"/>
    <n v="4"/>
    <x v="94"/>
    <x v="0"/>
    <x v="4"/>
  </r>
  <r>
    <x v="101"/>
    <x v="3"/>
    <s v="Midfielder"/>
    <x v="101"/>
    <x v="5"/>
    <x v="54"/>
    <n v="4"/>
    <n v="5"/>
    <x v="95"/>
    <x v="3"/>
    <x v="0"/>
  </r>
  <r>
    <x v="102"/>
    <x v="2"/>
    <s v="Forward"/>
    <x v="102"/>
    <x v="0"/>
    <x v="20"/>
    <n v="1"/>
    <n v="0"/>
    <x v="96"/>
    <x v="2"/>
    <x v="0"/>
  </r>
  <r>
    <x v="103"/>
    <x v="2"/>
    <s v="Midfielder"/>
    <x v="103"/>
    <x v="2"/>
    <x v="55"/>
    <n v="3"/>
    <n v="5"/>
    <x v="97"/>
    <x v="3"/>
    <x v="2"/>
  </r>
  <r>
    <x v="104"/>
    <x v="3"/>
    <s v="Defender"/>
    <x v="104"/>
    <x v="0"/>
    <x v="32"/>
    <n v="1"/>
    <n v="2"/>
    <x v="98"/>
    <x v="3"/>
    <x v="4"/>
  </r>
  <r>
    <x v="105"/>
    <x v="2"/>
    <s v="Midfielder"/>
    <x v="105"/>
    <x v="1"/>
    <x v="34"/>
    <n v="4"/>
    <n v="6"/>
    <x v="99"/>
    <x v="3"/>
    <x v="5"/>
  </r>
  <r>
    <x v="106"/>
    <x v="3"/>
    <s v="Goalkeeper"/>
    <x v="106"/>
    <x v="4"/>
    <x v="48"/>
    <n v="0"/>
    <n v="0"/>
    <x v="100"/>
    <x v="3"/>
    <x v="5"/>
  </r>
  <r>
    <x v="107"/>
    <x v="1"/>
    <s v="Defender"/>
    <x v="107"/>
    <x v="6"/>
    <x v="21"/>
    <n v="0"/>
    <n v="5"/>
    <x v="101"/>
    <x v="2"/>
    <x v="4"/>
  </r>
  <r>
    <x v="108"/>
    <x v="2"/>
    <s v="Midfielder"/>
    <x v="108"/>
    <x v="6"/>
    <x v="7"/>
    <n v="4"/>
    <n v="4"/>
    <x v="102"/>
    <x v="0"/>
    <x v="1"/>
  </r>
  <r>
    <x v="109"/>
    <x v="0"/>
    <s v="Forward"/>
    <x v="109"/>
    <x v="0"/>
    <x v="49"/>
    <n v="0"/>
    <n v="4"/>
    <x v="103"/>
    <x v="3"/>
    <x v="5"/>
  </r>
  <r>
    <x v="110"/>
    <x v="3"/>
    <s v="Defender"/>
    <x v="110"/>
    <x v="0"/>
    <x v="51"/>
    <n v="3"/>
    <n v="1"/>
    <x v="104"/>
    <x v="1"/>
    <x v="4"/>
  </r>
  <r>
    <x v="111"/>
    <x v="0"/>
    <s v="Midfielder"/>
    <x v="111"/>
    <x v="1"/>
    <x v="29"/>
    <n v="1"/>
    <n v="5"/>
    <x v="105"/>
    <x v="1"/>
    <x v="1"/>
  </r>
  <r>
    <x v="112"/>
    <x v="1"/>
    <s v="Midfielder"/>
    <x v="112"/>
    <x v="2"/>
    <x v="56"/>
    <n v="1"/>
    <n v="3"/>
    <x v="106"/>
    <x v="0"/>
    <x v="2"/>
  </r>
  <r>
    <x v="113"/>
    <x v="1"/>
    <s v="Defender"/>
    <x v="113"/>
    <x v="2"/>
    <x v="30"/>
    <n v="0"/>
    <n v="5"/>
    <x v="107"/>
    <x v="3"/>
    <x v="1"/>
  </r>
  <r>
    <x v="114"/>
    <x v="2"/>
    <s v="Midfielder"/>
    <x v="114"/>
    <x v="1"/>
    <x v="1"/>
    <n v="1"/>
    <n v="6"/>
    <x v="108"/>
    <x v="2"/>
    <x v="3"/>
  </r>
  <r>
    <x v="115"/>
    <x v="3"/>
    <s v="Midfielder"/>
    <x v="115"/>
    <x v="4"/>
    <x v="19"/>
    <n v="4"/>
    <n v="0"/>
    <x v="109"/>
    <x v="3"/>
    <x v="1"/>
  </r>
  <r>
    <x v="116"/>
    <x v="1"/>
    <s v="Forward"/>
    <x v="116"/>
    <x v="6"/>
    <x v="22"/>
    <n v="2"/>
    <n v="0"/>
    <x v="110"/>
    <x v="3"/>
    <x v="2"/>
  </r>
  <r>
    <x v="117"/>
    <x v="3"/>
    <s v="Midfielder"/>
    <x v="117"/>
    <x v="4"/>
    <x v="39"/>
    <n v="0"/>
    <n v="6"/>
    <x v="111"/>
    <x v="0"/>
    <x v="0"/>
  </r>
  <r>
    <x v="118"/>
    <x v="2"/>
    <s v="Defender"/>
    <x v="118"/>
    <x v="6"/>
    <x v="0"/>
    <n v="1"/>
    <n v="5"/>
    <x v="112"/>
    <x v="0"/>
    <x v="5"/>
  </r>
  <r>
    <x v="119"/>
    <x v="2"/>
    <s v="Midfielder"/>
    <x v="119"/>
    <x v="4"/>
    <x v="28"/>
    <n v="0"/>
    <n v="6"/>
    <x v="113"/>
    <x v="3"/>
    <x v="2"/>
  </r>
  <r>
    <x v="120"/>
    <x v="2"/>
    <s v="Midfielder"/>
    <x v="120"/>
    <x v="1"/>
    <x v="54"/>
    <n v="0"/>
    <n v="2"/>
    <x v="98"/>
    <x v="1"/>
    <x v="1"/>
  </r>
  <r>
    <x v="121"/>
    <x v="2"/>
    <s v="Midfielder"/>
    <x v="121"/>
    <x v="1"/>
    <x v="1"/>
    <n v="2"/>
    <n v="6"/>
    <x v="114"/>
    <x v="1"/>
    <x v="3"/>
  </r>
  <r>
    <x v="122"/>
    <x v="1"/>
    <s v="Midfielder"/>
    <x v="122"/>
    <x v="4"/>
    <x v="57"/>
    <n v="4"/>
    <n v="4"/>
    <x v="115"/>
    <x v="1"/>
    <x v="4"/>
  </r>
  <r>
    <x v="123"/>
    <x v="0"/>
    <s v="Midfielder"/>
    <x v="123"/>
    <x v="0"/>
    <x v="46"/>
    <n v="0"/>
    <n v="6"/>
    <x v="116"/>
    <x v="1"/>
    <x v="0"/>
  </r>
  <r>
    <x v="124"/>
    <x v="2"/>
    <s v="Midfielder"/>
    <x v="124"/>
    <x v="5"/>
    <x v="35"/>
    <n v="1"/>
    <n v="0"/>
    <x v="117"/>
    <x v="2"/>
    <x v="0"/>
  </r>
  <r>
    <x v="125"/>
    <x v="2"/>
    <s v="Midfielder"/>
    <x v="125"/>
    <x v="5"/>
    <x v="58"/>
    <n v="3"/>
    <n v="4"/>
    <x v="118"/>
    <x v="0"/>
    <x v="1"/>
  </r>
  <r>
    <x v="126"/>
    <x v="3"/>
    <s v="Midfielder"/>
    <x v="126"/>
    <x v="2"/>
    <x v="59"/>
    <n v="0"/>
    <n v="0"/>
    <x v="119"/>
    <x v="1"/>
    <x v="3"/>
  </r>
  <r>
    <x v="127"/>
    <x v="0"/>
    <s v="Defender"/>
    <x v="127"/>
    <x v="5"/>
    <x v="31"/>
    <n v="0"/>
    <n v="1"/>
    <x v="120"/>
    <x v="2"/>
    <x v="1"/>
  </r>
  <r>
    <x v="128"/>
    <x v="3"/>
    <s v="Midfielder"/>
    <x v="128"/>
    <x v="2"/>
    <x v="18"/>
    <n v="2"/>
    <n v="3"/>
    <x v="121"/>
    <x v="3"/>
    <x v="4"/>
  </r>
  <r>
    <x v="129"/>
    <x v="2"/>
    <s v="Forward"/>
    <x v="129"/>
    <x v="1"/>
    <x v="52"/>
    <n v="4"/>
    <n v="0"/>
    <x v="122"/>
    <x v="0"/>
    <x v="5"/>
  </r>
  <r>
    <x v="130"/>
    <x v="0"/>
    <s v="Midfielder"/>
    <x v="130"/>
    <x v="5"/>
    <x v="60"/>
    <n v="3"/>
    <n v="4"/>
    <x v="123"/>
    <x v="0"/>
    <x v="2"/>
  </r>
  <r>
    <x v="131"/>
    <x v="3"/>
    <s v="Defender"/>
    <x v="131"/>
    <x v="3"/>
    <x v="19"/>
    <n v="1"/>
    <n v="1"/>
    <x v="124"/>
    <x v="2"/>
    <x v="1"/>
  </r>
  <r>
    <x v="132"/>
    <x v="0"/>
    <s v="Forward"/>
    <x v="132"/>
    <x v="5"/>
    <x v="47"/>
    <n v="3"/>
    <n v="0"/>
    <x v="125"/>
    <x v="2"/>
    <x v="2"/>
  </r>
  <r>
    <x v="133"/>
    <x v="2"/>
    <s v="Forward"/>
    <x v="133"/>
    <x v="6"/>
    <x v="20"/>
    <n v="1"/>
    <n v="2"/>
    <x v="126"/>
    <x v="1"/>
    <x v="0"/>
  </r>
  <r>
    <x v="134"/>
    <x v="1"/>
    <s v="Midfielder"/>
    <x v="134"/>
    <x v="6"/>
    <x v="61"/>
    <n v="4"/>
    <n v="6"/>
    <x v="127"/>
    <x v="1"/>
    <x v="5"/>
  </r>
  <r>
    <x v="135"/>
    <x v="0"/>
    <s v="Forward"/>
    <x v="135"/>
    <x v="4"/>
    <x v="37"/>
    <n v="1"/>
    <n v="3"/>
    <x v="128"/>
    <x v="2"/>
    <x v="4"/>
  </r>
  <r>
    <x v="136"/>
    <x v="0"/>
    <s v="Defender"/>
    <x v="136"/>
    <x v="4"/>
    <x v="52"/>
    <n v="2"/>
    <n v="0"/>
    <x v="129"/>
    <x v="2"/>
    <x v="0"/>
  </r>
  <r>
    <x v="137"/>
    <x v="1"/>
    <s v="Defender"/>
    <x v="137"/>
    <x v="3"/>
    <x v="52"/>
    <n v="2"/>
    <n v="1"/>
    <x v="130"/>
    <x v="0"/>
    <x v="3"/>
  </r>
  <r>
    <x v="138"/>
    <x v="1"/>
    <s v="Midfielder"/>
    <x v="138"/>
    <x v="4"/>
    <x v="32"/>
    <n v="2"/>
    <n v="2"/>
    <x v="131"/>
    <x v="2"/>
    <x v="1"/>
  </r>
  <r>
    <x v="139"/>
    <x v="3"/>
    <s v="Defender"/>
    <x v="139"/>
    <x v="2"/>
    <x v="11"/>
    <n v="2"/>
    <n v="5"/>
    <x v="132"/>
    <x v="2"/>
    <x v="0"/>
  </r>
  <r>
    <x v="140"/>
    <x v="2"/>
    <s v="Goalkeeper"/>
    <x v="140"/>
    <x v="2"/>
    <x v="20"/>
    <n v="1"/>
    <n v="1"/>
    <x v="133"/>
    <x v="1"/>
    <x v="2"/>
  </r>
  <r>
    <x v="141"/>
    <x v="3"/>
    <s v="Midfielder"/>
    <x v="141"/>
    <x v="5"/>
    <x v="5"/>
    <n v="4"/>
    <n v="6"/>
    <x v="134"/>
    <x v="0"/>
    <x v="5"/>
  </r>
  <r>
    <x v="142"/>
    <x v="2"/>
    <s v="Forward"/>
    <x v="142"/>
    <x v="0"/>
    <x v="20"/>
    <n v="1"/>
    <n v="1"/>
    <x v="135"/>
    <x v="2"/>
    <x v="0"/>
  </r>
  <r>
    <x v="143"/>
    <x v="3"/>
    <s v="Midfielder"/>
    <x v="143"/>
    <x v="0"/>
    <x v="49"/>
    <n v="1"/>
    <n v="2"/>
    <x v="136"/>
    <x v="1"/>
    <x v="3"/>
  </r>
  <r>
    <x v="144"/>
    <x v="1"/>
    <s v="Forward"/>
    <x v="144"/>
    <x v="1"/>
    <x v="56"/>
    <n v="2"/>
    <n v="1"/>
    <x v="137"/>
    <x v="1"/>
    <x v="3"/>
  </r>
  <r>
    <x v="145"/>
    <x v="2"/>
    <s v="Defender"/>
    <x v="145"/>
    <x v="2"/>
    <x v="20"/>
    <n v="2"/>
    <n v="2"/>
    <x v="138"/>
    <x v="1"/>
    <x v="0"/>
  </r>
  <r>
    <x v="146"/>
    <x v="0"/>
    <s v="Midfielder"/>
    <x v="146"/>
    <x v="6"/>
    <x v="7"/>
    <n v="0"/>
    <n v="0"/>
    <x v="139"/>
    <x v="2"/>
    <x v="3"/>
  </r>
  <r>
    <x v="147"/>
    <x v="3"/>
    <s v="Midfielder"/>
    <x v="147"/>
    <x v="2"/>
    <x v="62"/>
    <n v="4"/>
    <n v="2"/>
    <x v="140"/>
    <x v="1"/>
    <x v="4"/>
  </r>
  <r>
    <x v="148"/>
    <x v="2"/>
    <s v="Midfielder"/>
    <x v="148"/>
    <x v="3"/>
    <x v="2"/>
    <n v="3"/>
    <n v="2"/>
    <x v="141"/>
    <x v="2"/>
    <x v="0"/>
  </r>
  <r>
    <x v="149"/>
    <x v="2"/>
    <s v="Midfielder"/>
    <x v="149"/>
    <x v="1"/>
    <x v="56"/>
    <n v="1"/>
    <n v="3"/>
    <x v="142"/>
    <x v="2"/>
    <x v="5"/>
  </r>
  <r>
    <x v="150"/>
    <x v="2"/>
    <s v="Defender"/>
    <x v="150"/>
    <x v="0"/>
    <x v="30"/>
    <n v="0"/>
    <n v="2"/>
    <x v="143"/>
    <x v="0"/>
    <x v="3"/>
  </r>
  <r>
    <x v="151"/>
    <x v="1"/>
    <s v="Midfielder"/>
    <x v="151"/>
    <x v="6"/>
    <x v="20"/>
    <n v="0"/>
    <n v="2"/>
    <x v="144"/>
    <x v="2"/>
    <x v="2"/>
  </r>
  <r>
    <x v="152"/>
    <x v="0"/>
    <s v="Midfielder"/>
    <x v="152"/>
    <x v="1"/>
    <x v="55"/>
    <n v="1"/>
    <n v="5"/>
    <x v="132"/>
    <x v="3"/>
    <x v="1"/>
  </r>
  <r>
    <x v="153"/>
    <x v="1"/>
    <s v="Goalkeeper"/>
    <x v="153"/>
    <x v="1"/>
    <x v="22"/>
    <n v="0"/>
    <n v="0"/>
    <x v="145"/>
    <x v="3"/>
    <x v="3"/>
  </r>
  <r>
    <x v="154"/>
    <x v="2"/>
    <s v="Midfielder"/>
    <x v="154"/>
    <x v="2"/>
    <x v="32"/>
    <n v="0"/>
    <n v="6"/>
    <x v="146"/>
    <x v="0"/>
    <x v="2"/>
  </r>
  <r>
    <x v="155"/>
    <x v="2"/>
    <s v="Forward"/>
    <x v="155"/>
    <x v="0"/>
    <x v="6"/>
    <n v="0"/>
    <n v="3"/>
    <x v="147"/>
    <x v="2"/>
    <x v="1"/>
  </r>
  <r>
    <x v="156"/>
    <x v="1"/>
    <s v="Midfielder"/>
    <x v="156"/>
    <x v="1"/>
    <x v="18"/>
    <n v="4"/>
    <n v="5"/>
    <x v="132"/>
    <x v="1"/>
    <x v="2"/>
  </r>
  <r>
    <x v="157"/>
    <x v="0"/>
    <s v="Defender"/>
    <x v="157"/>
    <x v="5"/>
    <x v="59"/>
    <n v="3"/>
    <n v="4"/>
    <x v="148"/>
    <x v="0"/>
    <x v="2"/>
  </r>
  <r>
    <x v="158"/>
    <x v="0"/>
    <s v="Defender"/>
    <x v="158"/>
    <x v="3"/>
    <x v="0"/>
    <n v="0"/>
    <n v="0"/>
    <x v="149"/>
    <x v="0"/>
    <x v="0"/>
  </r>
  <r>
    <x v="159"/>
    <x v="2"/>
    <s v="Midfielder"/>
    <x v="159"/>
    <x v="4"/>
    <x v="20"/>
    <n v="3"/>
    <n v="0"/>
    <x v="150"/>
    <x v="2"/>
    <x v="0"/>
  </r>
  <r>
    <x v="160"/>
    <x v="1"/>
    <s v="Midfielder"/>
    <x v="160"/>
    <x v="6"/>
    <x v="16"/>
    <n v="1"/>
    <n v="4"/>
    <x v="151"/>
    <x v="3"/>
    <x v="5"/>
  </r>
  <r>
    <x v="161"/>
    <x v="2"/>
    <s v="Midfielder"/>
    <x v="161"/>
    <x v="5"/>
    <x v="0"/>
    <n v="2"/>
    <n v="6"/>
    <x v="152"/>
    <x v="2"/>
    <x v="2"/>
  </r>
  <r>
    <x v="162"/>
    <x v="2"/>
    <s v="Defender"/>
    <x v="162"/>
    <x v="0"/>
    <x v="53"/>
    <n v="0"/>
    <n v="2"/>
    <x v="153"/>
    <x v="2"/>
    <x v="4"/>
  </r>
  <r>
    <x v="163"/>
    <x v="1"/>
    <s v="Defender"/>
    <x v="163"/>
    <x v="3"/>
    <x v="26"/>
    <n v="4"/>
    <n v="5"/>
    <x v="154"/>
    <x v="0"/>
    <x v="0"/>
  </r>
  <r>
    <x v="164"/>
    <x v="2"/>
    <s v="Defender"/>
    <x v="164"/>
    <x v="2"/>
    <x v="10"/>
    <n v="1"/>
    <n v="1"/>
    <x v="155"/>
    <x v="0"/>
    <x v="2"/>
  </r>
  <r>
    <x v="165"/>
    <x v="3"/>
    <s v="Midfielder"/>
    <x v="165"/>
    <x v="0"/>
    <x v="7"/>
    <n v="3"/>
    <n v="3"/>
    <x v="156"/>
    <x v="2"/>
    <x v="1"/>
  </r>
  <r>
    <x v="166"/>
    <x v="3"/>
    <s v="Defender"/>
    <x v="166"/>
    <x v="4"/>
    <x v="63"/>
    <n v="1"/>
    <n v="1"/>
    <x v="157"/>
    <x v="0"/>
    <x v="1"/>
  </r>
  <r>
    <x v="167"/>
    <x v="2"/>
    <s v="Midfielder"/>
    <x v="167"/>
    <x v="0"/>
    <x v="18"/>
    <n v="0"/>
    <n v="4"/>
    <x v="158"/>
    <x v="2"/>
    <x v="4"/>
  </r>
  <r>
    <x v="168"/>
    <x v="1"/>
    <s v="Goalkeeper"/>
    <x v="168"/>
    <x v="1"/>
    <x v="10"/>
    <n v="0"/>
    <n v="0"/>
    <x v="159"/>
    <x v="1"/>
    <x v="5"/>
  </r>
  <r>
    <x v="169"/>
    <x v="0"/>
    <s v="Midfielder"/>
    <x v="169"/>
    <x v="1"/>
    <x v="10"/>
    <n v="2"/>
    <n v="6"/>
    <x v="160"/>
    <x v="3"/>
    <x v="4"/>
  </r>
  <r>
    <x v="170"/>
    <x v="0"/>
    <s v="Defender"/>
    <x v="170"/>
    <x v="2"/>
    <x v="38"/>
    <n v="1"/>
    <n v="0"/>
    <x v="161"/>
    <x v="2"/>
    <x v="4"/>
  </r>
  <r>
    <x v="171"/>
    <x v="1"/>
    <s v="Midfielder"/>
    <x v="171"/>
    <x v="1"/>
    <x v="49"/>
    <n v="0"/>
    <n v="3"/>
    <x v="162"/>
    <x v="0"/>
    <x v="0"/>
  </r>
  <r>
    <x v="172"/>
    <x v="0"/>
    <s v="Defender"/>
    <x v="172"/>
    <x v="0"/>
    <x v="64"/>
    <n v="4"/>
    <n v="0"/>
    <x v="163"/>
    <x v="3"/>
    <x v="0"/>
  </r>
  <r>
    <x v="173"/>
    <x v="1"/>
    <s v="Midfielder"/>
    <x v="173"/>
    <x v="5"/>
    <x v="10"/>
    <n v="3"/>
    <n v="0"/>
    <x v="164"/>
    <x v="2"/>
    <x v="3"/>
  </r>
  <r>
    <x v="174"/>
    <x v="3"/>
    <s v="Forward"/>
    <x v="174"/>
    <x v="5"/>
    <x v="9"/>
    <n v="1"/>
    <n v="3"/>
    <x v="165"/>
    <x v="0"/>
    <x v="1"/>
  </r>
  <r>
    <x v="175"/>
    <x v="3"/>
    <s v="Defender"/>
    <x v="175"/>
    <x v="2"/>
    <x v="32"/>
    <n v="1"/>
    <n v="5"/>
    <x v="166"/>
    <x v="3"/>
    <x v="3"/>
  </r>
  <r>
    <x v="176"/>
    <x v="0"/>
    <s v="Defender"/>
    <x v="176"/>
    <x v="0"/>
    <x v="59"/>
    <n v="2"/>
    <n v="5"/>
    <x v="167"/>
    <x v="3"/>
    <x v="4"/>
  </r>
  <r>
    <x v="177"/>
    <x v="1"/>
    <s v="Forward"/>
    <x v="177"/>
    <x v="0"/>
    <x v="62"/>
    <n v="2"/>
    <n v="3"/>
    <x v="168"/>
    <x v="0"/>
    <x v="4"/>
  </r>
  <r>
    <x v="178"/>
    <x v="1"/>
    <s v="Midfielder"/>
    <x v="178"/>
    <x v="1"/>
    <x v="59"/>
    <n v="4"/>
    <n v="6"/>
    <x v="169"/>
    <x v="2"/>
    <x v="5"/>
  </r>
  <r>
    <x v="179"/>
    <x v="0"/>
    <s v="Midfielder"/>
    <x v="179"/>
    <x v="6"/>
    <x v="65"/>
    <n v="4"/>
    <n v="4"/>
    <x v="170"/>
    <x v="1"/>
    <x v="2"/>
  </r>
  <r>
    <x v="180"/>
    <x v="3"/>
    <s v="Forward"/>
    <x v="180"/>
    <x v="4"/>
    <x v="23"/>
    <n v="0"/>
    <n v="0"/>
    <x v="171"/>
    <x v="2"/>
    <x v="1"/>
  </r>
  <r>
    <x v="181"/>
    <x v="3"/>
    <s v="Midfielder"/>
    <x v="181"/>
    <x v="2"/>
    <x v="5"/>
    <n v="0"/>
    <n v="6"/>
    <x v="172"/>
    <x v="3"/>
    <x v="0"/>
  </r>
  <r>
    <x v="182"/>
    <x v="0"/>
    <s v="Defender"/>
    <x v="182"/>
    <x v="1"/>
    <x v="63"/>
    <n v="4"/>
    <n v="0"/>
    <x v="173"/>
    <x v="0"/>
    <x v="2"/>
  </r>
  <r>
    <x v="183"/>
    <x v="0"/>
    <s v="Midfielder"/>
    <x v="183"/>
    <x v="0"/>
    <x v="66"/>
    <n v="4"/>
    <n v="4"/>
    <x v="174"/>
    <x v="3"/>
    <x v="1"/>
  </r>
  <r>
    <x v="184"/>
    <x v="0"/>
    <s v="Defender"/>
    <x v="184"/>
    <x v="4"/>
    <x v="12"/>
    <n v="3"/>
    <n v="5"/>
    <x v="175"/>
    <x v="2"/>
    <x v="5"/>
  </r>
  <r>
    <x v="185"/>
    <x v="2"/>
    <s v="Midfielder"/>
    <x v="185"/>
    <x v="6"/>
    <x v="6"/>
    <n v="2"/>
    <n v="6"/>
    <x v="176"/>
    <x v="1"/>
    <x v="5"/>
  </r>
  <r>
    <x v="186"/>
    <x v="0"/>
    <s v="Defender"/>
    <x v="186"/>
    <x v="2"/>
    <x v="67"/>
    <n v="0"/>
    <n v="2"/>
    <x v="177"/>
    <x v="1"/>
    <x v="0"/>
  </r>
  <r>
    <x v="187"/>
    <x v="3"/>
    <s v="Defender"/>
    <x v="187"/>
    <x v="4"/>
    <x v="62"/>
    <n v="2"/>
    <n v="2"/>
    <x v="178"/>
    <x v="2"/>
    <x v="4"/>
  </r>
  <r>
    <x v="188"/>
    <x v="1"/>
    <s v="Midfielder"/>
    <x v="188"/>
    <x v="4"/>
    <x v="50"/>
    <n v="2"/>
    <n v="2"/>
    <x v="179"/>
    <x v="1"/>
    <x v="4"/>
  </r>
  <r>
    <x v="189"/>
    <x v="3"/>
    <s v="Midfielder"/>
    <x v="189"/>
    <x v="2"/>
    <x v="68"/>
    <n v="4"/>
    <n v="5"/>
    <x v="180"/>
    <x v="1"/>
    <x v="2"/>
  </r>
  <r>
    <x v="190"/>
    <x v="0"/>
    <s v="Defender"/>
    <x v="190"/>
    <x v="6"/>
    <x v="25"/>
    <n v="3"/>
    <n v="5"/>
    <x v="181"/>
    <x v="3"/>
    <x v="2"/>
  </r>
  <r>
    <x v="191"/>
    <x v="1"/>
    <s v="Midfielder"/>
    <x v="191"/>
    <x v="1"/>
    <x v="18"/>
    <n v="1"/>
    <n v="4"/>
    <x v="182"/>
    <x v="3"/>
    <x v="3"/>
  </r>
  <r>
    <x v="192"/>
    <x v="0"/>
    <s v="Defender"/>
    <x v="192"/>
    <x v="4"/>
    <x v="62"/>
    <n v="3"/>
    <n v="0"/>
    <x v="183"/>
    <x v="1"/>
    <x v="2"/>
  </r>
  <r>
    <x v="193"/>
    <x v="0"/>
    <s v="Defender"/>
    <x v="193"/>
    <x v="1"/>
    <x v="7"/>
    <n v="3"/>
    <n v="4"/>
    <x v="184"/>
    <x v="0"/>
    <x v="2"/>
  </r>
  <r>
    <x v="194"/>
    <x v="3"/>
    <s v="Defender"/>
    <x v="194"/>
    <x v="4"/>
    <x v="69"/>
    <n v="2"/>
    <n v="4"/>
    <x v="185"/>
    <x v="1"/>
    <x v="2"/>
  </r>
  <r>
    <x v="195"/>
    <x v="2"/>
    <s v="Defender"/>
    <x v="195"/>
    <x v="4"/>
    <x v="18"/>
    <n v="3"/>
    <n v="5"/>
    <x v="186"/>
    <x v="2"/>
    <x v="2"/>
  </r>
  <r>
    <x v="196"/>
    <x v="0"/>
    <s v="Midfielder"/>
    <x v="196"/>
    <x v="3"/>
    <x v="35"/>
    <n v="0"/>
    <n v="2"/>
    <x v="187"/>
    <x v="1"/>
    <x v="2"/>
  </r>
  <r>
    <x v="197"/>
    <x v="0"/>
    <s v="Forward"/>
    <x v="197"/>
    <x v="0"/>
    <x v="64"/>
    <n v="2"/>
    <n v="1"/>
    <x v="188"/>
    <x v="1"/>
    <x v="4"/>
  </r>
  <r>
    <x v="198"/>
    <x v="3"/>
    <s v="Midfielder"/>
    <x v="198"/>
    <x v="3"/>
    <x v="70"/>
    <n v="0"/>
    <n v="0"/>
    <x v="189"/>
    <x v="1"/>
    <x v="1"/>
  </r>
  <r>
    <x v="199"/>
    <x v="3"/>
    <s v="Defender"/>
    <x v="199"/>
    <x v="6"/>
    <x v="64"/>
    <n v="1"/>
    <n v="5"/>
    <x v="190"/>
    <x v="3"/>
    <x v="0"/>
  </r>
  <r>
    <x v="200"/>
    <x v="1"/>
    <s v="Defender"/>
    <x v="200"/>
    <x v="5"/>
    <x v="69"/>
    <n v="2"/>
    <n v="2"/>
    <x v="191"/>
    <x v="3"/>
    <x v="5"/>
  </r>
  <r>
    <x v="201"/>
    <x v="1"/>
    <s v="Midfielder"/>
    <x v="201"/>
    <x v="6"/>
    <x v="31"/>
    <n v="1"/>
    <n v="6"/>
    <x v="192"/>
    <x v="0"/>
    <x v="0"/>
  </r>
  <r>
    <x v="202"/>
    <x v="0"/>
    <s v="Midfielder"/>
    <x v="202"/>
    <x v="3"/>
    <x v="0"/>
    <n v="2"/>
    <n v="1"/>
    <x v="193"/>
    <x v="0"/>
    <x v="4"/>
  </r>
  <r>
    <x v="203"/>
    <x v="2"/>
    <s v="Forward"/>
    <x v="203"/>
    <x v="5"/>
    <x v="15"/>
    <n v="4"/>
    <n v="1"/>
    <x v="194"/>
    <x v="1"/>
    <x v="2"/>
  </r>
  <r>
    <x v="204"/>
    <x v="3"/>
    <s v="Defender"/>
    <x v="204"/>
    <x v="6"/>
    <x v="43"/>
    <n v="3"/>
    <n v="5"/>
    <x v="195"/>
    <x v="0"/>
    <x v="3"/>
  </r>
  <r>
    <x v="205"/>
    <x v="1"/>
    <s v="Forward"/>
    <x v="205"/>
    <x v="2"/>
    <x v="26"/>
    <n v="4"/>
    <n v="3"/>
    <x v="196"/>
    <x v="1"/>
    <x v="5"/>
  </r>
  <r>
    <x v="206"/>
    <x v="3"/>
    <s v="Midfielder"/>
    <x v="206"/>
    <x v="5"/>
    <x v="49"/>
    <n v="1"/>
    <n v="0"/>
    <x v="197"/>
    <x v="0"/>
    <x v="3"/>
  </r>
  <r>
    <x v="207"/>
    <x v="3"/>
    <s v="Defender"/>
    <x v="207"/>
    <x v="4"/>
    <x v="50"/>
    <n v="3"/>
    <n v="1"/>
    <x v="198"/>
    <x v="1"/>
    <x v="4"/>
  </r>
  <r>
    <x v="208"/>
    <x v="1"/>
    <s v="Defender"/>
    <x v="208"/>
    <x v="6"/>
    <x v="61"/>
    <n v="2"/>
    <n v="5"/>
    <x v="199"/>
    <x v="0"/>
    <x v="0"/>
  </r>
  <r>
    <x v="209"/>
    <x v="3"/>
    <s v="Defender"/>
    <x v="209"/>
    <x v="5"/>
    <x v="36"/>
    <n v="3"/>
    <n v="5"/>
    <x v="200"/>
    <x v="0"/>
    <x v="3"/>
  </r>
  <r>
    <x v="210"/>
    <x v="1"/>
    <s v="Forward"/>
    <x v="210"/>
    <x v="6"/>
    <x v="54"/>
    <n v="0"/>
    <n v="2"/>
    <x v="201"/>
    <x v="1"/>
    <x v="1"/>
  </r>
  <r>
    <x v="211"/>
    <x v="3"/>
    <s v="Midfielder"/>
    <x v="211"/>
    <x v="4"/>
    <x v="71"/>
    <n v="3"/>
    <n v="6"/>
    <x v="202"/>
    <x v="1"/>
    <x v="1"/>
  </r>
  <r>
    <x v="212"/>
    <x v="2"/>
    <s v="Forward"/>
    <x v="212"/>
    <x v="6"/>
    <x v="19"/>
    <n v="0"/>
    <n v="3"/>
    <x v="203"/>
    <x v="1"/>
    <x v="2"/>
  </r>
  <r>
    <x v="213"/>
    <x v="1"/>
    <s v="Goalkeeper"/>
    <x v="213"/>
    <x v="6"/>
    <x v="24"/>
    <n v="0"/>
    <n v="0"/>
    <x v="204"/>
    <x v="1"/>
    <x v="3"/>
  </r>
  <r>
    <x v="214"/>
    <x v="2"/>
    <s v="Midfielder"/>
    <x v="214"/>
    <x v="0"/>
    <x v="68"/>
    <n v="0"/>
    <n v="4"/>
    <x v="205"/>
    <x v="0"/>
    <x v="3"/>
  </r>
  <r>
    <x v="215"/>
    <x v="3"/>
    <s v="Midfielder"/>
    <x v="215"/>
    <x v="5"/>
    <x v="14"/>
    <n v="1"/>
    <n v="6"/>
    <x v="206"/>
    <x v="2"/>
    <x v="3"/>
  </r>
  <r>
    <x v="216"/>
    <x v="1"/>
    <s v="Defender"/>
    <x v="216"/>
    <x v="5"/>
    <x v="10"/>
    <n v="4"/>
    <n v="6"/>
    <x v="207"/>
    <x v="2"/>
    <x v="3"/>
  </r>
  <r>
    <x v="217"/>
    <x v="0"/>
    <s v="Forward"/>
    <x v="217"/>
    <x v="3"/>
    <x v="49"/>
    <n v="2"/>
    <n v="2"/>
    <x v="208"/>
    <x v="0"/>
    <x v="0"/>
  </r>
  <r>
    <x v="218"/>
    <x v="0"/>
    <s v="Midfielder"/>
    <x v="218"/>
    <x v="0"/>
    <x v="42"/>
    <n v="3"/>
    <n v="1"/>
    <x v="209"/>
    <x v="3"/>
    <x v="0"/>
  </r>
  <r>
    <x v="219"/>
    <x v="0"/>
    <s v="Forward"/>
    <x v="219"/>
    <x v="5"/>
    <x v="53"/>
    <n v="4"/>
    <n v="1"/>
    <x v="210"/>
    <x v="2"/>
    <x v="5"/>
  </r>
  <r>
    <x v="220"/>
    <x v="2"/>
    <s v="Forward"/>
    <x v="220"/>
    <x v="0"/>
    <x v="67"/>
    <n v="2"/>
    <n v="2"/>
    <x v="211"/>
    <x v="0"/>
    <x v="3"/>
  </r>
  <r>
    <x v="221"/>
    <x v="1"/>
    <s v="Midfielder"/>
    <x v="221"/>
    <x v="6"/>
    <x v="55"/>
    <n v="2"/>
    <n v="5"/>
    <x v="212"/>
    <x v="2"/>
    <x v="0"/>
  </r>
  <r>
    <x v="222"/>
    <x v="2"/>
    <s v="Defender"/>
    <x v="222"/>
    <x v="1"/>
    <x v="59"/>
    <n v="0"/>
    <n v="1"/>
    <x v="213"/>
    <x v="2"/>
    <x v="2"/>
  </r>
  <r>
    <x v="223"/>
    <x v="2"/>
    <s v="Forward"/>
    <x v="223"/>
    <x v="4"/>
    <x v="30"/>
    <n v="1"/>
    <n v="3"/>
    <x v="214"/>
    <x v="1"/>
    <x v="3"/>
  </r>
  <r>
    <x v="224"/>
    <x v="1"/>
    <s v="Midfielder"/>
    <x v="224"/>
    <x v="6"/>
    <x v="64"/>
    <n v="1"/>
    <n v="0"/>
    <x v="215"/>
    <x v="3"/>
    <x v="2"/>
  </r>
  <r>
    <x v="225"/>
    <x v="3"/>
    <s v="Midfielder"/>
    <x v="225"/>
    <x v="4"/>
    <x v="42"/>
    <n v="4"/>
    <n v="6"/>
    <x v="216"/>
    <x v="0"/>
    <x v="0"/>
  </r>
  <r>
    <x v="226"/>
    <x v="3"/>
    <s v="Defender"/>
    <x v="226"/>
    <x v="3"/>
    <x v="7"/>
    <n v="1"/>
    <n v="6"/>
    <x v="217"/>
    <x v="2"/>
    <x v="3"/>
  </r>
  <r>
    <x v="227"/>
    <x v="2"/>
    <s v="Defender"/>
    <x v="227"/>
    <x v="3"/>
    <x v="69"/>
    <n v="3"/>
    <n v="3"/>
    <x v="218"/>
    <x v="2"/>
    <x v="4"/>
  </r>
  <r>
    <x v="228"/>
    <x v="3"/>
    <s v="Defender"/>
    <x v="228"/>
    <x v="3"/>
    <x v="6"/>
    <n v="1"/>
    <n v="1"/>
    <x v="219"/>
    <x v="0"/>
    <x v="0"/>
  </r>
  <r>
    <x v="229"/>
    <x v="1"/>
    <s v="Midfielder"/>
    <x v="229"/>
    <x v="3"/>
    <x v="38"/>
    <n v="4"/>
    <n v="6"/>
    <x v="220"/>
    <x v="2"/>
    <x v="0"/>
  </r>
  <r>
    <x v="230"/>
    <x v="2"/>
    <s v="Midfielder"/>
    <x v="230"/>
    <x v="5"/>
    <x v="15"/>
    <n v="1"/>
    <n v="4"/>
    <x v="221"/>
    <x v="2"/>
    <x v="3"/>
  </r>
  <r>
    <x v="231"/>
    <x v="3"/>
    <s v="Defender"/>
    <x v="231"/>
    <x v="4"/>
    <x v="6"/>
    <n v="3"/>
    <n v="0"/>
    <x v="222"/>
    <x v="2"/>
    <x v="5"/>
  </r>
  <r>
    <x v="232"/>
    <x v="0"/>
    <s v="Defender"/>
    <x v="232"/>
    <x v="3"/>
    <x v="5"/>
    <n v="0"/>
    <n v="0"/>
    <x v="222"/>
    <x v="0"/>
    <x v="5"/>
  </r>
  <r>
    <x v="233"/>
    <x v="2"/>
    <s v="Defender"/>
    <x v="233"/>
    <x v="1"/>
    <x v="2"/>
    <n v="4"/>
    <n v="6"/>
    <x v="223"/>
    <x v="3"/>
    <x v="3"/>
  </r>
  <r>
    <x v="234"/>
    <x v="0"/>
    <s v="Midfielder"/>
    <x v="234"/>
    <x v="4"/>
    <x v="35"/>
    <n v="0"/>
    <n v="2"/>
    <x v="224"/>
    <x v="1"/>
    <x v="3"/>
  </r>
  <r>
    <x v="235"/>
    <x v="1"/>
    <s v="Defender"/>
    <x v="235"/>
    <x v="5"/>
    <x v="12"/>
    <n v="0"/>
    <n v="6"/>
    <x v="225"/>
    <x v="2"/>
    <x v="0"/>
  </r>
  <r>
    <x v="236"/>
    <x v="1"/>
    <s v="Defender"/>
    <x v="236"/>
    <x v="2"/>
    <x v="72"/>
    <n v="0"/>
    <n v="2"/>
    <x v="226"/>
    <x v="0"/>
    <x v="1"/>
  </r>
  <r>
    <x v="237"/>
    <x v="3"/>
    <s v="Defender"/>
    <x v="237"/>
    <x v="1"/>
    <x v="27"/>
    <n v="2"/>
    <n v="6"/>
    <x v="227"/>
    <x v="1"/>
    <x v="5"/>
  </r>
  <r>
    <x v="238"/>
    <x v="0"/>
    <s v="Midfielder"/>
    <x v="238"/>
    <x v="2"/>
    <x v="60"/>
    <n v="2"/>
    <n v="4"/>
    <x v="228"/>
    <x v="0"/>
    <x v="2"/>
  </r>
  <r>
    <x v="239"/>
    <x v="2"/>
    <s v="Defender"/>
    <x v="239"/>
    <x v="5"/>
    <x v="38"/>
    <n v="0"/>
    <n v="5"/>
    <x v="212"/>
    <x v="1"/>
    <x v="1"/>
  </r>
  <r>
    <x v="240"/>
    <x v="0"/>
    <s v="Midfielder"/>
    <x v="240"/>
    <x v="1"/>
    <x v="34"/>
    <n v="4"/>
    <n v="0"/>
    <x v="229"/>
    <x v="2"/>
    <x v="2"/>
  </r>
  <r>
    <x v="241"/>
    <x v="0"/>
    <s v="Defender"/>
    <x v="241"/>
    <x v="3"/>
    <x v="3"/>
    <n v="3"/>
    <n v="6"/>
    <x v="230"/>
    <x v="3"/>
    <x v="0"/>
  </r>
  <r>
    <x v="242"/>
    <x v="0"/>
    <s v="Midfielder"/>
    <x v="242"/>
    <x v="3"/>
    <x v="45"/>
    <n v="3"/>
    <n v="4"/>
    <x v="231"/>
    <x v="1"/>
    <x v="5"/>
  </r>
  <r>
    <x v="243"/>
    <x v="1"/>
    <s v="Forward"/>
    <x v="243"/>
    <x v="3"/>
    <x v="15"/>
    <n v="1"/>
    <n v="2"/>
    <x v="232"/>
    <x v="1"/>
    <x v="3"/>
  </r>
  <r>
    <x v="244"/>
    <x v="1"/>
    <s v="Forward"/>
    <x v="244"/>
    <x v="6"/>
    <x v="65"/>
    <n v="4"/>
    <n v="2"/>
    <x v="233"/>
    <x v="2"/>
    <x v="3"/>
  </r>
  <r>
    <x v="245"/>
    <x v="3"/>
    <s v="Defender"/>
    <x v="245"/>
    <x v="1"/>
    <x v="15"/>
    <n v="2"/>
    <n v="0"/>
    <x v="234"/>
    <x v="1"/>
    <x v="5"/>
  </r>
  <r>
    <x v="246"/>
    <x v="3"/>
    <s v="Forward"/>
    <x v="246"/>
    <x v="6"/>
    <x v="29"/>
    <n v="0"/>
    <n v="3"/>
    <x v="235"/>
    <x v="1"/>
    <x v="1"/>
  </r>
  <r>
    <x v="247"/>
    <x v="1"/>
    <s v="Defender"/>
    <x v="247"/>
    <x v="3"/>
    <x v="4"/>
    <n v="1"/>
    <n v="6"/>
    <x v="236"/>
    <x v="3"/>
    <x v="2"/>
  </r>
  <r>
    <x v="248"/>
    <x v="1"/>
    <s v="Midfielder"/>
    <x v="248"/>
    <x v="0"/>
    <x v="42"/>
    <n v="3"/>
    <n v="1"/>
    <x v="219"/>
    <x v="2"/>
    <x v="2"/>
  </r>
  <r>
    <x v="249"/>
    <x v="1"/>
    <s v="Defender"/>
    <x v="249"/>
    <x v="0"/>
    <x v="69"/>
    <n v="2"/>
    <n v="2"/>
    <x v="237"/>
    <x v="1"/>
    <x v="0"/>
  </r>
  <r>
    <x v="250"/>
    <x v="1"/>
    <s v="Defender"/>
    <x v="250"/>
    <x v="6"/>
    <x v="33"/>
    <n v="2"/>
    <n v="5"/>
    <x v="238"/>
    <x v="3"/>
    <x v="4"/>
  </r>
  <r>
    <x v="251"/>
    <x v="2"/>
    <s v="Midfielder"/>
    <x v="251"/>
    <x v="5"/>
    <x v="24"/>
    <n v="0"/>
    <n v="5"/>
    <x v="239"/>
    <x v="1"/>
    <x v="0"/>
  </r>
  <r>
    <x v="252"/>
    <x v="2"/>
    <s v="Defender"/>
    <x v="252"/>
    <x v="2"/>
    <x v="70"/>
    <n v="3"/>
    <n v="2"/>
    <x v="240"/>
    <x v="3"/>
    <x v="4"/>
  </r>
  <r>
    <x v="253"/>
    <x v="1"/>
    <s v="Defender"/>
    <x v="253"/>
    <x v="0"/>
    <x v="66"/>
    <n v="4"/>
    <n v="3"/>
    <x v="241"/>
    <x v="3"/>
    <x v="5"/>
  </r>
  <r>
    <x v="254"/>
    <x v="1"/>
    <s v="Forward"/>
    <x v="254"/>
    <x v="1"/>
    <x v="15"/>
    <n v="2"/>
    <n v="3"/>
    <x v="242"/>
    <x v="1"/>
    <x v="0"/>
  </r>
  <r>
    <x v="255"/>
    <x v="3"/>
    <s v="Midfielder"/>
    <x v="255"/>
    <x v="0"/>
    <x v="42"/>
    <n v="0"/>
    <n v="4"/>
    <x v="243"/>
    <x v="3"/>
    <x v="0"/>
  </r>
  <r>
    <x v="256"/>
    <x v="0"/>
    <s v="Midfielder"/>
    <x v="256"/>
    <x v="6"/>
    <x v="18"/>
    <n v="4"/>
    <n v="5"/>
    <x v="244"/>
    <x v="1"/>
    <x v="3"/>
  </r>
  <r>
    <x v="257"/>
    <x v="1"/>
    <s v="Midfielder"/>
    <x v="257"/>
    <x v="4"/>
    <x v="8"/>
    <n v="3"/>
    <n v="4"/>
    <x v="245"/>
    <x v="1"/>
    <x v="0"/>
  </r>
  <r>
    <x v="258"/>
    <x v="3"/>
    <s v="Midfielder"/>
    <x v="258"/>
    <x v="5"/>
    <x v="11"/>
    <n v="2"/>
    <n v="5"/>
    <x v="246"/>
    <x v="3"/>
    <x v="2"/>
  </r>
  <r>
    <x v="259"/>
    <x v="3"/>
    <s v="Midfielder"/>
    <x v="259"/>
    <x v="0"/>
    <x v="12"/>
    <n v="4"/>
    <n v="6"/>
    <x v="247"/>
    <x v="3"/>
    <x v="5"/>
  </r>
  <r>
    <x v="260"/>
    <x v="2"/>
    <s v="Midfielder"/>
    <x v="260"/>
    <x v="3"/>
    <x v="22"/>
    <n v="4"/>
    <n v="6"/>
    <x v="248"/>
    <x v="0"/>
    <x v="3"/>
  </r>
  <r>
    <x v="261"/>
    <x v="0"/>
    <s v="Goalkeeper"/>
    <x v="261"/>
    <x v="3"/>
    <x v="38"/>
    <n v="1"/>
    <n v="1"/>
    <x v="249"/>
    <x v="1"/>
    <x v="3"/>
  </r>
  <r>
    <x v="262"/>
    <x v="0"/>
    <s v="Midfielder"/>
    <x v="262"/>
    <x v="3"/>
    <x v="33"/>
    <n v="2"/>
    <n v="6"/>
    <x v="250"/>
    <x v="0"/>
    <x v="3"/>
  </r>
  <r>
    <x v="263"/>
    <x v="0"/>
    <s v="Defender"/>
    <x v="263"/>
    <x v="6"/>
    <x v="56"/>
    <n v="2"/>
    <n v="1"/>
    <x v="251"/>
    <x v="2"/>
    <x v="5"/>
  </r>
  <r>
    <x v="264"/>
    <x v="1"/>
    <s v="Midfielder"/>
    <x v="264"/>
    <x v="3"/>
    <x v="56"/>
    <n v="1"/>
    <n v="6"/>
    <x v="252"/>
    <x v="1"/>
    <x v="1"/>
  </r>
  <r>
    <x v="265"/>
    <x v="1"/>
    <s v="Forward"/>
    <x v="265"/>
    <x v="4"/>
    <x v="4"/>
    <n v="3"/>
    <n v="0"/>
    <x v="253"/>
    <x v="1"/>
    <x v="1"/>
  </r>
  <r>
    <x v="266"/>
    <x v="0"/>
    <s v="Midfielder"/>
    <x v="266"/>
    <x v="0"/>
    <x v="11"/>
    <n v="0"/>
    <n v="6"/>
    <x v="254"/>
    <x v="1"/>
    <x v="5"/>
  </r>
  <r>
    <x v="267"/>
    <x v="3"/>
    <s v="Midfielder"/>
    <x v="267"/>
    <x v="1"/>
    <x v="52"/>
    <n v="4"/>
    <n v="4"/>
    <x v="255"/>
    <x v="0"/>
    <x v="2"/>
  </r>
  <r>
    <x v="268"/>
    <x v="2"/>
    <s v="Defender"/>
    <x v="268"/>
    <x v="0"/>
    <x v="13"/>
    <n v="1"/>
    <n v="2"/>
    <x v="256"/>
    <x v="2"/>
    <x v="2"/>
  </r>
  <r>
    <x v="269"/>
    <x v="2"/>
    <s v="Midfielder"/>
    <x v="269"/>
    <x v="1"/>
    <x v="67"/>
    <n v="0"/>
    <n v="4"/>
    <x v="257"/>
    <x v="1"/>
    <x v="4"/>
  </r>
  <r>
    <x v="270"/>
    <x v="1"/>
    <s v="Forward"/>
    <x v="270"/>
    <x v="1"/>
    <x v="3"/>
    <n v="1"/>
    <n v="2"/>
    <x v="258"/>
    <x v="0"/>
    <x v="1"/>
  </r>
  <r>
    <x v="271"/>
    <x v="3"/>
    <s v="Defender"/>
    <x v="271"/>
    <x v="1"/>
    <x v="42"/>
    <n v="2"/>
    <n v="3"/>
    <x v="259"/>
    <x v="2"/>
    <x v="2"/>
  </r>
  <r>
    <x v="272"/>
    <x v="1"/>
    <s v="Midfielder"/>
    <x v="272"/>
    <x v="6"/>
    <x v="64"/>
    <n v="4"/>
    <n v="4"/>
    <x v="260"/>
    <x v="1"/>
    <x v="3"/>
  </r>
  <r>
    <x v="273"/>
    <x v="0"/>
    <s v="Defender"/>
    <x v="273"/>
    <x v="6"/>
    <x v="28"/>
    <n v="0"/>
    <n v="3"/>
    <x v="261"/>
    <x v="2"/>
    <x v="3"/>
  </r>
  <r>
    <x v="274"/>
    <x v="1"/>
    <s v="Forward"/>
    <x v="274"/>
    <x v="3"/>
    <x v="34"/>
    <n v="0"/>
    <n v="1"/>
    <x v="262"/>
    <x v="3"/>
    <x v="3"/>
  </r>
  <r>
    <x v="275"/>
    <x v="1"/>
    <s v="Goalkeeper"/>
    <x v="275"/>
    <x v="2"/>
    <x v="13"/>
    <n v="0"/>
    <n v="1"/>
    <x v="12"/>
    <x v="3"/>
    <x v="3"/>
  </r>
  <r>
    <x v="276"/>
    <x v="1"/>
    <s v="Defender"/>
    <x v="276"/>
    <x v="1"/>
    <x v="17"/>
    <n v="0"/>
    <n v="0"/>
    <x v="263"/>
    <x v="3"/>
    <x v="1"/>
  </r>
  <r>
    <x v="277"/>
    <x v="1"/>
    <s v="Midfielder"/>
    <x v="277"/>
    <x v="1"/>
    <x v="66"/>
    <n v="0"/>
    <n v="6"/>
    <x v="264"/>
    <x v="3"/>
    <x v="0"/>
  </r>
  <r>
    <x v="278"/>
    <x v="2"/>
    <s v="Midfielder"/>
    <x v="278"/>
    <x v="5"/>
    <x v="32"/>
    <n v="1"/>
    <n v="4"/>
    <x v="265"/>
    <x v="2"/>
    <x v="4"/>
  </r>
  <r>
    <x v="279"/>
    <x v="3"/>
    <s v="Defender"/>
    <x v="279"/>
    <x v="0"/>
    <x v="11"/>
    <n v="4"/>
    <n v="3"/>
    <x v="266"/>
    <x v="1"/>
    <x v="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x v="0"/>
    <n v="0"/>
    <n v="2"/>
  </r>
  <r>
    <x v="1"/>
    <n v="2"/>
    <n v="6"/>
  </r>
  <r>
    <x v="0"/>
    <n v="2"/>
    <n v="2"/>
  </r>
  <r>
    <x v="2"/>
    <n v="0"/>
    <n v="5"/>
  </r>
  <r>
    <x v="3"/>
    <n v="4"/>
    <n v="5"/>
  </r>
  <r>
    <x v="0"/>
    <n v="0"/>
    <n v="2"/>
  </r>
  <r>
    <x v="3"/>
    <n v="1"/>
    <n v="6"/>
  </r>
  <r>
    <x v="0"/>
    <n v="0"/>
    <n v="2"/>
  </r>
  <r>
    <x v="3"/>
    <n v="2"/>
    <n v="1"/>
  </r>
  <r>
    <x v="2"/>
    <n v="0"/>
    <n v="3"/>
  </r>
  <r>
    <x v="4"/>
    <n v="4"/>
    <n v="6"/>
  </r>
  <r>
    <x v="3"/>
    <n v="3"/>
    <n v="6"/>
  </r>
  <r>
    <x v="5"/>
    <n v="0"/>
    <n v="4"/>
  </r>
  <r>
    <x v="4"/>
    <n v="0"/>
    <n v="0"/>
  </r>
  <r>
    <x v="4"/>
    <n v="4"/>
    <n v="3"/>
  </r>
  <r>
    <x v="3"/>
    <n v="2"/>
    <n v="5"/>
  </r>
  <r>
    <x v="5"/>
    <n v="4"/>
    <n v="6"/>
  </r>
  <r>
    <x v="5"/>
    <n v="4"/>
    <n v="2"/>
  </r>
  <r>
    <x v="6"/>
    <n v="4"/>
    <n v="3"/>
  </r>
  <r>
    <x v="1"/>
    <n v="4"/>
    <n v="4"/>
  </r>
  <r>
    <x v="0"/>
    <n v="1"/>
    <n v="5"/>
  </r>
  <r>
    <x v="4"/>
    <n v="1"/>
    <n v="0"/>
  </r>
  <r>
    <x v="5"/>
    <n v="2"/>
    <n v="0"/>
  </r>
  <r>
    <x v="2"/>
    <n v="0"/>
    <n v="4"/>
  </r>
  <r>
    <x v="0"/>
    <n v="4"/>
    <n v="4"/>
  </r>
  <r>
    <x v="4"/>
    <n v="0"/>
    <n v="2"/>
  </r>
  <r>
    <x v="1"/>
    <n v="0"/>
    <n v="6"/>
  </r>
  <r>
    <x v="1"/>
    <n v="2"/>
    <n v="0"/>
  </r>
  <r>
    <x v="0"/>
    <n v="4"/>
    <n v="5"/>
  </r>
  <r>
    <x v="1"/>
    <n v="4"/>
    <n v="3"/>
  </r>
  <r>
    <x v="3"/>
    <n v="3"/>
    <n v="5"/>
  </r>
  <r>
    <x v="4"/>
    <n v="0"/>
    <n v="1"/>
  </r>
  <r>
    <x v="3"/>
    <n v="0"/>
    <n v="1"/>
  </r>
  <r>
    <x v="3"/>
    <n v="1"/>
    <n v="4"/>
  </r>
  <r>
    <x v="4"/>
    <n v="3"/>
    <n v="2"/>
  </r>
  <r>
    <x v="2"/>
    <n v="1"/>
    <n v="1"/>
  </r>
  <r>
    <x v="0"/>
    <n v="1"/>
    <n v="0"/>
  </r>
  <r>
    <x v="1"/>
    <n v="1"/>
    <n v="5"/>
  </r>
  <r>
    <x v="4"/>
    <n v="2"/>
    <n v="5"/>
  </r>
  <r>
    <x v="6"/>
    <n v="2"/>
    <n v="4"/>
  </r>
  <r>
    <x v="3"/>
    <n v="1"/>
    <n v="6"/>
  </r>
  <r>
    <x v="4"/>
    <n v="3"/>
    <n v="6"/>
  </r>
  <r>
    <x v="5"/>
    <n v="0"/>
    <n v="3"/>
  </r>
  <r>
    <x v="2"/>
    <n v="3"/>
    <n v="4"/>
  </r>
  <r>
    <x v="6"/>
    <n v="4"/>
    <n v="3"/>
  </r>
  <r>
    <x v="6"/>
    <n v="2"/>
    <n v="6"/>
  </r>
  <r>
    <x v="4"/>
    <n v="0"/>
    <n v="4"/>
  </r>
  <r>
    <x v="4"/>
    <n v="0"/>
    <n v="4"/>
  </r>
  <r>
    <x v="3"/>
    <n v="4"/>
    <n v="4"/>
  </r>
  <r>
    <x v="0"/>
    <n v="4"/>
    <n v="6"/>
  </r>
  <r>
    <x v="6"/>
    <n v="1"/>
    <n v="3"/>
  </r>
  <r>
    <x v="6"/>
    <n v="2"/>
    <n v="3"/>
  </r>
  <r>
    <x v="4"/>
    <n v="2"/>
    <n v="4"/>
  </r>
  <r>
    <x v="2"/>
    <n v="3"/>
    <n v="1"/>
  </r>
  <r>
    <x v="2"/>
    <n v="1"/>
    <n v="2"/>
  </r>
  <r>
    <x v="3"/>
    <n v="1"/>
    <n v="6"/>
  </r>
  <r>
    <x v="0"/>
    <n v="1"/>
    <n v="2"/>
  </r>
  <r>
    <x v="1"/>
    <n v="1"/>
    <n v="2"/>
  </r>
  <r>
    <x v="0"/>
    <n v="2"/>
    <n v="3"/>
  </r>
  <r>
    <x v="6"/>
    <n v="2"/>
    <n v="3"/>
  </r>
  <r>
    <x v="3"/>
    <n v="1"/>
    <n v="1"/>
  </r>
  <r>
    <x v="0"/>
    <n v="3"/>
    <n v="2"/>
  </r>
  <r>
    <x v="3"/>
    <n v="0"/>
    <n v="2"/>
  </r>
  <r>
    <x v="4"/>
    <n v="0"/>
    <n v="4"/>
  </r>
  <r>
    <x v="1"/>
    <n v="3"/>
    <n v="3"/>
  </r>
  <r>
    <x v="1"/>
    <n v="1"/>
    <n v="2"/>
  </r>
  <r>
    <x v="1"/>
    <n v="2"/>
    <n v="5"/>
  </r>
  <r>
    <x v="5"/>
    <n v="0"/>
    <n v="1"/>
  </r>
  <r>
    <x v="1"/>
    <n v="4"/>
    <n v="5"/>
  </r>
  <r>
    <x v="2"/>
    <n v="4"/>
    <n v="5"/>
  </r>
  <r>
    <x v="2"/>
    <n v="3"/>
    <n v="6"/>
  </r>
  <r>
    <x v="4"/>
    <n v="1"/>
    <n v="6"/>
  </r>
  <r>
    <x v="3"/>
    <n v="0"/>
    <n v="1"/>
  </r>
  <r>
    <x v="2"/>
    <n v="1"/>
    <n v="5"/>
  </r>
  <r>
    <x v="0"/>
    <n v="0"/>
    <n v="2"/>
  </r>
  <r>
    <x v="2"/>
    <n v="3"/>
    <n v="3"/>
  </r>
  <r>
    <x v="5"/>
    <n v="3"/>
    <n v="1"/>
  </r>
  <r>
    <x v="5"/>
    <n v="4"/>
    <n v="4"/>
  </r>
  <r>
    <x v="3"/>
    <n v="1"/>
    <n v="5"/>
  </r>
  <r>
    <x v="1"/>
    <n v="4"/>
    <n v="1"/>
  </r>
  <r>
    <x v="4"/>
    <n v="1"/>
    <n v="0"/>
  </r>
  <r>
    <x v="2"/>
    <n v="4"/>
    <n v="0"/>
  </r>
  <r>
    <x v="6"/>
    <n v="2"/>
    <n v="6"/>
  </r>
  <r>
    <x v="6"/>
    <n v="2"/>
    <n v="3"/>
  </r>
  <r>
    <x v="4"/>
    <n v="2"/>
    <n v="2"/>
  </r>
  <r>
    <x v="2"/>
    <n v="2"/>
    <n v="3"/>
  </r>
  <r>
    <x v="5"/>
    <n v="0"/>
    <n v="3"/>
  </r>
  <r>
    <x v="5"/>
    <n v="2"/>
    <n v="3"/>
  </r>
  <r>
    <x v="5"/>
    <n v="3"/>
    <n v="3"/>
  </r>
  <r>
    <x v="4"/>
    <n v="3"/>
    <n v="4"/>
  </r>
  <r>
    <x v="6"/>
    <n v="0"/>
    <n v="4"/>
  </r>
  <r>
    <x v="3"/>
    <n v="2"/>
    <n v="6"/>
  </r>
  <r>
    <x v="3"/>
    <n v="2"/>
    <n v="1"/>
  </r>
  <r>
    <x v="4"/>
    <n v="2"/>
    <n v="0"/>
  </r>
  <r>
    <x v="6"/>
    <n v="4"/>
    <n v="3"/>
  </r>
  <r>
    <x v="0"/>
    <n v="1"/>
    <n v="6"/>
  </r>
  <r>
    <x v="6"/>
    <n v="4"/>
    <n v="1"/>
  </r>
  <r>
    <x v="3"/>
    <n v="1"/>
    <n v="0"/>
  </r>
  <r>
    <x v="5"/>
    <n v="2"/>
    <n v="5"/>
  </r>
  <r>
    <x v="4"/>
    <n v="2"/>
    <n v="2"/>
  </r>
  <r>
    <x v="5"/>
    <n v="4"/>
    <n v="4"/>
  </r>
  <r>
    <x v="5"/>
    <n v="4"/>
    <n v="5"/>
  </r>
  <r>
    <x v="0"/>
    <n v="1"/>
    <n v="0"/>
  </r>
  <r>
    <x v="2"/>
    <n v="3"/>
    <n v="5"/>
  </r>
  <r>
    <x v="0"/>
    <n v="1"/>
    <n v="2"/>
  </r>
  <r>
    <x v="1"/>
    <n v="4"/>
    <n v="6"/>
  </r>
  <r>
    <x v="4"/>
    <n v="0"/>
    <n v="0"/>
  </r>
  <r>
    <x v="6"/>
    <n v="0"/>
    <n v="5"/>
  </r>
  <r>
    <x v="6"/>
    <n v="4"/>
    <n v="4"/>
  </r>
  <r>
    <x v="0"/>
    <n v="0"/>
    <n v="4"/>
  </r>
  <r>
    <x v="0"/>
    <n v="3"/>
    <n v="1"/>
  </r>
  <r>
    <x v="1"/>
    <n v="1"/>
    <n v="5"/>
  </r>
  <r>
    <x v="2"/>
    <n v="1"/>
    <n v="3"/>
  </r>
  <r>
    <x v="2"/>
    <n v="0"/>
    <n v="5"/>
  </r>
  <r>
    <x v="1"/>
    <n v="1"/>
    <n v="6"/>
  </r>
  <r>
    <x v="4"/>
    <n v="4"/>
    <n v="0"/>
  </r>
  <r>
    <x v="6"/>
    <n v="2"/>
    <n v="0"/>
  </r>
  <r>
    <x v="4"/>
    <n v="0"/>
    <n v="6"/>
  </r>
  <r>
    <x v="6"/>
    <n v="1"/>
    <n v="5"/>
  </r>
  <r>
    <x v="4"/>
    <n v="0"/>
    <n v="6"/>
  </r>
  <r>
    <x v="1"/>
    <n v="0"/>
    <n v="2"/>
  </r>
  <r>
    <x v="1"/>
    <n v="2"/>
    <n v="6"/>
  </r>
  <r>
    <x v="4"/>
    <n v="4"/>
    <n v="4"/>
  </r>
  <r>
    <x v="0"/>
    <n v="0"/>
    <n v="6"/>
  </r>
  <r>
    <x v="5"/>
    <n v="1"/>
    <n v="0"/>
  </r>
  <r>
    <x v="5"/>
    <n v="3"/>
    <n v="4"/>
  </r>
  <r>
    <x v="2"/>
    <n v="0"/>
    <n v="0"/>
  </r>
  <r>
    <x v="5"/>
    <n v="0"/>
    <n v="1"/>
  </r>
  <r>
    <x v="2"/>
    <n v="2"/>
    <n v="3"/>
  </r>
  <r>
    <x v="1"/>
    <n v="4"/>
    <n v="0"/>
  </r>
  <r>
    <x v="5"/>
    <n v="3"/>
    <n v="4"/>
  </r>
  <r>
    <x v="3"/>
    <n v="1"/>
    <n v="1"/>
  </r>
  <r>
    <x v="5"/>
    <n v="3"/>
    <n v="0"/>
  </r>
  <r>
    <x v="6"/>
    <n v="1"/>
    <n v="2"/>
  </r>
  <r>
    <x v="6"/>
    <n v="4"/>
    <n v="6"/>
  </r>
  <r>
    <x v="4"/>
    <n v="1"/>
    <n v="3"/>
  </r>
  <r>
    <x v="4"/>
    <n v="2"/>
    <n v="0"/>
  </r>
  <r>
    <x v="3"/>
    <n v="2"/>
    <n v="1"/>
  </r>
  <r>
    <x v="4"/>
    <n v="2"/>
    <n v="2"/>
  </r>
  <r>
    <x v="2"/>
    <n v="2"/>
    <n v="5"/>
  </r>
  <r>
    <x v="2"/>
    <n v="1"/>
    <n v="1"/>
  </r>
  <r>
    <x v="5"/>
    <n v="4"/>
    <n v="6"/>
  </r>
  <r>
    <x v="0"/>
    <n v="1"/>
    <n v="1"/>
  </r>
  <r>
    <x v="0"/>
    <n v="1"/>
    <n v="2"/>
  </r>
  <r>
    <x v="1"/>
    <n v="2"/>
    <n v="1"/>
  </r>
  <r>
    <x v="2"/>
    <n v="2"/>
    <n v="2"/>
  </r>
  <r>
    <x v="6"/>
    <n v="0"/>
    <n v="0"/>
  </r>
  <r>
    <x v="2"/>
    <n v="4"/>
    <n v="2"/>
  </r>
  <r>
    <x v="3"/>
    <n v="3"/>
    <n v="2"/>
  </r>
  <r>
    <x v="1"/>
    <n v="1"/>
    <n v="3"/>
  </r>
  <r>
    <x v="0"/>
    <n v="0"/>
    <n v="2"/>
  </r>
  <r>
    <x v="6"/>
    <n v="0"/>
    <n v="2"/>
  </r>
  <r>
    <x v="1"/>
    <n v="1"/>
    <n v="5"/>
  </r>
  <r>
    <x v="1"/>
    <n v="0"/>
    <n v="0"/>
  </r>
  <r>
    <x v="2"/>
    <n v="0"/>
    <n v="6"/>
  </r>
  <r>
    <x v="0"/>
    <n v="0"/>
    <n v="3"/>
  </r>
  <r>
    <x v="1"/>
    <n v="4"/>
    <n v="5"/>
  </r>
  <r>
    <x v="5"/>
    <n v="3"/>
    <n v="4"/>
  </r>
  <r>
    <x v="3"/>
    <n v="0"/>
    <n v="0"/>
  </r>
  <r>
    <x v="4"/>
    <n v="3"/>
    <n v="0"/>
  </r>
  <r>
    <x v="6"/>
    <n v="1"/>
    <n v="4"/>
  </r>
  <r>
    <x v="5"/>
    <n v="2"/>
    <n v="6"/>
  </r>
  <r>
    <x v="0"/>
    <n v="0"/>
    <n v="2"/>
  </r>
  <r>
    <x v="3"/>
    <n v="4"/>
    <n v="5"/>
  </r>
  <r>
    <x v="2"/>
    <n v="1"/>
    <n v="1"/>
  </r>
  <r>
    <x v="0"/>
    <n v="3"/>
    <n v="3"/>
  </r>
  <r>
    <x v="4"/>
    <n v="1"/>
    <n v="1"/>
  </r>
  <r>
    <x v="0"/>
    <n v="0"/>
    <n v="4"/>
  </r>
  <r>
    <x v="1"/>
    <n v="0"/>
    <n v="0"/>
  </r>
  <r>
    <x v="1"/>
    <n v="2"/>
    <n v="6"/>
  </r>
  <r>
    <x v="2"/>
    <n v="1"/>
    <n v="0"/>
  </r>
  <r>
    <x v="1"/>
    <n v="0"/>
    <n v="3"/>
  </r>
  <r>
    <x v="0"/>
    <n v="4"/>
    <n v="0"/>
  </r>
  <r>
    <x v="5"/>
    <n v="3"/>
    <n v="0"/>
  </r>
  <r>
    <x v="5"/>
    <n v="1"/>
    <n v="3"/>
  </r>
  <r>
    <x v="2"/>
    <n v="1"/>
    <n v="5"/>
  </r>
  <r>
    <x v="0"/>
    <n v="2"/>
    <n v="5"/>
  </r>
  <r>
    <x v="0"/>
    <n v="2"/>
    <n v="3"/>
  </r>
  <r>
    <x v="1"/>
    <n v="4"/>
    <n v="6"/>
  </r>
  <r>
    <x v="6"/>
    <n v="4"/>
    <n v="4"/>
  </r>
  <r>
    <x v="4"/>
    <n v="0"/>
    <n v="0"/>
  </r>
  <r>
    <x v="2"/>
    <n v="0"/>
    <n v="6"/>
  </r>
  <r>
    <x v="1"/>
    <n v="4"/>
    <n v="0"/>
  </r>
  <r>
    <x v="0"/>
    <n v="4"/>
    <n v="4"/>
  </r>
  <r>
    <x v="4"/>
    <n v="3"/>
    <n v="5"/>
  </r>
  <r>
    <x v="6"/>
    <n v="2"/>
    <n v="6"/>
  </r>
  <r>
    <x v="2"/>
    <n v="0"/>
    <n v="2"/>
  </r>
  <r>
    <x v="4"/>
    <n v="2"/>
    <n v="2"/>
  </r>
  <r>
    <x v="4"/>
    <n v="2"/>
    <n v="2"/>
  </r>
  <r>
    <x v="2"/>
    <n v="4"/>
    <n v="5"/>
  </r>
  <r>
    <x v="6"/>
    <n v="3"/>
    <n v="5"/>
  </r>
  <r>
    <x v="1"/>
    <n v="1"/>
    <n v="4"/>
  </r>
  <r>
    <x v="4"/>
    <n v="3"/>
    <n v="0"/>
  </r>
  <r>
    <x v="1"/>
    <n v="3"/>
    <n v="4"/>
  </r>
  <r>
    <x v="4"/>
    <n v="2"/>
    <n v="4"/>
  </r>
  <r>
    <x v="4"/>
    <n v="3"/>
    <n v="5"/>
  </r>
  <r>
    <x v="3"/>
    <n v="0"/>
    <n v="2"/>
  </r>
  <r>
    <x v="0"/>
    <n v="2"/>
    <n v="1"/>
  </r>
  <r>
    <x v="3"/>
    <n v="0"/>
    <n v="0"/>
  </r>
  <r>
    <x v="6"/>
    <n v="1"/>
    <n v="5"/>
  </r>
  <r>
    <x v="5"/>
    <n v="2"/>
    <n v="2"/>
  </r>
  <r>
    <x v="6"/>
    <n v="1"/>
    <n v="6"/>
  </r>
  <r>
    <x v="3"/>
    <n v="2"/>
    <n v="1"/>
  </r>
  <r>
    <x v="5"/>
    <n v="4"/>
    <n v="1"/>
  </r>
  <r>
    <x v="6"/>
    <n v="3"/>
    <n v="5"/>
  </r>
  <r>
    <x v="2"/>
    <n v="4"/>
    <n v="3"/>
  </r>
  <r>
    <x v="5"/>
    <n v="1"/>
    <n v="0"/>
  </r>
  <r>
    <x v="4"/>
    <n v="3"/>
    <n v="1"/>
  </r>
  <r>
    <x v="6"/>
    <n v="2"/>
    <n v="5"/>
  </r>
  <r>
    <x v="5"/>
    <n v="3"/>
    <n v="5"/>
  </r>
  <r>
    <x v="6"/>
    <n v="0"/>
    <n v="2"/>
  </r>
  <r>
    <x v="4"/>
    <n v="3"/>
    <n v="6"/>
  </r>
  <r>
    <x v="6"/>
    <n v="0"/>
    <n v="3"/>
  </r>
  <r>
    <x v="6"/>
    <n v="0"/>
    <n v="0"/>
  </r>
  <r>
    <x v="0"/>
    <n v="0"/>
    <n v="4"/>
  </r>
  <r>
    <x v="5"/>
    <n v="1"/>
    <n v="6"/>
  </r>
  <r>
    <x v="5"/>
    <n v="4"/>
    <n v="6"/>
  </r>
  <r>
    <x v="3"/>
    <n v="2"/>
    <n v="2"/>
  </r>
  <r>
    <x v="0"/>
    <n v="3"/>
    <n v="1"/>
  </r>
  <r>
    <x v="5"/>
    <n v="4"/>
    <n v="1"/>
  </r>
  <r>
    <x v="0"/>
    <n v="2"/>
    <n v="2"/>
  </r>
  <r>
    <x v="6"/>
    <n v="2"/>
    <n v="5"/>
  </r>
  <r>
    <x v="1"/>
    <n v="0"/>
    <n v="1"/>
  </r>
  <r>
    <x v="4"/>
    <n v="1"/>
    <n v="3"/>
  </r>
  <r>
    <x v="6"/>
    <n v="1"/>
    <n v="0"/>
  </r>
  <r>
    <x v="4"/>
    <n v="4"/>
    <n v="6"/>
  </r>
  <r>
    <x v="3"/>
    <n v="1"/>
    <n v="6"/>
  </r>
  <r>
    <x v="3"/>
    <n v="3"/>
    <n v="3"/>
  </r>
  <r>
    <x v="3"/>
    <n v="1"/>
    <n v="1"/>
  </r>
  <r>
    <x v="3"/>
    <n v="4"/>
    <n v="6"/>
  </r>
  <r>
    <x v="5"/>
    <n v="1"/>
    <n v="4"/>
  </r>
  <r>
    <x v="4"/>
    <n v="3"/>
    <n v="0"/>
  </r>
  <r>
    <x v="3"/>
    <n v="0"/>
    <n v="0"/>
  </r>
  <r>
    <x v="1"/>
    <n v="4"/>
    <n v="6"/>
  </r>
  <r>
    <x v="4"/>
    <n v="0"/>
    <n v="2"/>
  </r>
  <r>
    <x v="5"/>
    <n v="0"/>
    <n v="6"/>
  </r>
  <r>
    <x v="2"/>
    <n v="0"/>
    <n v="2"/>
  </r>
  <r>
    <x v="1"/>
    <n v="2"/>
    <n v="6"/>
  </r>
  <r>
    <x v="2"/>
    <n v="2"/>
    <n v="4"/>
  </r>
  <r>
    <x v="5"/>
    <n v="0"/>
    <n v="5"/>
  </r>
  <r>
    <x v="1"/>
    <n v="4"/>
    <n v="0"/>
  </r>
  <r>
    <x v="3"/>
    <n v="3"/>
    <n v="6"/>
  </r>
  <r>
    <x v="3"/>
    <n v="3"/>
    <n v="4"/>
  </r>
  <r>
    <x v="3"/>
    <n v="1"/>
    <n v="2"/>
  </r>
  <r>
    <x v="6"/>
    <n v="4"/>
    <n v="2"/>
  </r>
  <r>
    <x v="1"/>
    <n v="2"/>
    <n v="0"/>
  </r>
  <r>
    <x v="6"/>
    <n v="0"/>
    <n v="3"/>
  </r>
  <r>
    <x v="3"/>
    <n v="1"/>
    <n v="6"/>
  </r>
  <r>
    <x v="0"/>
    <n v="3"/>
    <n v="1"/>
  </r>
  <r>
    <x v="0"/>
    <n v="2"/>
    <n v="2"/>
  </r>
  <r>
    <x v="6"/>
    <n v="2"/>
    <n v="5"/>
  </r>
  <r>
    <x v="5"/>
    <n v="0"/>
    <n v="5"/>
  </r>
  <r>
    <x v="2"/>
    <n v="3"/>
    <n v="2"/>
  </r>
  <r>
    <x v="0"/>
    <n v="4"/>
    <n v="3"/>
  </r>
  <r>
    <x v="1"/>
    <n v="2"/>
    <n v="3"/>
  </r>
  <r>
    <x v="0"/>
    <n v="0"/>
    <n v="4"/>
  </r>
  <r>
    <x v="6"/>
    <n v="4"/>
    <n v="5"/>
  </r>
  <r>
    <x v="4"/>
    <n v="3"/>
    <n v="4"/>
  </r>
  <r>
    <x v="5"/>
    <n v="2"/>
    <n v="5"/>
  </r>
  <r>
    <x v="0"/>
    <n v="4"/>
    <n v="6"/>
  </r>
  <r>
    <x v="3"/>
    <n v="4"/>
    <n v="6"/>
  </r>
  <r>
    <x v="3"/>
    <n v="1"/>
    <n v="1"/>
  </r>
  <r>
    <x v="3"/>
    <n v="2"/>
    <n v="6"/>
  </r>
  <r>
    <x v="6"/>
    <n v="2"/>
    <n v="1"/>
  </r>
  <r>
    <x v="3"/>
    <n v="1"/>
    <n v="6"/>
  </r>
  <r>
    <x v="4"/>
    <n v="3"/>
    <n v="0"/>
  </r>
  <r>
    <x v="0"/>
    <n v="0"/>
    <n v="6"/>
  </r>
  <r>
    <x v="1"/>
    <n v="4"/>
    <n v="4"/>
  </r>
  <r>
    <x v="0"/>
    <n v="1"/>
    <n v="2"/>
  </r>
  <r>
    <x v="1"/>
    <n v="0"/>
    <n v="4"/>
  </r>
  <r>
    <x v="1"/>
    <n v="1"/>
    <n v="2"/>
  </r>
  <r>
    <x v="1"/>
    <n v="2"/>
    <n v="3"/>
  </r>
  <r>
    <x v="6"/>
    <n v="4"/>
    <n v="4"/>
  </r>
  <r>
    <x v="6"/>
    <n v="0"/>
    <n v="3"/>
  </r>
  <r>
    <x v="3"/>
    <n v="0"/>
    <n v="1"/>
  </r>
  <r>
    <x v="2"/>
    <n v="0"/>
    <n v="1"/>
  </r>
  <r>
    <x v="1"/>
    <n v="0"/>
    <n v="0"/>
  </r>
  <r>
    <x v="1"/>
    <n v="0"/>
    <n v="6"/>
  </r>
  <r>
    <x v="5"/>
    <n v="1"/>
    <n v="4"/>
  </r>
  <r>
    <x v="0"/>
    <n v="4"/>
    <n v="3"/>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n v="66.099999999999994"/>
    <n v="1.08"/>
    <n v="98.33"/>
    <m/>
    <x v="0"/>
    <m/>
    <m/>
    <x v="0"/>
    <x v="0"/>
  </r>
  <r>
    <n v="63"/>
    <n v="0.65"/>
    <n v="89.25"/>
    <m/>
    <x v="1"/>
    <d v="2023-04-09T00:00:00"/>
    <n v="57"/>
    <x v="1"/>
    <x v="1"/>
  </r>
  <r>
    <n v="63.7"/>
    <n v="1.31"/>
    <n v="90.14"/>
    <d v="2023-08-16T00:00:00"/>
    <x v="2"/>
    <m/>
    <m/>
    <x v="2"/>
    <x v="0"/>
  </r>
  <r>
    <n v="59.9"/>
    <n v="1.1399999999999999"/>
    <n v="88.97"/>
    <m/>
    <x v="1"/>
    <d v="2023-02-16T00:00:00"/>
    <m/>
    <x v="3"/>
    <x v="2"/>
  </r>
  <r>
    <n v="47.8"/>
    <n v="0.89"/>
    <n v="75.97"/>
    <m/>
    <x v="0"/>
    <d v="2023-01-17T00:00:00"/>
    <m/>
    <x v="3"/>
    <x v="0"/>
  </r>
  <r>
    <n v="67.2"/>
    <n v="1.17"/>
    <n v="82.55"/>
    <m/>
    <x v="1"/>
    <m/>
    <n v="22"/>
    <x v="2"/>
    <x v="2"/>
  </r>
  <r>
    <n v="60.1"/>
    <n v="0.76"/>
    <n v="92.53"/>
    <m/>
    <x v="1"/>
    <m/>
    <m/>
    <x v="2"/>
    <x v="3"/>
  </r>
  <r>
    <n v="56.8"/>
    <n v="0.85"/>
    <n v="73.040000000000006"/>
    <d v="2023-11-17T00:00:00"/>
    <x v="0"/>
    <m/>
    <m/>
    <x v="3"/>
    <x v="2"/>
  </r>
  <r>
    <n v="43.3"/>
    <n v="1.42"/>
    <n v="78.34"/>
    <m/>
    <x v="3"/>
    <m/>
    <m/>
    <x v="1"/>
    <x v="0"/>
  </r>
  <r>
    <n v="53.4"/>
    <n v="0.79"/>
    <n v="78.290000000000006"/>
    <m/>
    <x v="1"/>
    <m/>
    <m/>
    <x v="3"/>
    <x v="1"/>
  </r>
  <r>
    <n v="53.8"/>
    <n v="0.97"/>
    <n v="82.96"/>
    <m/>
    <x v="0"/>
    <m/>
    <m/>
    <x v="2"/>
    <x v="3"/>
  </r>
  <r>
    <n v="65.900000000000006"/>
    <n v="1.39"/>
    <n v="99.41"/>
    <m/>
    <x v="0"/>
    <m/>
    <m/>
    <x v="0"/>
    <x v="3"/>
  </r>
  <r>
    <n v="56.4"/>
    <n v="1.21"/>
    <n v="72.03"/>
    <m/>
    <x v="2"/>
    <m/>
    <n v="82"/>
    <x v="4"/>
    <x v="2"/>
  </r>
  <r>
    <n v="51.4"/>
    <n v="0.56000000000000005"/>
    <n v="85.56"/>
    <d v="2023-10-09T00:00:00"/>
    <x v="0"/>
    <m/>
    <m/>
    <x v="0"/>
    <x v="1"/>
  </r>
  <r>
    <n v="69.3"/>
    <n v="0.65"/>
    <n v="75.38"/>
    <m/>
    <x v="2"/>
    <d v="2023-03-05T00:00:00"/>
    <n v="86"/>
    <x v="0"/>
    <x v="1"/>
  </r>
  <r>
    <n v="43.3"/>
    <n v="0.51"/>
    <n v="99.12"/>
    <d v="2023-10-14T00:00:00"/>
    <x v="2"/>
    <d v="2023-06-02T00:00:00"/>
    <m/>
    <x v="2"/>
    <x v="0"/>
  </r>
  <r>
    <n v="52.7"/>
    <n v="1.1299999999999999"/>
    <n v="73.400000000000006"/>
    <m/>
    <x v="0"/>
    <m/>
    <n v="40"/>
    <x v="3"/>
    <x v="0"/>
  </r>
  <r>
    <n v="41.3"/>
    <n v="0.95"/>
    <n v="82.11"/>
    <m/>
    <x v="1"/>
    <m/>
    <m/>
    <x v="1"/>
    <x v="0"/>
  </r>
  <r>
    <n v="62.2"/>
    <n v="0.63"/>
    <n v="92.14"/>
    <m/>
    <x v="0"/>
    <d v="2023-09-18T00:00:00"/>
    <n v="84"/>
    <x v="0"/>
    <x v="0"/>
  </r>
  <r>
    <n v="67.5"/>
    <n v="1.46"/>
    <n v="91.14"/>
    <m/>
    <x v="0"/>
    <m/>
    <m/>
    <x v="3"/>
    <x v="2"/>
  </r>
  <r>
    <n v="48.4"/>
    <n v="1.03"/>
    <n v="82.68"/>
    <m/>
    <x v="3"/>
    <d v="2023-07-13T00:00:00"/>
    <n v="77"/>
    <x v="1"/>
    <x v="2"/>
  </r>
  <r>
    <n v="65.8"/>
    <n v="0.74"/>
    <n v="80.400000000000006"/>
    <m/>
    <x v="2"/>
    <d v="2023-04-18T00:00:00"/>
    <m/>
    <x v="0"/>
    <x v="2"/>
  </r>
  <r>
    <n v="48.8"/>
    <n v="1"/>
    <n v="81.93"/>
    <m/>
    <x v="3"/>
    <m/>
    <m/>
    <x v="1"/>
    <x v="0"/>
  </r>
  <r>
    <n v="67.3"/>
    <n v="1.18"/>
    <n v="77.930000000000007"/>
    <m/>
    <x v="3"/>
    <d v="2023-08-09T00:00:00"/>
    <m/>
    <x v="3"/>
    <x v="3"/>
  </r>
  <r>
    <n v="62.6"/>
    <n v="0.57999999999999996"/>
    <n v="76.16"/>
    <m/>
    <x v="1"/>
    <d v="2023-02-07T00:00:00"/>
    <n v="13"/>
    <x v="4"/>
    <x v="1"/>
  </r>
  <r>
    <n v="64.099999999999994"/>
    <n v="0.77"/>
    <n v="84.49"/>
    <m/>
    <x v="1"/>
    <m/>
    <m/>
    <x v="3"/>
    <x v="1"/>
  </r>
  <r>
    <n v="40.5"/>
    <n v="1.31"/>
    <n v="78.06"/>
    <d v="2023-07-15T00:00:00"/>
    <x v="2"/>
    <m/>
    <m/>
    <x v="2"/>
    <x v="3"/>
  </r>
  <r>
    <n v="68.900000000000006"/>
    <n v="0.96"/>
    <n v="78.62"/>
    <m/>
    <x v="2"/>
    <m/>
    <m/>
    <x v="1"/>
    <x v="0"/>
  </r>
  <r>
    <n v="61.8"/>
    <n v="1.05"/>
    <n v="89.7"/>
    <m/>
    <x v="2"/>
    <m/>
    <m/>
    <x v="4"/>
    <x v="0"/>
  </r>
  <r>
    <n v="49.1"/>
    <n v="0.93"/>
    <n v="99.06"/>
    <m/>
    <x v="0"/>
    <m/>
    <n v="28"/>
    <x v="1"/>
    <x v="1"/>
  </r>
  <r>
    <n v="64.900000000000006"/>
    <n v="0.54"/>
    <n v="88.11"/>
    <d v="2023-07-15T00:00:00"/>
    <x v="0"/>
    <d v="2023-07-09T00:00:00"/>
    <n v="79"/>
    <x v="1"/>
    <x v="3"/>
  </r>
  <r>
    <n v="48.4"/>
    <n v="0.67"/>
    <n v="72.31"/>
    <d v="2023-09-17T00:00:00"/>
    <x v="3"/>
    <m/>
    <n v="22"/>
    <x v="0"/>
    <x v="1"/>
  </r>
  <r>
    <n v="66.2"/>
    <n v="0.95"/>
    <n v="72.27"/>
    <m/>
    <x v="1"/>
    <m/>
    <n v="32"/>
    <x v="2"/>
    <x v="3"/>
  </r>
  <r>
    <n v="43.4"/>
    <n v="0.71"/>
    <n v="98.54"/>
    <m/>
    <x v="0"/>
    <d v="2023-09-16T00:00:00"/>
    <m/>
    <x v="1"/>
    <x v="1"/>
  </r>
  <r>
    <n v="61.1"/>
    <n v="0.55000000000000004"/>
    <n v="78.92"/>
    <m/>
    <x v="3"/>
    <m/>
    <m/>
    <x v="3"/>
    <x v="2"/>
  </r>
  <r>
    <n v="56.2"/>
    <n v="1.34"/>
    <n v="72.760000000000005"/>
    <m/>
    <x v="0"/>
    <m/>
    <n v="84"/>
    <x v="3"/>
    <x v="2"/>
  </r>
  <r>
    <n v="42.9"/>
    <n v="1.48"/>
    <n v="87.97"/>
    <m/>
    <x v="2"/>
    <d v="2023-09-25T00:00:00"/>
    <m/>
    <x v="0"/>
    <x v="2"/>
  </r>
  <r>
    <n v="47.3"/>
    <n v="1.29"/>
    <n v="88.71"/>
    <m/>
    <x v="1"/>
    <m/>
    <n v="10"/>
    <x v="2"/>
    <x v="3"/>
  </r>
  <r>
    <n v="40.4"/>
    <n v="1.35"/>
    <n v="89.46"/>
    <d v="2023-07-14T00:00:00"/>
    <x v="2"/>
    <d v="2023-09-01T00:00:00"/>
    <m/>
    <x v="2"/>
    <x v="3"/>
  </r>
  <r>
    <n v="54.1"/>
    <n v="0.74"/>
    <n v="78.02"/>
    <d v="2023-12-04T00:00:00"/>
    <x v="1"/>
    <m/>
    <n v="63"/>
    <x v="3"/>
    <x v="1"/>
  </r>
  <r>
    <n v="49"/>
    <n v="1.46"/>
    <n v="70.45"/>
    <m/>
    <x v="3"/>
    <m/>
    <n v="80"/>
    <x v="4"/>
    <x v="2"/>
  </r>
  <r>
    <n v="58"/>
    <n v="0.7"/>
    <n v="98.95"/>
    <m/>
    <x v="1"/>
    <m/>
    <m/>
    <x v="0"/>
    <x v="2"/>
  </r>
  <r>
    <n v="48.9"/>
    <n v="1.45"/>
    <n v="77.53"/>
    <m/>
    <x v="0"/>
    <m/>
    <m/>
    <x v="0"/>
    <x v="2"/>
  </r>
  <r>
    <n v="49"/>
    <n v="1.49"/>
    <n v="90.28"/>
    <d v="2023-05-17T00:00:00"/>
    <x v="2"/>
    <d v="2023-03-20T00:00:00"/>
    <n v="24"/>
    <x v="3"/>
    <x v="3"/>
  </r>
  <r>
    <n v="62.3"/>
    <n v="1.21"/>
    <n v="91.2"/>
    <m/>
    <x v="0"/>
    <d v="2023-04-25T00:00:00"/>
    <n v="74"/>
    <x v="3"/>
    <x v="0"/>
  </r>
  <r>
    <n v="41.4"/>
    <n v="1.48"/>
    <n v="88.3"/>
    <m/>
    <x v="0"/>
    <d v="2023-06-17T00:00:00"/>
    <n v="85"/>
    <x v="4"/>
    <x v="0"/>
  </r>
  <r>
    <n v="67.099999999999994"/>
    <n v="1.07"/>
    <n v="79.39"/>
    <m/>
    <x v="2"/>
    <m/>
    <n v="80"/>
    <x v="4"/>
    <x v="2"/>
  </r>
  <r>
    <n v="65.599999999999994"/>
    <n v="0.76"/>
    <n v="78.13"/>
    <m/>
    <x v="2"/>
    <m/>
    <n v="24"/>
    <x v="2"/>
    <x v="3"/>
  </r>
  <r>
    <n v="60"/>
    <n v="0.94"/>
    <n v="87.93"/>
    <m/>
    <x v="0"/>
    <d v="2023-08-09T00:00:00"/>
    <m/>
    <x v="0"/>
    <x v="2"/>
  </r>
  <r>
    <n v="57.8"/>
    <n v="1.0900000000000001"/>
    <n v="95.98"/>
    <m/>
    <x v="0"/>
    <m/>
    <m/>
    <x v="0"/>
    <x v="0"/>
  </r>
  <r>
    <n v="66.8"/>
    <n v="0.56999999999999995"/>
    <n v="98.4"/>
    <m/>
    <x v="3"/>
    <d v="2023-01-19T00:00:00"/>
    <m/>
    <x v="3"/>
    <x v="2"/>
  </r>
  <r>
    <n v="45.6"/>
    <n v="1.1200000000000001"/>
    <n v="73.180000000000007"/>
    <m/>
    <x v="0"/>
    <m/>
    <n v="30"/>
    <x v="2"/>
    <x v="1"/>
  </r>
  <r>
    <n v="42.4"/>
    <n v="1.48"/>
    <n v="74.64"/>
    <m/>
    <x v="2"/>
    <m/>
    <m/>
    <x v="0"/>
    <x v="1"/>
  </r>
  <r>
    <n v="47.2"/>
    <n v="0.69"/>
    <n v="98.34"/>
    <m/>
    <x v="2"/>
    <d v="2023-08-21T00:00:00"/>
    <m/>
    <x v="2"/>
    <x v="0"/>
  </r>
  <r>
    <n v="63.8"/>
    <n v="1.29"/>
    <n v="92.1"/>
    <m/>
    <x v="0"/>
    <m/>
    <m/>
    <x v="2"/>
    <x v="3"/>
  </r>
  <r>
    <n v="41"/>
    <n v="1.41"/>
    <n v="96.49"/>
    <m/>
    <x v="0"/>
    <m/>
    <m/>
    <x v="3"/>
    <x v="2"/>
  </r>
  <r>
    <n v="57.5"/>
    <n v="1.44"/>
    <n v="76.08"/>
    <d v="2023-08-03T00:00:00"/>
    <x v="0"/>
    <m/>
    <n v="28"/>
    <x v="2"/>
    <x v="2"/>
  </r>
  <r>
    <n v="69.900000000000006"/>
    <n v="1.46"/>
    <n v="87.63"/>
    <m/>
    <x v="1"/>
    <m/>
    <m/>
    <x v="4"/>
    <x v="3"/>
  </r>
  <r>
    <n v="65.7"/>
    <n v="1.02"/>
    <n v="91.03"/>
    <m/>
    <x v="1"/>
    <m/>
    <m/>
    <x v="4"/>
    <x v="2"/>
  </r>
  <r>
    <n v="55.6"/>
    <n v="1.48"/>
    <n v="90.4"/>
    <m/>
    <x v="3"/>
    <d v="2023-05-18T00:00:00"/>
    <m/>
    <x v="1"/>
    <x v="2"/>
  </r>
  <r>
    <n v="41.9"/>
    <n v="1.26"/>
    <n v="82.24"/>
    <m/>
    <x v="2"/>
    <d v="2023-10-28T00:00:00"/>
    <m/>
    <x v="3"/>
    <x v="2"/>
  </r>
  <r>
    <n v="64.900000000000006"/>
    <n v="0.66"/>
    <n v="70.459999999999994"/>
    <m/>
    <x v="2"/>
    <d v="2023-08-01T00:00:00"/>
    <m/>
    <x v="1"/>
    <x v="0"/>
  </r>
  <r>
    <n v="58"/>
    <n v="0.98"/>
    <n v="87.49"/>
    <m/>
    <x v="2"/>
    <m/>
    <m/>
    <x v="4"/>
    <x v="1"/>
  </r>
  <r>
    <n v="43.4"/>
    <n v="1.22"/>
    <n v="77.59"/>
    <d v="2023-06-28T00:00:00"/>
    <x v="1"/>
    <d v="2023-04-25T00:00:00"/>
    <m/>
    <x v="1"/>
    <x v="1"/>
  </r>
  <r>
    <n v="42.8"/>
    <n v="0.75"/>
    <n v="83.51"/>
    <d v="2023-09-08T00:00:00"/>
    <x v="0"/>
    <m/>
    <n v="69"/>
    <x v="3"/>
    <x v="3"/>
  </r>
  <r>
    <n v="67.3"/>
    <n v="1.1399999999999999"/>
    <n v="98.73"/>
    <m/>
    <x v="3"/>
    <m/>
    <m/>
    <x v="3"/>
    <x v="0"/>
  </r>
  <r>
    <n v="60.1"/>
    <n v="1.17"/>
    <n v="81.97"/>
    <d v="2023-04-18T00:00:00"/>
    <x v="0"/>
    <m/>
    <m/>
    <x v="2"/>
    <x v="3"/>
  </r>
  <r>
    <n v="64.900000000000006"/>
    <n v="0.66"/>
    <n v="95.19"/>
    <d v="2023-01-22T00:00:00"/>
    <x v="2"/>
    <m/>
    <m/>
    <x v="0"/>
    <x v="0"/>
  </r>
  <r>
    <n v="66.400000000000006"/>
    <n v="1.07"/>
    <n v="75.66"/>
    <d v="2023-11-13T00:00:00"/>
    <x v="3"/>
    <m/>
    <n v="42"/>
    <x v="2"/>
    <x v="1"/>
  </r>
  <r>
    <n v="57.2"/>
    <n v="1.27"/>
    <n v="90.17"/>
    <d v="2023-02-06T00:00:00"/>
    <x v="2"/>
    <d v="2023-05-02T00:00:00"/>
    <n v="58"/>
    <x v="3"/>
    <x v="2"/>
  </r>
  <r>
    <n v="55.5"/>
    <n v="1"/>
    <n v="99.31"/>
    <m/>
    <x v="3"/>
    <m/>
    <m/>
    <x v="4"/>
    <x v="1"/>
  </r>
  <r>
    <n v="52.9"/>
    <n v="0.51"/>
    <n v="73.06"/>
    <m/>
    <x v="3"/>
    <m/>
    <n v="44"/>
    <x v="4"/>
    <x v="2"/>
  </r>
  <r>
    <n v="49.5"/>
    <n v="0.51"/>
    <n v="70.25"/>
    <m/>
    <x v="3"/>
    <d v="2023-07-06T00:00:00"/>
    <m/>
    <x v="2"/>
    <x v="1"/>
  </r>
  <r>
    <n v="53"/>
    <n v="0.86"/>
    <n v="83.01"/>
    <d v="2023-08-06T00:00:00"/>
    <x v="1"/>
    <d v="2023-01-08T00:00:00"/>
    <m/>
    <x v="3"/>
    <x v="0"/>
  </r>
  <r>
    <n v="63.2"/>
    <n v="1.43"/>
    <n v="72.78"/>
    <m/>
    <x v="3"/>
    <m/>
    <m/>
    <x v="4"/>
    <x v="1"/>
  </r>
  <r>
    <n v="58.1"/>
    <n v="0.73"/>
    <n v="92.45"/>
    <m/>
    <x v="2"/>
    <m/>
    <m/>
    <x v="3"/>
    <x v="0"/>
  </r>
  <r>
    <n v="66.8"/>
    <n v="1.1299999999999999"/>
    <n v="97.44"/>
    <d v="2023-03-20T00:00:00"/>
    <x v="2"/>
    <m/>
    <m/>
    <x v="4"/>
    <x v="1"/>
  </r>
  <r>
    <n v="53.3"/>
    <n v="0.72"/>
    <n v="83.02"/>
    <m/>
    <x v="3"/>
    <m/>
    <m/>
    <x v="3"/>
    <x v="3"/>
  </r>
  <r>
    <n v="58.2"/>
    <n v="0.82"/>
    <n v="77.760000000000005"/>
    <m/>
    <x v="0"/>
    <d v="2023-11-19T00:00:00"/>
    <m/>
    <x v="1"/>
    <x v="2"/>
  </r>
  <r>
    <n v="58.9"/>
    <n v="1.35"/>
    <n v="83.03"/>
    <m/>
    <x v="1"/>
    <m/>
    <n v="53"/>
    <x v="3"/>
    <x v="0"/>
  </r>
  <r>
    <n v="57.8"/>
    <n v="1.23"/>
    <n v="91.7"/>
    <m/>
    <x v="0"/>
    <m/>
    <n v="20"/>
    <x v="3"/>
    <x v="1"/>
  </r>
  <r>
    <n v="61.1"/>
    <n v="0.6"/>
    <n v="70.27"/>
    <m/>
    <x v="0"/>
    <m/>
    <m/>
    <x v="2"/>
    <x v="3"/>
  </r>
  <r>
    <n v="47.1"/>
    <n v="0.93"/>
    <n v="87.68"/>
    <m/>
    <x v="2"/>
    <d v="2023-02-13T00:00:00"/>
    <m/>
    <x v="1"/>
    <x v="3"/>
  </r>
  <r>
    <n v="55.4"/>
    <n v="0.53"/>
    <n v="88.4"/>
    <m/>
    <x v="3"/>
    <m/>
    <m/>
    <x v="0"/>
    <x v="0"/>
  </r>
  <r>
    <n v="43.1"/>
    <n v="0.98"/>
    <n v="89.13"/>
    <m/>
    <x v="0"/>
    <m/>
    <m/>
    <x v="2"/>
    <x v="2"/>
  </r>
  <r>
    <n v="51.5"/>
    <n v="1.1599999999999999"/>
    <n v="77.260000000000005"/>
    <m/>
    <x v="0"/>
    <m/>
    <m/>
    <x v="0"/>
    <x v="0"/>
  </r>
  <r>
    <n v="54.6"/>
    <n v="0.62"/>
    <n v="91.42"/>
    <d v="2023-03-23T00:00:00"/>
    <x v="2"/>
    <m/>
    <m/>
    <x v="4"/>
    <x v="0"/>
  </r>
  <r>
    <n v="59.6"/>
    <n v="0.79"/>
    <n v="72.739999999999995"/>
    <m/>
    <x v="1"/>
    <d v="2023-02-16T00:00:00"/>
    <m/>
    <x v="0"/>
    <x v="2"/>
  </r>
  <r>
    <n v="68.5"/>
    <n v="0.9"/>
    <n v="75.98"/>
    <m/>
    <x v="0"/>
    <m/>
    <m/>
    <x v="3"/>
    <x v="1"/>
  </r>
  <r>
    <n v="58"/>
    <n v="1.42"/>
    <n v="96.32"/>
    <m/>
    <x v="1"/>
    <m/>
    <m/>
    <x v="0"/>
    <x v="2"/>
  </r>
  <r>
    <n v="62.3"/>
    <n v="1.49"/>
    <n v="92.16"/>
    <m/>
    <x v="2"/>
    <d v="2023-06-04T00:00:00"/>
    <m/>
    <x v="2"/>
    <x v="1"/>
  </r>
  <r>
    <n v="55.2"/>
    <n v="0.54"/>
    <n v="70.41"/>
    <m/>
    <x v="3"/>
    <d v="2023-10-27T00:00:00"/>
    <m/>
    <x v="2"/>
    <x v="2"/>
  </r>
  <r>
    <n v="59"/>
    <n v="1.26"/>
    <n v="77.45"/>
    <m/>
    <x v="1"/>
    <m/>
    <n v="81"/>
    <x v="0"/>
    <x v="0"/>
  </r>
  <r>
    <n v="42.1"/>
    <n v="0.87"/>
    <n v="76.430000000000007"/>
    <m/>
    <x v="2"/>
    <m/>
    <m/>
    <x v="2"/>
    <x v="0"/>
  </r>
  <r>
    <n v="47.6"/>
    <n v="0.89"/>
    <n v="78.12"/>
    <d v="2023-12-03T00:00:00"/>
    <x v="3"/>
    <m/>
    <n v="87"/>
    <x v="2"/>
    <x v="1"/>
  </r>
  <r>
    <n v="50.9"/>
    <n v="1.25"/>
    <n v="77.430000000000007"/>
    <m/>
    <x v="0"/>
    <m/>
    <m/>
    <x v="0"/>
    <x v="0"/>
  </r>
  <r>
    <n v="54.2"/>
    <n v="1.42"/>
    <n v="71.88"/>
    <m/>
    <x v="1"/>
    <d v="2023-09-14T00:00:00"/>
    <m/>
    <x v="1"/>
    <x v="0"/>
  </r>
  <r>
    <n v="41.4"/>
    <n v="1.45"/>
    <n v="83.77"/>
    <m/>
    <x v="2"/>
    <m/>
    <m/>
    <x v="1"/>
    <x v="1"/>
  </r>
  <r>
    <n v="44.2"/>
    <n v="1.08"/>
    <n v="91.98"/>
    <d v="2023-04-22T00:00:00"/>
    <x v="3"/>
    <m/>
    <m/>
    <x v="4"/>
    <x v="1"/>
  </r>
  <r>
    <n v="48.3"/>
    <n v="0.86"/>
    <n v="88.2"/>
    <d v="2023-08-23T00:00:00"/>
    <x v="0"/>
    <d v="2023-08-09T00:00:00"/>
    <n v="83"/>
    <x v="2"/>
    <x v="3"/>
  </r>
  <r>
    <n v="69.099999999999994"/>
    <n v="1.29"/>
    <n v="90.19"/>
    <m/>
    <x v="0"/>
    <m/>
    <n v="75"/>
    <x v="0"/>
    <x v="2"/>
  </r>
  <r>
    <n v="49.9"/>
    <n v="0.75"/>
    <n v="72.430000000000007"/>
    <m/>
    <x v="3"/>
    <m/>
    <n v="55"/>
    <x v="2"/>
    <x v="2"/>
  </r>
  <r>
    <n v="54.5"/>
    <n v="1.06"/>
    <n v="98.54"/>
    <m/>
    <x v="2"/>
    <m/>
    <m/>
    <x v="3"/>
    <x v="0"/>
  </r>
  <r>
    <n v="45.9"/>
    <n v="0.86"/>
    <n v="95.15"/>
    <m/>
    <x v="3"/>
    <m/>
    <m/>
    <x v="2"/>
    <x v="0"/>
  </r>
  <r>
    <n v="58.3"/>
    <n v="1.1599999999999999"/>
    <n v="94.15"/>
    <m/>
    <x v="3"/>
    <d v="2023-02-17T00:00:00"/>
    <n v="18"/>
    <x v="2"/>
    <x v="3"/>
  </r>
  <r>
    <n v="48.4"/>
    <n v="0.74"/>
    <n v="94.69"/>
    <d v="2023-10-14T00:00:00"/>
    <x v="3"/>
    <m/>
    <n v="12"/>
    <x v="1"/>
    <x v="2"/>
  </r>
  <r>
    <n v="46.2"/>
    <n v="0.69"/>
    <n v="97.98"/>
    <m/>
    <x v="3"/>
    <m/>
    <m/>
    <x v="0"/>
    <x v="0"/>
  </r>
  <r>
    <n v="55.5"/>
    <n v="1.42"/>
    <n v="86.33"/>
    <d v="2023-10-24T00:00:00"/>
    <x v="2"/>
    <m/>
    <m/>
    <x v="2"/>
    <x v="3"/>
  </r>
  <r>
    <n v="40.200000000000003"/>
    <n v="0.6"/>
    <n v="76.010000000000005"/>
    <m/>
    <x v="0"/>
    <d v="2023-04-18T00:00:00"/>
    <m/>
    <x v="1"/>
    <x v="1"/>
  </r>
  <r>
    <n v="40.200000000000003"/>
    <n v="1.01"/>
    <n v="88.5"/>
    <d v="2023-04-13T00:00:00"/>
    <x v="3"/>
    <d v="2023-01-01T00:00:00"/>
    <m/>
    <x v="4"/>
    <x v="1"/>
  </r>
  <r>
    <n v="46.6"/>
    <n v="0.72"/>
    <n v="92.29"/>
    <d v="2023-12-15T00:00:00"/>
    <x v="1"/>
    <m/>
    <m/>
    <x v="1"/>
    <x v="2"/>
  </r>
  <r>
    <n v="41.1"/>
    <n v="0.54"/>
    <n v="92.14"/>
    <m/>
    <x v="1"/>
    <m/>
    <m/>
    <x v="1"/>
    <x v="0"/>
  </r>
  <r>
    <n v="43.2"/>
    <n v="0.54"/>
    <n v="85.64"/>
    <m/>
    <x v="0"/>
    <m/>
    <m/>
    <x v="1"/>
    <x v="3"/>
  </r>
  <r>
    <n v="50.2"/>
    <n v="0.68"/>
    <n v="72.05"/>
    <d v="2023-01-25T00:00:00"/>
    <x v="3"/>
    <m/>
    <m/>
    <x v="2"/>
    <x v="1"/>
  </r>
  <r>
    <n v="64.099999999999994"/>
    <n v="1.37"/>
    <n v="81.13"/>
    <m/>
    <x v="2"/>
    <m/>
    <m/>
    <x v="2"/>
    <x v="3"/>
  </r>
  <r>
    <n v="57.2"/>
    <n v="0.78"/>
    <n v="97.62"/>
    <d v="2023-09-25T00:00:00"/>
    <x v="3"/>
    <m/>
    <n v="35"/>
    <x v="4"/>
    <x v="3"/>
  </r>
  <r>
    <n v="55.4"/>
    <n v="1.45"/>
    <n v="87.53"/>
    <m/>
    <x v="3"/>
    <m/>
    <m/>
    <x v="3"/>
    <x v="1"/>
  </r>
  <r>
    <n v="48.8"/>
    <n v="1.08"/>
    <n v="86.15"/>
    <m/>
    <x v="0"/>
    <m/>
    <n v="81"/>
    <x v="3"/>
    <x v="3"/>
  </r>
  <r>
    <n v="68"/>
    <n v="0.94"/>
    <n v="78.069999999999993"/>
    <m/>
    <x v="0"/>
    <d v="2023-01-05T00:00:00"/>
    <m/>
    <x v="3"/>
    <x v="3"/>
  </r>
  <r>
    <n v="51.9"/>
    <n v="1.08"/>
    <n v="81.05"/>
    <d v="2023-04-18T00:00:00"/>
    <x v="3"/>
    <d v="2023-03-01T00:00:00"/>
    <m/>
    <x v="4"/>
    <x v="1"/>
  </r>
  <r>
    <n v="42.6"/>
    <n v="1.02"/>
    <n v="96.86"/>
    <m/>
    <x v="1"/>
    <m/>
    <m/>
    <x v="3"/>
    <x v="3"/>
  </r>
  <r>
    <n v="58.5"/>
    <n v="1.26"/>
    <n v="89.99"/>
    <m/>
    <x v="1"/>
    <m/>
    <m/>
    <x v="3"/>
    <x v="3"/>
  </r>
  <r>
    <n v="43.4"/>
    <n v="0.78"/>
    <n v="93.62"/>
    <m/>
    <x v="1"/>
    <m/>
    <m/>
    <x v="1"/>
    <x v="0"/>
  </r>
  <r>
    <n v="50.4"/>
    <n v="0.85"/>
    <n v="83.63"/>
    <m/>
    <x v="1"/>
    <m/>
    <n v="57"/>
    <x v="2"/>
    <x v="0"/>
  </r>
  <r>
    <n v="55.2"/>
    <n v="1.39"/>
    <n v="88.91"/>
    <m/>
    <x v="2"/>
    <d v="2023-05-05T00:00:00"/>
    <m/>
    <x v="2"/>
    <x v="3"/>
  </r>
  <r>
    <n v="66.2"/>
    <n v="1.45"/>
    <n v="77.45"/>
    <m/>
    <x v="0"/>
    <m/>
    <n v="75"/>
    <x v="1"/>
    <x v="3"/>
  </r>
  <r>
    <n v="54.8"/>
    <n v="1.39"/>
    <n v="91.16"/>
    <m/>
    <x v="1"/>
    <m/>
    <n v="79"/>
    <x v="1"/>
    <x v="1"/>
  </r>
  <r>
    <n v="61.1"/>
    <n v="0.92"/>
    <n v="82.83"/>
    <m/>
    <x v="2"/>
    <m/>
    <m/>
    <x v="1"/>
    <x v="1"/>
  </r>
  <r>
    <n v="69.8"/>
    <n v="1.28"/>
    <n v="83.28"/>
    <m/>
    <x v="3"/>
    <d v="2023-07-26T00:00:00"/>
    <n v="37"/>
    <x v="2"/>
    <x v="3"/>
  </r>
  <r>
    <n v="43.9"/>
    <n v="0.98"/>
    <n v="89.48"/>
    <d v="2023-07-14T00:00:00"/>
    <x v="0"/>
    <m/>
    <n v="35"/>
    <x v="3"/>
    <x v="1"/>
  </r>
  <r>
    <n v="48.2"/>
    <n v="1"/>
    <n v="98.09"/>
    <m/>
    <x v="0"/>
    <m/>
    <m/>
    <x v="1"/>
    <x v="2"/>
  </r>
  <r>
    <n v="51.8"/>
    <n v="0.7"/>
    <n v="71.92"/>
    <d v="2023-02-18T00:00:00"/>
    <x v="2"/>
    <m/>
    <n v="34"/>
    <x v="4"/>
    <x v="3"/>
  </r>
  <r>
    <n v="52.7"/>
    <n v="1.0900000000000001"/>
    <n v="94.74"/>
    <m/>
    <x v="2"/>
    <d v="2023-05-28T00:00:00"/>
    <n v="21"/>
    <x v="1"/>
    <x v="1"/>
  </r>
  <r>
    <n v="52.3"/>
    <n v="0.69"/>
    <n v="78.77"/>
    <m/>
    <x v="1"/>
    <m/>
    <m/>
    <x v="0"/>
    <x v="1"/>
  </r>
  <r>
    <n v="67.2"/>
    <n v="0.83"/>
    <n v="83.32"/>
    <m/>
    <x v="1"/>
    <m/>
    <m/>
    <x v="1"/>
    <x v="0"/>
  </r>
  <r>
    <n v="61.4"/>
    <n v="1.36"/>
    <n v="70.66"/>
    <m/>
    <x v="2"/>
    <m/>
    <n v="14"/>
    <x v="2"/>
    <x v="3"/>
  </r>
  <r>
    <n v="58.2"/>
    <n v="0.71"/>
    <n v="79.03"/>
    <m/>
    <x v="2"/>
    <d v="2023-09-17T00:00:00"/>
    <m/>
    <x v="1"/>
    <x v="2"/>
  </r>
  <r>
    <n v="49.3"/>
    <n v="0.56999999999999995"/>
    <n v="85.08"/>
    <m/>
    <x v="0"/>
    <m/>
    <m/>
    <x v="0"/>
    <x v="2"/>
  </r>
  <r>
    <n v="64.7"/>
    <n v="0.56999999999999995"/>
    <n v="71.69"/>
    <m/>
    <x v="2"/>
    <m/>
    <m/>
    <x v="4"/>
    <x v="2"/>
  </r>
  <r>
    <n v="68.7"/>
    <n v="1.44"/>
    <n v="84.73"/>
    <m/>
    <x v="2"/>
    <m/>
    <n v="57"/>
    <x v="3"/>
    <x v="1"/>
  </r>
  <r>
    <n v="64.599999999999994"/>
    <n v="1.01"/>
    <n v="97.81"/>
    <d v="2023-08-07T00:00:00"/>
    <x v="1"/>
    <m/>
    <n v="46"/>
    <x v="1"/>
    <x v="0"/>
  </r>
  <r>
    <n v="40"/>
    <n v="0.91"/>
    <n v="73.16"/>
    <d v="2023-06-18T00:00:00"/>
    <x v="0"/>
    <d v="2023-11-07T00:00:00"/>
    <m/>
    <x v="0"/>
    <x v="3"/>
  </r>
  <r>
    <n v="59.1"/>
    <n v="1.31"/>
    <n v="92.93"/>
    <d v="2023-05-01T00:00:00"/>
    <x v="2"/>
    <d v="2023-02-16T00:00:00"/>
    <m/>
    <x v="0"/>
    <x v="1"/>
  </r>
  <r>
    <n v="41.5"/>
    <n v="1.34"/>
    <n v="82.29"/>
    <m/>
    <x v="1"/>
    <m/>
    <m/>
    <x v="4"/>
    <x v="3"/>
  </r>
  <r>
    <n v="47.7"/>
    <n v="0.83"/>
    <n v="89.66"/>
    <m/>
    <x v="1"/>
    <d v="2023-08-26T00:00:00"/>
    <n v="88"/>
    <x v="2"/>
    <x v="1"/>
  </r>
  <r>
    <n v="41.8"/>
    <n v="1.19"/>
    <n v="77.81"/>
    <m/>
    <x v="1"/>
    <m/>
    <m/>
    <x v="1"/>
    <x v="2"/>
  </r>
  <r>
    <n v="58.1"/>
    <n v="1.27"/>
    <n v="74.78"/>
    <d v="2023-10-06T00:00:00"/>
    <x v="2"/>
    <m/>
    <m/>
    <x v="0"/>
    <x v="0"/>
  </r>
  <r>
    <n v="60.6"/>
    <n v="1.1499999999999999"/>
    <n v="74.81"/>
    <m/>
    <x v="1"/>
    <m/>
    <m/>
    <x v="4"/>
    <x v="1"/>
  </r>
  <r>
    <n v="43.4"/>
    <n v="0.65"/>
    <n v="72.11"/>
    <d v="2023-06-01T00:00:00"/>
    <x v="2"/>
    <m/>
    <m/>
    <x v="3"/>
    <x v="3"/>
  </r>
  <r>
    <n v="51.5"/>
    <n v="1.38"/>
    <n v="75.569999999999993"/>
    <m/>
    <x v="2"/>
    <m/>
    <m/>
    <x v="0"/>
    <x v="0"/>
  </r>
  <r>
    <n v="53.7"/>
    <n v="1.04"/>
    <n v="89.93"/>
    <m/>
    <x v="0"/>
    <d v="2023-04-18T00:00:00"/>
    <n v="53"/>
    <x v="4"/>
    <x v="1"/>
  </r>
  <r>
    <n v="51.1"/>
    <n v="0.78"/>
    <n v="96.45"/>
    <d v="2023-09-23T00:00:00"/>
    <x v="2"/>
    <m/>
    <m/>
    <x v="2"/>
    <x v="2"/>
  </r>
  <r>
    <n v="43.6"/>
    <n v="0.93"/>
    <n v="94.42"/>
    <m/>
    <x v="3"/>
    <d v="2023-10-07T00:00:00"/>
    <m/>
    <x v="2"/>
    <x v="3"/>
  </r>
  <r>
    <n v="52.6"/>
    <n v="0.54"/>
    <n v="90.55"/>
    <m/>
    <x v="3"/>
    <m/>
    <n v="24"/>
    <x v="0"/>
    <x v="3"/>
  </r>
  <r>
    <n v="62.5"/>
    <n v="0.63"/>
    <n v="73.31"/>
    <m/>
    <x v="0"/>
    <d v="2023-05-13T00:00:00"/>
    <m/>
    <x v="0"/>
    <x v="1"/>
  </r>
  <r>
    <n v="42.1"/>
    <n v="1.27"/>
    <n v="78.680000000000007"/>
    <m/>
    <x v="2"/>
    <m/>
    <n v="52"/>
    <x v="1"/>
    <x v="2"/>
  </r>
  <r>
    <n v="42.4"/>
    <n v="0.5"/>
    <n v="79.290000000000006"/>
    <d v="2023-12-17T00:00:00"/>
    <x v="1"/>
    <m/>
    <n v="57"/>
    <x v="4"/>
    <x v="0"/>
  </r>
  <r>
    <n v="50.6"/>
    <n v="0.92"/>
    <n v="77.5"/>
    <d v="2023-06-17T00:00:00"/>
    <x v="0"/>
    <m/>
    <m/>
    <x v="0"/>
    <x v="3"/>
  </r>
  <r>
    <n v="68.3"/>
    <n v="1.02"/>
    <n v="85.45"/>
    <d v="2023-08-26T00:00:00"/>
    <x v="0"/>
    <m/>
    <m/>
    <x v="1"/>
    <x v="0"/>
  </r>
  <r>
    <n v="60.1"/>
    <n v="0.55000000000000004"/>
    <n v="86.07"/>
    <d v="2023-10-21T00:00:00"/>
    <x v="2"/>
    <m/>
    <m/>
    <x v="1"/>
    <x v="1"/>
  </r>
  <r>
    <n v="60.4"/>
    <n v="1.47"/>
    <n v="80.709999999999994"/>
    <d v="2023-11-20T00:00:00"/>
    <x v="3"/>
    <d v="2023-08-09T00:00:00"/>
    <m/>
    <x v="0"/>
    <x v="3"/>
  </r>
  <r>
    <n v="50.9"/>
    <n v="0.73"/>
    <n v="80.61"/>
    <d v="2023-01-25T00:00:00"/>
    <x v="2"/>
    <d v="2023-03-14T00:00:00"/>
    <n v="79"/>
    <x v="2"/>
    <x v="2"/>
  </r>
  <r>
    <n v="57.8"/>
    <n v="0.8"/>
    <n v="94.86"/>
    <d v="2023-07-26T00:00:00"/>
    <x v="2"/>
    <m/>
    <m/>
    <x v="4"/>
    <x v="3"/>
  </r>
  <r>
    <n v="40.299999999999997"/>
    <n v="0.8"/>
    <n v="93.68"/>
    <d v="2023-12-24T00:00:00"/>
    <x v="0"/>
    <d v="2023-10-10T00:00:00"/>
    <m/>
    <x v="4"/>
    <x v="2"/>
  </r>
  <r>
    <n v="59.1"/>
    <n v="0.73"/>
    <n v="79.23"/>
    <d v="2023-11-15T00:00:00"/>
    <x v="0"/>
    <m/>
    <m/>
    <x v="2"/>
    <x v="3"/>
  </r>
  <r>
    <n v="67.400000000000006"/>
    <n v="0.5"/>
    <n v="97.41"/>
    <m/>
    <x v="2"/>
    <m/>
    <m/>
    <x v="0"/>
    <x v="0"/>
  </r>
  <r>
    <n v="58.4"/>
    <n v="1.23"/>
    <n v="98.58"/>
    <m/>
    <x v="0"/>
    <m/>
    <m/>
    <x v="4"/>
    <x v="3"/>
  </r>
  <r>
    <n v="66.2"/>
    <n v="1.47"/>
    <n v="79.8"/>
    <m/>
    <x v="2"/>
    <m/>
    <m/>
    <x v="0"/>
    <x v="3"/>
  </r>
  <r>
    <n v="61.7"/>
    <n v="0.72"/>
    <n v="80.63"/>
    <d v="2023-06-19T00:00:00"/>
    <x v="1"/>
    <m/>
    <m/>
    <x v="0"/>
    <x v="0"/>
  </r>
  <r>
    <n v="43.6"/>
    <n v="1.1599999999999999"/>
    <n v="85.17"/>
    <m/>
    <x v="3"/>
    <m/>
    <n v="55"/>
    <x v="1"/>
    <x v="2"/>
  </r>
  <r>
    <n v="67.099999999999994"/>
    <n v="1.24"/>
    <n v="98.23"/>
    <m/>
    <x v="2"/>
    <m/>
    <m/>
    <x v="2"/>
    <x v="3"/>
  </r>
  <r>
    <n v="42"/>
    <n v="1.35"/>
    <n v="96.29"/>
    <m/>
    <x v="0"/>
    <d v="2023-04-13T00:00:00"/>
    <m/>
    <x v="0"/>
    <x v="0"/>
  </r>
  <r>
    <n v="56"/>
    <n v="0.92"/>
    <n v="73.08"/>
    <m/>
    <x v="3"/>
    <d v="2023-08-18T00:00:00"/>
    <m/>
    <x v="3"/>
    <x v="3"/>
  </r>
  <r>
    <n v="44.3"/>
    <n v="0.8"/>
    <n v="81.78"/>
    <d v="2023-01-18T00:00:00"/>
    <x v="2"/>
    <d v="2023-05-01T00:00:00"/>
    <m/>
    <x v="2"/>
    <x v="3"/>
  </r>
  <r>
    <n v="40.4"/>
    <n v="0.83"/>
    <n v="86.6"/>
    <m/>
    <x v="0"/>
    <m/>
    <m/>
    <x v="4"/>
    <x v="2"/>
  </r>
  <r>
    <n v="52.7"/>
    <n v="1.21"/>
    <n v="85.09"/>
    <m/>
    <x v="3"/>
    <m/>
    <m/>
    <x v="1"/>
    <x v="0"/>
  </r>
  <r>
    <n v="48.9"/>
    <n v="1.32"/>
    <n v="75.819999999999993"/>
    <d v="2023-01-16T00:00:00"/>
    <x v="3"/>
    <d v="2023-05-08T00:00:00"/>
    <m/>
    <x v="4"/>
    <x v="3"/>
  </r>
  <r>
    <n v="54.6"/>
    <n v="0.68"/>
    <n v="95.76"/>
    <m/>
    <x v="0"/>
    <m/>
    <m/>
    <x v="4"/>
    <x v="1"/>
  </r>
  <r>
    <n v="57.3"/>
    <n v="0.87"/>
    <n v="90.31"/>
    <d v="2023-08-11T00:00:00"/>
    <x v="2"/>
    <d v="2023-12-07T00:00:00"/>
    <m/>
    <x v="2"/>
    <x v="3"/>
  </r>
  <r>
    <n v="41.3"/>
    <n v="1.4"/>
    <n v="95.14"/>
    <m/>
    <x v="1"/>
    <m/>
    <m/>
    <x v="4"/>
    <x v="2"/>
  </r>
  <r>
    <n v="43.7"/>
    <n v="1.31"/>
    <n v="95.76"/>
    <m/>
    <x v="2"/>
    <m/>
    <m/>
    <x v="0"/>
    <x v="1"/>
  </r>
  <r>
    <n v="56.8"/>
    <n v="1.48"/>
    <n v="92.45"/>
    <d v="2023-11-12T00:00:00"/>
    <x v="3"/>
    <d v="2023-02-22T00:00:00"/>
    <m/>
    <x v="4"/>
    <x v="2"/>
  </r>
  <r>
    <n v="50.3"/>
    <n v="1.25"/>
    <n v="83.18"/>
    <d v="2023-11-25T00:00:00"/>
    <x v="0"/>
    <m/>
    <m/>
    <x v="1"/>
    <x v="0"/>
  </r>
  <r>
    <n v="61.9"/>
    <n v="0.89"/>
    <n v="88.32"/>
    <m/>
    <x v="3"/>
    <d v="2023-03-16T00:00:00"/>
    <m/>
    <x v="1"/>
    <x v="0"/>
  </r>
  <r>
    <n v="59.6"/>
    <n v="1.0900000000000001"/>
    <n v="74.81"/>
    <m/>
    <x v="2"/>
    <m/>
    <m/>
    <x v="3"/>
    <x v="1"/>
  </r>
  <r>
    <n v="65.400000000000006"/>
    <n v="1.1599999999999999"/>
    <n v="90.21"/>
    <d v="2023-01-11T00:00:00"/>
    <x v="1"/>
    <m/>
    <m/>
    <x v="1"/>
    <x v="1"/>
  </r>
  <r>
    <n v="60.8"/>
    <n v="0.57999999999999996"/>
    <n v="75.38"/>
    <m/>
    <x v="1"/>
    <m/>
    <m/>
    <x v="4"/>
    <x v="0"/>
  </r>
  <r>
    <n v="52.9"/>
    <n v="1.04"/>
    <n v="90.82"/>
    <m/>
    <x v="2"/>
    <m/>
    <m/>
    <x v="1"/>
    <x v="3"/>
  </r>
  <r>
    <n v="60.2"/>
    <n v="1.21"/>
    <n v="76.89"/>
    <m/>
    <x v="1"/>
    <m/>
    <m/>
    <x v="2"/>
    <x v="1"/>
  </r>
  <r>
    <n v="48.3"/>
    <n v="0.67"/>
    <n v="73.53"/>
    <m/>
    <x v="1"/>
    <m/>
    <m/>
    <x v="1"/>
    <x v="3"/>
  </r>
  <r>
    <n v="49.2"/>
    <n v="1.28"/>
    <n v="74.959999999999994"/>
    <m/>
    <x v="3"/>
    <d v="2023-02-01T00:00:00"/>
    <n v="52"/>
    <x v="0"/>
    <x v="3"/>
  </r>
  <r>
    <n v="63.7"/>
    <n v="1.08"/>
    <n v="70.06"/>
    <d v="2023-06-19T00:00:00"/>
    <x v="3"/>
    <m/>
    <n v="30"/>
    <x v="2"/>
    <x v="0"/>
  </r>
  <r>
    <n v="53.4"/>
    <n v="1.45"/>
    <n v="91.56"/>
    <m/>
    <x v="1"/>
    <m/>
    <m/>
    <x v="3"/>
    <x v="2"/>
  </r>
  <r>
    <n v="64"/>
    <n v="0.54"/>
    <n v="91.97"/>
    <d v="2023-11-27T00:00:00"/>
    <x v="0"/>
    <d v="2023-08-27T00:00:00"/>
    <m/>
    <x v="0"/>
    <x v="2"/>
  </r>
  <r>
    <n v="64.7"/>
    <n v="0.77"/>
    <n v="85.45"/>
    <m/>
    <x v="1"/>
    <m/>
    <m/>
    <x v="4"/>
    <x v="2"/>
  </r>
  <r>
    <n v="65.7"/>
    <n v="1.1000000000000001"/>
    <n v="74.84"/>
    <m/>
    <x v="2"/>
    <m/>
    <m/>
    <x v="4"/>
    <x v="1"/>
  </r>
  <r>
    <n v="67.5"/>
    <n v="0.8"/>
    <n v="72.510000000000005"/>
    <d v="2023-11-09T00:00:00"/>
    <x v="1"/>
    <m/>
    <n v="32"/>
    <x v="4"/>
    <x v="1"/>
  </r>
  <r>
    <n v="52.9"/>
    <n v="1.21"/>
    <n v="70.569999999999993"/>
    <m/>
    <x v="1"/>
    <m/>
    <m/>
    <x v="0"/>
    <x v="0"/>
  </r>
  <r>
    <n v="49.6"/>
    <n v="1.26"/>
    <n v="74.97"/>
    <d v="2023-04-12T00:00:00"/>
    <x v="1"/>
    <m/>
    <m/>
    <x v="0"/>
    <x v="3"/>
  </r>
  <r>
    <n v="57.5"/>
    <n v="0.6"/>
    <n v="96.73"/>
    <d v="2023-08-21T00:00:00"/>
    <x v="3"/>
    <d v="2023-02-28T00:00:00"/>
    <m/>
    <x v="0"/>
    <x v="1"/>
  </r>
  <r>
    <n v="51.1"/>
    <n v="1.01"/>
    <n v="77.25"/>
    <m/>
    <x v="3"/>
    <m/>
    <n v="89"/>
    <x v="2"/>
    <x v="1"/>
  </r>
  <r>
    <n v="58"/>
    <n v="1.01"/>
    <n v="80.63"/>
    <m/>
    <x v="0"/>
    <m/>
    <m/>
    <x v="2"/>
    <x v="0"/>
  </r>
  <r>
    <n v="61.2"/>
    <n v="0.87"/>
    <n v="73.16"/>
    <m/>
    <x v="0"/>
    <m/>
    <m/>
    <x v="4"/>
    <x v="2"/>
  </r>
  <r>
    <n v="60.7"/>
    <n v="1.43"/>
    <n v="76.67"/>
    <m/>
    <x v="1"/>
    <d v="2023-11-28T00:00:00"/>
    <m/>
    <x v="1"/>
    <x v="1"/>
  </r>
  <r>
    <n v="51.2"/>
    <n v="1.33"/>
    <n v="85.58"/>
    <m/>
    <x v="0"/>
    <d v="2023-12-14T00:00:00"/>
    <m/>
    <x v="4"/>
    <x v="2"/>
  </r>
  <r>
    <n v="45"/>
    <n v="1.2"/>
    <n v="88.23"/>
    <m/>
    <x v="1"/>
    <m/>
    <m/>
    <x v="3"/>
    <x v="2"/>
  </r>
  <r>
    <n v="52.9"/>
    <n v="1.21"/>
    <n v="77.36"/>
    <m/>
    <x v="0"/>
    <d v="2023-05-07T00:00:00"/>
    <m/>
    <x v="2"/>
    <x v="2"/>
  </r>
  <r>
    <n v="44.3"/>
    <n v="0.96"/>
    <n v="71.73"/>
    <m/>
    <x v="1"/>
    <m/>
    <m/>
    <x v="0"/>
    <x v="2"/>
  </r>
  <r>
    <n v="66.7"/>
    <n v="1.42"/>
    <n v="81.73"/>
    <m/>
    <x v="0"/>
    <m/>
    <m/>
    <x v="2"/>
    <x v="0"/>
  </r>
  <r>
    <n v="50.4"/>
    <n v="1.19"/>
    <n v="77.03"/>
    <m/>
    <x v="0"/>
    <m/>
    <n v="56"/>
    <x v="0"/>
    <x v="1"/>
  </r>
  <r>
    <n v="44.6"/>
    <n v="1.23"/>
    <n v="76.59"/>
    <m/>
    <x v="1"/>
    <m/>
    <m/>
    <x v="3"/>
    <x v="0"/>
  </r>
  <r>
    <n v="40.799999999999997"/>
    <n v="1.36"/>
    <n v="98.8"/>
    <m/>
    <x v="1"/>
    <m/>
    <n v="24"/>
    <x v="3"/>
    <x v="3"/>
  </r>
  <r>
    <n v="59.4"/>
    <n v="0.77"/>
    <n v="88.49"/>
    <d v="2023-07-09T00:00:00"/>
    <x v="1"/>
    <d v="2023-10-03T00:00:00"/>
    <n v="34"/>
    <x v="2"/>
    <x v="0"/>
  </r>
  <r>
    <n v="59.1"/>
    <n v="1.31"/>
    <n v="86.71"/>
    <m/>
    <x v="1"/>
    <m/>
    <m/>
    <x v="0"/>
    <x v="0"/>
  </r>
  <r>
    <n v="50.2"/>
    <n v="0.7"/>
    <n v="82.47"/>
    <d v="2023-04-02T00:00:00"/>
    <x v="0"/>
    <m/>
    <n v="45"/>
    <x v="3"/>
    <x v="0"/>
  </r>
  <r>
    <n v="42.2"/>
    <n v="0.85"/>
    <n v="82.87"/>
    <m/>
    <x v="2"/>
    <d v="2023-09-10T00:00:00"/>
    <m/>
    <x v="4"/>
    <x v="0"/>
  </r>
  <r>
    <n v="52.3"/>
    <n v="0.84"/>
    <n v="86.23"/>
    <m/>
    <x v="2"/>
    <m/>
    <n v="84"/>
    <x v="4"/>
    <x v="0"/>
  </r>
  <r>
    <n v="49.3"/>
    <n v="1.48"/>
    <n v="90.89"/>
    <m/>
    <x v="0"/>
    <d v="2023-05-27T00:00:00"/>
    <m/>
    <x v="0"/>
    <x v="2"/>
  </r>
  <r>
    <n v="60.3"/>
    <n v="1.36"/>
    <n v="91.06"/>
    <m/>
    <x v="3"/>
    <d v="2023-05-02T00:00:00"/>
    <m/>
    <x v="2"/>
    <x v="3"/>
  </r>
  <r>
    <n v="58.2"/>
    <n v="1.2"/>
    <n v="75.150000000000006"/>
    <m/>
    <x v="2"/>
    <m/>
    <m/>
    <x v="3"/>
    <x v="0"/>
  </r>
  <r>
    <n v="50.9"/>
    <n v="1.23"/>
    <n v="85"/>
    <m/>
    <x v="0"/>
    <m/>
    <m/>
    <x v="2"/>
    <x v="3"/>
  </r>
  <r>
    <n v="46.5"/>
    <n v="1.06"/>
    <n v="82.36"/>
    <m/>
    <x v="2"/>
    <m/>
    <n v="60"/>
    <x v="4"/>
    <x v="2"/>
  </r>
  <r>
    <n v="69.599999999999994"/>
    <n v="1.45"/>
    <n v="96.12"/>
    <m/>
    <x v="2"/>
    <m/>
    <m/>
    <x v="3"/>
    <x v="1"/>
  </r>
  <r>
    <n v="53.6"/>
    <n v="1"/>
    <n v="88.94"/>
    <m/>
    <x v="1"/>
    <d v="2023-06-08T00:00:00"/>
    <n v="24"/>
    <x v="2"/>
    <x v="3"/>
  </r>
  <r>
    <n v="60.6"/>
    <n v="0.88"/>
    <n v="85.98"/>
    <m/>
    <x v="3"/>
    <m/>
    <m/>
    <x v="1"/>
    <x v="0"/>
  </r>
  <r>
    <n v="44.2"/>
    <n v="0.66"/>
    <n v="73.459999999999994"/>
    <m/>
    <x v="0"/>
    <m/>
    <n v="77"/>
    <x v="0"/>
    <x v="3"/>
  </r>
  <r>
    <n v="54.6"/>
    <n v="1.29"/>
    <n v="88.17"/>
    <m/>
    <x v="2"/>
    <m/>
    <n v="30"/>
    <x v="0"/>
    <x v="2"/>
  </r>
  <r>
    <n v="40.799999999999997"/>
    <n v="1.23"/>
    <n v="73.52"/>
    <m/>
    <x v="2"/>
    <m/>
    <m/>
    <x v="1"/>
    <x v="2"/>
  </r>
  <r>
    <n v="55.2"/>
    <n v="0.88"/>
    <n v="80.12"/>
    <m/>
    <x v="0"/>
    <m/>
    <n v="22"/>
    <x v="4"/>
    <x v="3"/>
  </r>
  <r>
    <n v="68.900000000000006"/>
    <n v="0.53"/>
    <n v="74.290000000000006"/>
    <m/>
    <x v="2"/>
    <m/>
    <n v="28"/>
    <x v="3"/>
    <x v="3"/>
  </r>
  <r>
    <n v="51.5"/>
    <n v="1.34"/>
    <n v="90.76"/>
    <d v="2023-12-27T00:00:00"/>
    <x v="2"/>
    <m/>
    <m/>
    <x v="0"/>
    <x v="3"/>
  </r>
  <r>
    <n v="41.2"/>
    <n v="0.51"/>
    <n v="76.19"/>
    <m/>
    <x v="2"/>
    <d v="2023-05-27T00:00:00"/>
    <m/>
    <x v="1"/>
    <x v="1"/>
  </r>
  <r>
    <n v="40.9"/>
    <n v="1.2"/>
    <n v="81.760000000000005"/>
    <m/>
    <x v="0"/>
    <d v="2023-04-13T00:00:00"/>
    <n v="43"/>
    <x v="1"/>
    <x v="1"/>
  </r>
  <r>
    <n v="51.6"/>
    <n v="1.47"/>
    <n v="96.87"/>
    <m/>
    <x v="3"/>
    <m/>
    <m/>
    <x v="4"/>
    <x v="0"/>
  </r>
  <r>
    <n v="44.8"/>
    <n v="0.94"/>
    <n v="76.13"/>
    <m/>
    <x v="1"/>
    <d v="2023-10-16T00:00:00"/>
    <n v="87"/>
    <x v="4"/>
    <x v="0"/>
  </r>
  <r>
    <n v="40.700000000000003"/>
    <n v="0.73"/>
    <n v="85.23"/>
    <m/>
    <x v="2"/>
    <m/>
    <m/>
    <x v="2"/>
    <x v="2"/>
  </r>
  <r>
    <n v="62.7"/>
    <n v="1.2"/>
    <n v="82.58"/>
    <m/>
    <x v="0"/>
    <m/>
    <n v="77"/>
    <x v="0"/>
    <x v="0"/>
  </r>
  <r>
    <n v="53.8"/>
    <n v="1.32"/>
    <n v="70.540000000000006"/>
    <m/>
    <x v="1"/>
    <m/>
    <n v="61"/>
    <x v="2"/>
    <x v="2"/>
  </r>
  <r>
    <n v="48.7"/>
    <n v="1.05"/>
    <n v="93.78"/>
    <m/>
    <x v="0"/>
    <m/>
    <n v="36"/>
    <x v="1"/>
    <x v="2"/>
  </r>
  <r>
    <n v="67"/>
    <n v="1.47"/>
    <n v="72.069999999999993"/>
    <m/>
    <x v="1"/>
    <m/>
    <n v="38"/>
    <x v="3"/>
    <x v="0"/>
  </r>
  <r>
    <n v="43.5"/>
    <n v="0.55000000000000004"/>
    <n v="84.23"/>
    <m/>
    <x v="2"/>
    <m/>
    <m/>
    <x v="3"/>
    <x v="1"/>
  </r>
  <r>
    <n v="68.7"/>
    <n v="1"/>
    <n v="86.82"/>
    <m/>
    <x v="3"/>
    <m/>
    <m/>
    <x v="4"/>
    <x v="0"/>
  </r>
  <r>
    <n v="49.4"/>
    <n v="1.22"/>
    <n v="88.85"/>
    <m/>
    <x v="1"/>
    <m/>
    <n v="37"/>
    <x v="3"/>
    <x v="0"/>
  </r>
  <r>
    <n v="66.7"/>
    <n v="1.36"/>
    <n v="90.66"/>
    <m/>
    <x v="1"/>
    <d v="2023-07-16T00:00:00"/>
    <m/>
    <x v="3"/>
    <x v="2"/>
  </r>
  <r>
    <n v="58.1"/>
    <n v="0.68"/>
    <n v="77.599999999999994"/>
    <m/>
    <x v="2"/>
    <m/>
    <n v="44"/>
    <x v="3"/>
    <x v="1"/>
  </r>
  <r>
    <n v="64.8"/>
    <n v="1.3"/>
    <n v="70.3"/>
    <d v="2023-09-12T00:00:00"/>
    <x v="1"/>
    <d v="2023-04-11T00:00:00"/>
    <n v="17"/>
    <x v="1"/>
    <x v="0"/>
  </r>
  <r>
    <n v="69.5"/>
    <n v="1.05"/>
    <n v="91.7"/>
    <d v="2023-08-17T00:00:00"/>
    <x v="1"/>
    <m/>
    <m/>
    <x v="3"/>
    <x v="2"/>
  </r>
  <r>
    <n v="48.7"/>
    <n v="0.9"/>
    <n v="86.07"/>
    <d v="2023-06-07T00:00:00"/>
    <x v="3"/>
    <m/>
    <n v="25"/>
    <x v="3"/>
    <x v="0"/>
  </r>
  <r>
    <n v="68.8"/>
    <n v="0.63"/>
    <n v="95.08"/>
    <m/>
    <x v="2"/>
    <d v="2023-09-14T00:00:00"/>
    <n v="45"/>
    <x v="3"/>
    <x v="3"/>
  </r>
  <r>
    <n v="51.7"/>
    <n v="1.37"/>
    <n v="94.64"/>
    <m/>
    <x v="1"/>
    <d v="2023-03-02T00:00:00"/>
    <n v="39"/>
    <x v="2"/>
    <x v="0"/>
  </r>
  <r>
    <n v="51.6"/>
    <n v="0.66"/>
    <n v="95.3"/>
    <m/>
    <x v="3"/>
    <d v="2023-05-26T00:00:00"/>
    <m/>
    <x v="1"/>
    <x v="2"/>
  </r>
  <r>
    <n v="50.2"/>
    <n v="0.81"/>
    <n v="84.55"/>
    <m/>
    <x v="1"/>
    <m/>
    <m/>
    <x v="4"/>
    <x v="2"/>
  </r>
  <r>
    <n v="56.2"/>
    <n v="0.79"/>
    <n v="80.010000000000005"/>
    <m/>
    <x v="3"/>
    <d v="2023-10-12T00:00:00"/>
    <n v="27"/>
    <x v="2"/>
    <x v="1"/>
  </r>
  <r>
    <n v="44.6"/>
    <n v="1.37"/>
    <n v="93.75"/>
    <m/>
    <x v="3"/>
    <m/>
    <m/>
    <x v="0"/>
    <x v="2"/>
  </r>
  <r>
    <n v="56.6"/>
    <n v="1.17"/>
    <n v="83.54"/>
    <m/>
    <x v="1"/>
    <m/>
    <m/>
    <x v="1"/>
    <x v="1"/>
  </r>
  <r>
    <n v="56.3"/>
    <n v="1.3"/>
    <n v="75.5"/>
    <d v="2023-03-09T00:00:00"/>
    <x v="3"/>
    <d v="2023-10-14T00:00:00"/>
    <m/>
    <x v="1"/>
    <x v="0"/>
  </r>
  <r>
    <n v="62.9"/>
    <n v="0.75"/>
    <n v="95.65"/>
    <m/>
    <x v="1"/>
    <m/>
    <m/>
    <x v="0"/>
    <x v="3"/>
  </r>
  <r>
    <n v="65"/>
    <n v="1.1200000000000001"/>
    <n v="96.48"/>
    <m/>
    <x v="1"/>
    <m/>
    <n v="11"/>
    <x v="0"/>
    <x v="0"/>
  </r>
  <r>
    <n v="53.2"/>
    <n v="1.07"/>
    <n v="83.99"/>
    <d v="2023-07-17T00:00:00"/>
    <x v="3"/>
    <d v="2023-06-16T00:00:00"/>
    <m/>
    <x v="0"/>
    <x v="1"/>
  </r>
  <r>
    <n v="49.1"/>
    <n v="1.33"/>
    <n v="72.27"/>
    <m/>
    <x v="3"/>
    <m/>
    <n v="58"/>
    <x v="4"/>
    <x v="0"/>
  </r>
  <r>
    <n v="47.8"/>
    <n v="1.41"/>
    <n v="81.63"/>
    <m/>
    <x v="0"/>
    <m/>
    <m/>
    <x v="3"/>
    <x v="0"/>
  </r>
  <r>
    <n v="45.8"/>
    <n v="0.51"/>
    <n v="94.11"/>
    <m/>
    <x v="1"/>
    <m/>
    <n v="86"/>
    <x v="1"/>
    <x v="3"/>
  </r>
  <r>
    <n v="41.7"/>
    <n v="1.17"/>
    <n v="97.05"/>
    <m/>
    <x v="0"/>
    <m/>
    <m/>
    <x v="3"/>
    <x v="1"/>
  </r>
  <r>
    <n v="50.3"/>
    <n v="0.55000000000000004"/>
    <n v="76.099999999999994"/>
    <m/>
    <x v="2"/>
    <m/>
    <m/>
    <x v="3"/>
    <x v="2"/>
  </r>
  <r>
    <n v="48.1"/>
    <n v="1.05"/>
    <n v="72.010000000000005"/>
    <m/>
    <x v="1"/>
    <m/>
    <m/>
    <x v="0"/>
    <x v="2"/>
  </r>
  <r>
    <n v="69"/>
    <n v="0.79"/>
    <n v="96.32"/>
    <d v="2023-07-04T00:00:00"/>
    <x v="1"/>
    <d v="2023-06-14T00:00:00"/>
    <n v="13"/>
    <x v="4"/>
    <x v="2"/>
  </r>
  <r>
    <n v="56.7"/>
    <n v="0.81"/>
    <n v="81.680000000000007"/>
    <m/>
    <x v="1"/>
    <m/>
    <m/>
    <x v="2"/>
    <x v="1"/>
  </r>
  <r>
    <n v="50.4"/>
    <n v="0.85"/>
    <n v="86.25"/>
    <m/>
    <x v="0"/>
    <m/>
    <m/>
    <x v="4"/>
    <x v="2"/>
  </r>
  <r>
    <n v="57.4"/>
    <n v="1.1200000000000001"/>
    <n v="99.04"/>
    <d v="2023-04-11T00:00:00"/>
    <x v="2"/>
    <m/>
    <m/>
    <x v="3"/>
    <x v="2"/>
  </r>
  <r>
    <n v="44.2"/>
    <n v="0.83"/>
    <n v="72"/>
    <d v="2023-01-18T00:00:00"/>
    <x v="1"/>
    <d v="2023-10-22T00:00:00"/>
    <m/>
    <x v="4"/>
    <x v="2"/>
  </r>
  <r>
    <n v="53.3"/>
    <n v="1.23"/>
    <n v="89.45"/>
    <d v="2023-05-28T00:00:00"/>
    <x v="0"/>
    <m/>
    <m/>
    <x v="0"/>
    <x v="2"/>
  </r>
  <r>
    <n v="58.8"/>
    <n v="0.9"/>
    <n v="72.22"/>
    <m/>
    <x v="2"/>
    <m/>
    <m/>
    <x v="2"/>
    <x v="0"/>
  </r>
  <r>
    <n v="54.7"/>
    <n v="0.56999999999999995"/>
    <n v="81.260000000000005"/>
    <m/>
    <x v="1"/>
    <m/>
    <m/>
    <x v="0"/>
    <x v="1"/>
  </r>
  <r>
    <n v="52.1"/>
    <n v="1.28"/>
    <n v="94.11"/>
    <m/>
    <x v="2"/>
    <d v="2023-03-12T00:00:00"/>
    <n v="84"/>
    <x v="2"/>
    <x v="2"/>
  </r>
  <r>
    <n v="69.8"/>
    <n v="0.79"/>
    <n v="83"/>
    <m/>
    <x v="3"/>
    <m/>
    <m/>
    <x v="3"/>
    <x v="0"/>
  </r>
  <r>
    <n v="66.400000000000006"/>
    <n v="0.93"/>
    <n v="99.92"/>
    <m/>
    <x v="3"/>
    <m/>
    <n v="16"/>
    <x v="2"/>
    <x v="3"/>
  </r>
  <r>
    <n v="58.7"/>
    <n v="1.19"/>
    <n v="86.77"/>
    <m/>
    <x v="3"/>
    <m/>
    <m/>
    <x v="2"/>
    <x v="0"/>
  </r>
  <r>
    <n v="57.1"/>
    <n v="0.83"/>
    <n v="79.63"/>
    <m/>
    <x v="3"/>
    <d v="2023-03-15T00:00:00"/>
    <m/>
    <x v="2"/>
    <x v="3"/>
  </r>
  <r>
    <n v="58.6"/>
    <n v="0.56000000000000005"/>
    <n v="76.599999999999994"/>
    <m/>
    <x v="2"/>
    <d v="2023-02-15T00:00:00"/>
    <m/>
    <x v="4"/>
    <x v="2"/>
  </r>
  <r>
    <n v="46"/>
    <n v="0.87"/>
    <n v="80.52"/>
    <m/>
    <x v="1"/>
    <m/>
    <m/>
    <x v="4"/>
    <x v="2"/>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
  <r>
    <x v="0"/>
    <n v="29"/>
    <n v="188"/>
    <n v="79"/>
  </r>
  <r>
    <x v="1"/>
    <n v="27"/>
    <n v="195"/>
    <n v="86"/>
  </r>
  <r>
    <x v="1"/>
    <n v="24"/>
    <n v="197"/>
    <n v="74"/>
  </r>
  <r>
    <x v="0"/>
    <n v="30"/>
    <n v="198"/>
    <n v="65"/>
  </r>
  <r>
    <x v="0"/>
    <n v="24"/>
    <n v="196"/>
    <n v="73"/>
  </r>
  <r>
    <x v="1"/>
    <n v="34"/>
    <n v="194"/>
    <n v="70"/>
  </r>
  <r>
    <x v="0"/>
    <n v="27"/>
    <n v="166"/>
    <n v="98"/>
  </r>
  <r>
    <x v="2"/>
    <n v="27"/>
    <n v="186"/>
    <n v="68"/>
  </r>
  <r>
    <x v="3"/>
    <n v="21"/>
    <n v="187"/>
    <n v="85"/>
  </r>
  <r>
    <x v="1"/>
    <n v="37"/>
    <n v="181"/>
    <n v="75"/>
  </r>
  <r>
    <x v="1"/>
    <n v="21"/>
    <n v="173"/>
    <n v="64"/>
  </r>
  <r>
    <x v="2"/>
    <n v="39"/>
    <n v="166"/>
    <n v="69"/>
  </r>
  <r>
    <x v="1"/>
    <n v="24"/>
    <n v="196"/>
    <n v="62"/>
  </r>
  <r>
    <x v="2"/>
    <n v="39"/>
    <n v="181"/>
    <n v="72"/>
  </r>
  <r>
    <x v="1"/>
    <n v="18"/>
    <n v="164"/>
    <n v="89"/>
  </r>
  <r>
    <x v="0"/>
    <n v="29"/>
    <n v="161"/>
    <n v="65"/>
  </r>
  <r>
    <x v="3"/>
    <n v="30"/>
    <n v="186"/>
    <n v="76"/>
  </r>
  <r>
    <x v="3"/>
    <n v="27"/>
    <n v="180"/>
    <n v="78"/>
  </r>
  <r>
    <x v="2"/>
    <n v="32"/>
    <n v="197"/>
    <n v="94"/>
  </r>
  <r>
    <x v="0"/>
    <n v="30"/>
    <n v="174"/>
    <n v="85"/>
  </r>
  <r>
    <x v="2"/>
    <n v="39"/>
    <n v="180"/>
    <n v="64"/>
  </r>
  <r>
    <x v="3"/>
    <n v="39"/>
    <n v="169"/>
    <n v="88"/>
  </r>
  <r>
    <x v="2"/>
    <n v="38"/>
    <n v="182"/>
    <n v="96"/>
  </r>
  <r>
    <x v="2"/>
    <n v="39"/>
    <n v="198"/>
    <n v="79"/>
  </r>
  <r>
    <x v="0"/>
    <n v="26"/>
    <n v="164"/>
    <n v="80"/>
  </r>
  <r>
    <x v="1"/>
    <n v="26"/>
    <n v="160"/>
    <n v="69"/>
  </r>
  <r>
    <x v="1"/>
    <n v="32"/>
    <n v="172"/>
    <n v="64"/>
  </r>
  <r>
    <x v="2"/>
    <n v="27"/>
    <n v="180"/>
    <n v="95"/>
  </r>
  <r>
    <x v="3"/>
    <n v="27"/>
    <n v="185"/>
    <n v="65"/>
  </r>
  <r>
    <x v="3"/>
    <n v="25"/>
    <n v="180"/>
    <n v="85"/>
  </r>
  <r>
    <x v="3"/>
    <n v="33"/>
    <n v="177"/>
    <n v="63"/>
  </r>
  <r>
    <x v="0"/>
    <n v="34"/>
    <n v="196"/>
    <n v="98"/>
  </r>
  <r>
    <x v="0"/>
    <n v="22"/>
    <n v="191"/>
    <n v="98"/>
  </r>
  <r>
    <x v="3"/>
    <n v="21"/>
    <n v="195"/>
    <n v="94"/>
  </r>
  <r>
    <x v="2"/>
    <n v="35"/>
    <n v="176"/>
    <n v="60"/>
  </r>
  <r>
    <x v="2"/>
    <n v="36"/>
    <n v="194"/>
    <n v="83"/>
  </r>
  <r>
    <x v="0"/>
    <n v="21"/>
    <n v="170"/>
    <n v="95"/>
  </r>
  <r>
    <x v="2"/>
    <n v="24"/>
    <n v="180"/>
    <n v="65"/>
  </r>
  <r>
    <x v="3"/>
    <n v="27"/>
    <n v="185"/>
    <n v="90"/>
  </r>
  <r>
    <x v="0"/>
    <n v="35"/>
    <n v="163"/>
    <n v="79"/>
  </r>
  <r>
    <x v="2"/>
    <n v="36"/>
    <n v="193"/>
    <n v="83"/>
  </r>
  <r>
    <x v="0"/>
    <n v="21"/>
    <n v="177"/>
    <n v="84"/>
  </r>
  <r>
    <x v="2"/>
    <n v="27"/>
    <n v="199"/>
    <n v="95"/>
  </r>
  <r>
    <x v="0"/>
    <n v="18"/>
    <n v="194"/>
    <n v="80"/>
  </r>
  <r>
    <x v="2"/>
    <n v="35"/>
    <n v="188"/>
    <n v="89"/>
  </r>
  <r>
    <x v="0"/>
    <n v="22"/>
    <n v="188"/>
    <n v="83"/>
  </r>
  <r>
    <x v="3"/>
    <n v="32"/>
    <n v="197"/>
    <n v="89"/>
  </r>
  <r>
    <x v="1"/>
    <n v="34"/>
    <n v="180"/>
    <n v="81"/>
  </r>
  <r>
    <x v="2"/>
    <n v="20"/>
    <n v="172"/>
    <n v="87"/>
  </r>
  <r>
    <x v="3"/>
    <n v="29"/>
    <n v="176"/>
    <n v="66"/>
  </r>
  <r>
    <x v="2"/>
    <n v="19"/>
    <n v="168"/>
    <n v="94"/>
  </r>
  <r>
    <x v="1"/>
    <n v="18"/>
    <n v="160"/>
    <n v="87"/>
  </r>
  <r>
    <x v="3"/>
    <n v="38"/>
    <n v="161"/>
    <n v="73"/>
  </r>
  <r>
    <x v="2"/>
    <n v="34"/>
    <n v="188"/>
    <n v="69"/>
  </r>
  <r>
    <x v="0"/>
    <n v="39"/>
    <n v="192"/>
    <n v="75"/>
  </r>
  <r>
    <x v="3"/>
    <n v="33"/>
    <n v="169"/>
    <n v="75"/>
  </r>
  <r>
    <x v="0"/>
    <n v="22"/>
    <n v="199"/>
    <n v="90"/>
  </r>
  <r>
    <x v="1"/>
    <n v="32"/>
    <n v="180"/>
    <n v="84"/>
  </r>
  <r>
    <x v="1"/>
    <n v="20"/>
    <n v="187"/>
    <n v="72"/>
  </r>
  <r>
    <x v="0"/>
    <n v="24"/>
    <n v="170"/>
    <n v="65"/>
  </r>
  <r>
    <x v="3"/>
    <n v="28"/>
    <n v="193"/>
    <n v="68"/>
  </r>
  <r>
    <x v="3"/>
    <n v="27"/>
    <n v="167"/>
    <n v="95"/>
  </r>
  <r>
    <x v="3"/>
    <n v="26"/>
    <n v="181"/>
    <n v="79"/>
  </r>
  <r>
    <x v="3"/>
    <n v="31"/>
    <n v="167"/>
    <n v="77"/>
  </r>
  <r>
    <x v="1"/>
    <n v="30"/>
    <n v="174"/>
    <n v="80"/>
  </r>
  <r>
    <x v="0"/>
    <n v="19"/>
    <n v="176"/>
    <n v="63"/>
  </r>
  <r>
    <x v="1"/>
    <n v="20"/>
    <n v="182"/>
    <n v="92"/>
  </r>
  <r>
    <x v="2"/>
    <n v="24"/>
    <n v="183"/>
    <n v="86"/>
  </r>
  <r>
    <x v="1"/>
    <n v="38"/>
    <n v="178"/>
    <n v="66"/>
  </r>
  <r>
    <x v="0"/>
    <n v="35"/>
    <n v="164"/>
    <n v="65"/>
  </r>
  <r>
    <x v="2"/>
    <n v="20"/>
    <n v="191"/>
    <n v="74"/>
  </r>
  <r>
    <x v="0"/>
    <n v="27"/>
    <n v="160"/>
    <n v="77"/>
  </r>
  <r>
    <x v="0"/>
    <n v="39"/>
    <n v="182"/>
    <n v="91"/>
  </r>
  <r>
    <x v="0"/>
    <n v="24"/>
    <n v="196"/>
    <n v="70"/>
  </r>
  <r>
    <x v="0"/>
    <n v="26"/>
    <n v="167"/>
    <n v="79"/>
  </r>
  <r>
    <x v="1"/>
    <n v="34"/>
    <n v="172"/>
    <n v="83"/>
  </r>
  <r>
    <x v="3"/>
    <n v="28"/>
    <n v="167"/>
    <n v="74"/>
  </r>
  <r>
    <x v="1"/>
    <n v="24"/>
    <n v="182"/>
    <n v="66"/>
  </r>
  <r>
    <x v="1"/>
    <n v="31"/>
    <n v="160"/>
    <n v="80"/>
  </r>
  <r>
    <x v="3"/>
    <n v="36"/>
    <n v="183"/>
    <n v="85"/>
  </r>
  <r>
    <x v="3"/>
    <n v="21"/>
    <n v="194"/>
    <n v="73"/>
  </r>
  <r>
    <x v="2"/>
    <n v="23"/>
    <n v="183"/>
    <n v="96"/>
  </r>
  <r>
    <x v="1"/>
    <n v="27"/>
    <n v="176"/>
    <n v="80"/>
  </r>
  <r>
    <x v="2"/>
    <n v="24"/>
    <n v="164"/>
    <n v="77"/>
  </r>
  <r>
    <x v="0"/>
    <n v="30"/>
    <n v="179"/>
    <n v="64"/>
  </r>
  <r>
    <x v="0"/>
    <n v="31"/>
    <n v="180"/>
    <n v="62"/>
  </r>
  <r>
    <x v="1"/>
    <n v="21"/>
    <n v="199"/>
    <n v="82"/>
  </r>
  <r>
    <x v="3"/>
    <n v="25"/>
    <n v="190"/>
    <n v="85"/>
  </r>
  <r>
    <x v="3"/>
    <n v="22"/>
    <n v="195"/>
    <n v="96"/>
  </r>
  <r>
    <x v="1"/>
    <n v="18"/>
    <n v="170"/>
    <n v="83"/>
  </r>
  <r>
    <x v="0"/>
    <n v="21"/>
    <n v="174"/>
    <n v="78"/>
  </r>
  <r>
    <x v="0"/>
    <n v="20"/>
    <n v="178"/>
    <n v="84"/>
  </r>
  <r>
    <x v="2"/>
    <n v="26"/>
    <n v="166"/>
    <n v="80"/>
  </r>
  <r>
    <x v="1"/>
    <n v="25"/>
    <n v="187"/>
    <n v="71"/>
  </r>
  <r>
    <x v="0"/>
    <n v="18"/>
    <n v="164"/>
    <n v="92"/>
  </r>
  <r>
    <x v="1"/>
    <n v="23"/>
    <n v="164"/>
    <n v="63"/>
  </r>
  <r>
    <x v="3"/>
    <n v="26"/>
    <n v="189"/>
    <n v="66"/>
  </r>
  <r>
    <x v="0"/>
    <n v="24"/>
    <n v="191"/>
    <n v="81"/>
  </r>
  <r>
    <x v="3"/>
    <n v="21"/>
    <n v="167"/>
    <n v="92"/>
  </r>
  <r>
    <x v="3"/>
    <n v="30"/>
    <n v="169"/>
    <n v="76"/>
  </r>
  <r>
    <x v="3"/>
    <n v="34"/>
    <n v="197"/>
    <n v="83"/>
  </r>
  <r>
    <x v="3"/>
    <n v="19"/>
    <n v="191"/>
    <n v="93"/>
  </r>
  <r>
    <x v="2"/>
    <n v="22"/>
    <n v="187"/>
    <n v="87"/>
  </r>
  <r>
    <x v="2"/>
    <n v="29"/>
    <n v="176"/>
    <n v="98"/>
  </r>
  <r>
    <x v="3"/>
    <n v="38"/>
    <n v="190"/>
    <n v="81"/>
  </r>
  <r>
    <x v="2"/>
    <n v="25"/>
    <n v="167"/>
    <n v="76"/>
  </r>
  <r>
    <x v="3"/>
    <n v="23"/>
    <n v="199"/>
    <n v="93"/>
  </r>
  <r>
    <x v="1"/>
    <n v="25"/>
    <n v="184"/>
    <n v="65"/>
  </r>
  <r>
    <x v="2"/>
    <n v="35"/>
    <n v="168"/>
    <n v="65"/>
  </r>
  <r>
    <x v="0"/>
    <n v="20"/>
    <n v="161"/>
    <n v="93"/>
  </r>
  <r>
    <x v="3"/>
    <n v="39"/>
    <n v="174"/>
    <n v="60"/>
  </r>
  <r>
    <x v="0"/>
    <n v="29"/>
    <n v="162"/>
    <n v="69"/>
  </r>
  <r>
    <x v="1"/>
    <n v="20"/>
    <n v="195"/>
    <n v="80"/>
  </r>
  <r>
    <x v="1"/>
    <n v="39"/>
    <n v="163"/>
    <n v="64"/>
  </r>
  <r>
    <x v="2"/>
    <n v="23"/>
    <n v="173"/>
    <n v="61"/>
  </r>
  <r>
    <x v="3"/>
    <n v="19"/>
    <n v="184"/>
    <n v="81"/>
  </r>
  <r>
    <x v="1"/>
    <n v="29"/>
    <n v="169"/>
    <n v="61"/>
  </r>
  <r>
    <x v="3"/>
    <n v="19"/>
    <n v="180"/>
    <n v="69"/>
  </r>
  <r>
    <x v="2"/>
    <n v="23"/>
    <n v="195"/>
    <n v="93"/>
  </r>
  <r>
    <x v="2"/>
    <n v="34"/>
    <n v="171"/>
    <n v="75"/>
  </r>
  <r>
    <x v="2"/>
    <n v="20"/>
    <n v="186"/>
    <n v="98"/>
  </r>
  <r>
    <x v="2"/>
    <n v="19"/>
    <n v="199"/>
    <n v="81"/>
  </r>
  <r>
    <x v="1"/>
    <n v="37"/>
    <n v="161"/>
    <n v="71"/>
  </r>
  <r>
    <x v="0"/>
    <n v="25"/>
    <n v="172"/>
    <n v="83"/>
  </r>
  <r>
    <x v="2"/>
    <n v="39"/>
    <n v="191"/>
    <n v="99"/>
  </r>
  <r>
    <x v="2"/>
    <n v="29"/>
    <n v="190"/>
    <n v="97"/>
  </r>
  <r>
    <x v="3"/>
    <n v="21"/>
    <n v="175"/>
    <n v="69"/>
  </r>
  <r>
    <x v="0"/>
    <n v="22"/>
    <n v="191"/>
    <n v="94"/>
  </r>
  <r>
    <x v="3"/>
    <n v="30"/>
    <n v="191"/>
    <n v="91"/>
  </r>
  <r>
    <x v="2"/>
    <n v="32"/>
    <n v="193"/>
    <n v="66"/>
  </r>
  <r>
    <x v="0"/>
    <n v="33"/>
    <n v="170"/>
    <n v="80"/>
  </r>
  <r>
    <x v="3"/>
    <n v="27"/>
    <n v="169"/>
    <n v="79"/>
  </r>
  <r>
    <x v="0"/>
    <n v="33"/>
    <n v="174"/>
    <n v="85"/>
  </r>
  <r>
    <x v="2"/>
    <n v="29"/>
    <n v="176"/>
    <n v="63"/>
  </r>
  <r>
    <x v="1"/>
    <n v="34"/>
    <n v="199"/>
    <n v="81"/>
  </r>
  <r>
    <x v="0"/>
    <n v="33"/>
    <n v="177"/>
    <n v="74"/>
  </r>
  <r>
    <x v="0"/>
    <n v="29"/>
    <n v="168"/>
    <n v="99"/>
  </r>
  <r>
    <x v="1"/>
    <n v="25"/>
    <n v="184"/>
    <n v="80"/>
  </r>
  <r>
    <x v="1"/>
    <n v="37"/>
    <n v="199"/>
    <n v="74"/>
  </r>
  <r>
    <x v="3"/>
    <n v="20"/>
    <n v="173"/>
    <n v="81"/>
  </r>
  <r>
    <x v="2"/>
    <n v="33"/>
    <n v="184"/>
    <n v="87"/>
  </r>
  <r>
    <x v="3"/>
    <n v="30"/>
    <n v="181"/>
    <n v="73"/>
  </r>
  <r>
    <x v="2"/>
    <n v="36"/>
    <n v="189"/>
    <n v="86"/>
  </r>
  <r>
    <x v="3"/>
    <n v="25"/>
    <n v="179"/>
    <n v="99"/>
  </r>
  <r>
    <x v="1"/>
    <n v="39"/>
    <n v="180"/>
    <n v="87"/>
  </r>
  <r>
    <x v="2"/>
    <n v="22"/>
    <n v="191"/>
    <n v="85"/>
  </r>
  <r>
    <x v="0"/>
    <n v="37"/>
    <n v="180"/>
    <n v="61"/>
  </r>
  <r>
    <x v="3"/>
    <n v="25"/>
    <n v="194"/>
    <n v="84"/>
  </r>
  <r>
    <x v="2"/>
    <n v="29"/>
    <n v="191"/>
    <n v="62"/>
  </r>
  <r>
    <x v="2"/>
    <n v="18"/>
    <n v="189"/>
    <n v="67"/>
  </r>
  <r>
    <x v="2"/>
    <n v="38"/>
    <n v="198"/>
    <n v="92"/>
  </r>
  <r>
    <x v="1"/>
    <n v="37"/>
    <n v="171"/>
    <n v="94"/>
  </r>
  <r>
    <x v="0"/>
    <n v="23"/>
    <n v="177"/>
    <n v="65"/>
  </r>
  <r>
    <x v="1"/>
    <n v="39"/>
    <n v="180"/>
    <n v="98"/>
  </r>
  <r>
    <x v="2"/>
    <n v="35"/>
    <n v="172"/>
    <n v="82"/>
  </r>
  <r>
    <x v="2"/>
    <n v="25"/>
    <n v="180"/>
    <n v="84"/>
  </r>
  <r>
    <x v="1"/>
    <n v="24"/>
    <n v="167"/>
    <n v="78"/>
  </r>
  <r>
    <x v="0"/>
    <n v="18"/>
    <n v="199"/>
    <n v="64"/>
  </r>
  <r>
    <x v="0"/>
    <n v="38"/>
    <n v="166"/>
    <n v="70"/>
  </r>
  <r>
    <x v="2"/>
    <n v="33"/>
    <n v="182"/>
    <n v="71"/>
  </r>
  <r>
    <x v="1"/>
    <n v="29"/>
    <n v="191"/>
    <n v="69"/>
  </r>
  <r>
    <x v="2"/>
    <n v="23"/>
    <n v="170"/>
    <n v="67"/>
  </r>
  <r>
    <x v="2"/>
    <n v="37"/>
    <n v="181"/>
    <n v="83"/>
  </r>
  <r>
    <x v="1"/>
    <n v="19"/>
    <n v="181"/>
    <n v="87"/>
  </r>
  <r>
    <x v="2"/>
    <n v="31"/>
    <n v="184"/>
    <n v="95"/>
  </r>
  <r>
    <x v="3"/>
    <n v="21"/>
    <n v="181"/>
    <n v="96"/>
  </r>
  <r>
    <x v="3"/>
    <n v="18"/>
    <n v="187"/>
    <n v="80"/>
  </r>
  <r>
    <x v="2"/>
    <n v="35"/>
    <n v="188"/>
    <n v="67"/>
  </r>
  <r>
    <x v="1"/>
    <n v="30"/>
    <n v="172"/>
    <n v="68"/>
  </r>
  <r>
    <x v="0"/>
    <n v="19"/>
    <n v="177"/>
    <n v="74"/>
  </r>
  <r>
    <x v="0"/>
    <n v="26"/>
    <n v="161"/>
    <n v="99"/>
  </r>
  <r>
    <x v="1"/>
    <n v="38"/>
    <n v="188"/>
    <n v="77"/>
  </r>
  <r>
    <x v="0"/>
    <n v="19"/>
    <n v="180"/>
    <n v="79"/>
  </r>
  <r>
    <x v="1"/>
    <n v="26"/>
    <n v="174"/>
    <n v="65"/>
  </r>
  <r>
    <x v="3"/>
    <n v="18"/>
    <n v="186"/>
    <n v="71"/>
  </r>
  <r>
    <x v="3"/>
    <n v="28"/>
    <n v="190"/>
    <n v="61"/>
  </r>
  <r>
    <x v="0"/>
    <n v="20"/>
    <n v="174"/>
    <n v="66"/>
  </r>
  <r>
    <x v="1"/>
    <n v="37"/>
    <n v="182"/>
    <n v="75"/>
  </r>
  <r>
    <x v="1"/>
    <n v="21"/>
    <n v="183"/>
    <n v="62"/>
  </r>
  <r>
    <x v="0"/>
    <n v="35"/>
    <n v="172"/>
    <n v="62"/>
  </r>
  <r>
    <x v="3"/>
    <n v="23"/>
    <n v="181"/>
    <n v="86"/>
  </r>
  <r>
    <x v="3"/>
    <n v="20"/>
    <n v="196"/>
    <n v="99"/>
  </r>
  <r>
    <x v="0"/>
    <n v="39"/>
    <n v="192"/>
    <n v="97"/>
  </r>
  <r>
    <x v="0"/>
    <n v="28"/>
    <n v="162"/>
    <n v="92"/>
  </r>
  <r>
    <x v="0"/>
    <n v="32"/>
    <n v="178"/>
    <n v="87"/>
  </r>
  <r>
    <x v="2"/>
    <n v="39"/>
    <n v="182"/>
    <n v="60"/>
  </r>
  <r>
    <x v="0"/>
    <n v="22"/>
    <n v="188"/>
    <n v="67"/>
  </r>
  <r>
    <x v="3"/>
    <n v="37"/>
    <n v="189"/>
    <n v="96"/>
  </r>
  <r>
    <x v="1"/>
    <n v="27"/>
    <n v="198"/>
    <n v="91"/>
  </r>
  <r>
    <x v="3"/>
    <n v="29"/>
    <n v="184"/>
    <n v="96"/>
  </r>
  <r>
    <x v="0"/>
    <n v="32"/>
    <n v="196"/>
    <n v="63"/>
  </r>
  <r>
    <x v="1"/>
    <n v="34"/>
    <n v="167"/>
    <n v="89"/>
  </r>
  <r>
    <x v="0"/>
    <n v="27"/>
    <n v="175"/>
    <n v="65"/>
  </r>
  <r>
    <x v="0"/>
    <n v="23"/>
    <n v="167"/>
    <n v="78"/>
  </r>
  <r>
    <x v="3"/>
    <n v="35"/>
    <n v="160"/>
    <n v="91"/>
  </r>
  <r>
    <x v="2"/>
    <n v="30"/>
    <n v="164"/>
    <n v="68"/>
  </r>
  <r>
    <x v="0"/>
    <n v="20"/>
    <n v="162"/>
    <n v="71"/>
  </r>
  <r>
    <x v="0"/>
    <n v="27"/>
    <n v="160"/>
    <n v="70"/>
  </r>
  <r>
    <x v="3"/>
    <n v="31"/>
    <n v="163"/>
    <n v="75"/>
  </r>
  <r>
    <x v="3"/>
    <n v="23"/>
    <n v="199"/>
    <n v="60"/>
  </r>
  <r>
    <x v="1"/>
    <n v="20"/>
    <n v="194"/>
    <n v="80"/>
  </r>
  <r>
    <x v="1"/>
    <n v="33"/>
    <n v="191"/>
    <n v="89"/>
  </r>
  <r>
    <x v="0"/>
    <n v="24"/>
    <n v="193"/>
    <n v="72"/>
  </r>
  <r>
    <x v="2"/>
    <n v="37"/>
    <n v="184"/>
    <n v="93"/>
  </r>
  <r>
    <x v="3"/>
    <n v="31"/>
    <n v="169"/>
    <n v="63"/>
  </r>
  <r>
    <x v="1"/>
    <n v="26"/>
    <n v="180"/>
    <n v="87"/>
  </r>
  <r>
    <x v="3"/>
    <n v="32"/>
    <n v="198"/>
    <n v="97"/>
  </r>
  <r>
    <x v="3"/>
    <n v="38"/>
    <n v="186"/>
    <n v="90"/>
  </r>
  <r>
    <x v="1"/>
    <n v="20"/>
    <n v="186"/>
    <n v="86"/>
  </r>
  <r>
    <x v="3"/>
    <n v="19"/>
    <n v="161"/>
    <n v="64"/>
  </r>
  <r>
    <x v="1"/>
    <n v="19"/>
    <n v="172"/>
    <n v="84"/>
  </r>
  <r>
    <x v="3"/>
    <n v="20"/>
    <n v="168"/>
    <n v="62"/>
  </r>
  <r>
    <x v="2"/>
    <n v="35"/>
    <n v="195"/>
    <n v="92"/>
  </r>
  <r>
    <x v="1"/>
    <n v="31"/>
    <n v="181"/>
    <n v="63"/>
  </r>
  <r>
    <x v="2"/>
    <n v="37"/>
    <n v="185"/>
    <n v="84"/>
  </r>
  <r>
    <x v="3"/>
    <n v="35"/>
    <n v="171"/>
    <n v="79"/>
  </r>
  <r>
    <x v="1"/>
    <n v="27"/>
    <n v="176"/>
    <n v="93"/>
  </r>
  <r>
    <x v="0"/>
    <n v="19"/>
    <n v="173"/>
    <n v="85"/>
  </r>
  <r>
    <x v="0"/>
    <n v="39"/>
    <n v="173"/>
    <n v="64"/>
  </r>
  <r>
    <x v="0"/>
    <n v="18"/>
    <n v="193"/>
    <n v="94"/>
  </r>
  <r>
    <x v="2"/>
    <n v="21"/>
    <n v="179"/>
    <n v="87"/>
  </r>
  <r>
    <x v="1"/>
    <n v="31"/>
    <n v="170"/>
    <n v="88"/>
  </r>
  <r>
    <x v="2"/>
    <n v="18"/>
    <n v="175"/>
    <n v="68"/>
  </r>
  <r>
    <x v="2"/>
    <n v="31"/>
    <n v="190"/>
    <n v="97"/>
  </r>
  <r>
    <x v="1"/>
    <n v="33"/>
    <n v="165"/>
    <n v="65"/>
  </r>
  <r>
    <x v="3"/>
    <n v="39"/>
    <n v="178"/>
    <n v="78"/>
  </r>
  <r>
    <x v="3"/>
    <n v="31"/>
    <n v="196"/>
    <n v="70"/>
  </r>
  <r>
    <x v="2"/>
    <n v="37"/>
    <n v="163"/>
    <n v="61"/>
  </r>
  <r>
    <x v="3"/>
    <n v="20"/>
    <n v="163"/>
    <n v="68"/>
  </r>
  <r>
    <x v="1"/>
    <n v="20"/>
    <n v="179"/>
    <n v="80"/>
  </r>
  <r>
    <x v="2"/>
    <n v="26"/>
    <n v="169"/>
    <n v="83"/>
  </r>
  <r>
    <x v="3"/>
    <n v="23"/>
    <n v="183"/>
    <n v="93"/>
  </r>
  <r>
    <x v="0"/>
    <n v="30"/>
    <n v="194"/>
    <n v="81"/>
  </r>
  <r>
    <x v="2"/>
    <n v="38"/>
    <n v="185"/>
    <n v="62"/>
  </r>
  <r>
    <x v="0"/>
    <n v="19"/>
    <n v="196"/>
    <n v="71"/>
  </r>
  <r>
    <x v="1"/>
    <n v="25"/>
    <n v="197"/>
    <n v="87"/>
  </r>
  <r>
    <x v="1"/>
    <n v="38"/>
    <n v="180"/>
    <n v="89"/>
  </r>
  <r>
    <x v="3"/>
    <n v="19"/>
    <n v="199"/>
    <n v="85"/>
  </r>
  <r>
    <x v="0"/>
    <n v="21"/>
    <n v="198"/>
    <n v="80"/>
  </r>
  <r>
    <x v="2"/>
    <n v="32"/>
    <n v="180"/>
    <n v="87"/>
  </r>
  <r>
    <x v="0"/>
    <n v="21"/>
    <n v="169"/>
    <n v="85"/>
  </r>
  <r>
    <x v="0"/>
    <n v="30"/>
    <n v="197"/>
    <n v="92"/>
  </r>
  <r>
    <x v="0"/>
    <n v="29"/>
    <n v="163"/>
    <n v="80"/>
  </r>
  <r>
    <x v="1"/>
    <n v="30"/>
    <n v="179"/>
    <n v="94"/>
  </r>
  <r>
    <x v="1"/>
    <n v="31"/>
    <n v="176"/>
    <n v="93"/>
  </r>
  <r>
    <x v="3"/>
    <n v="37"/>
    <n v="166"/>
    <n v="77"/>
  </r>
  <r>
    <x v="3"/>
    <n v="35"/>
    <n v="163"/>
    <n v="70"/>
  </r>
  <r>
    <x v="1"/>
    <n v="23"/>
    <n v="188"/>
    <n v="82"/>
  </r>
  <r>
    <x v="1"/>
    <n v="28"/>
    <n v="173"/>
    <n v="81"/>
  </r>
  <r>
    <x v="1"/>
    <n v="19"/>
    <n v="162"/>
    <n v="76"/>
  </r>
  <r>
    <x v="1"/>
    <n v="36"/>
    <n v="183"/>
    <n v="64"/>
  </r>
  <r>
    <x v="2"/>
    <n v="36"/>
    <n v="196"/>
    <n v="70"/>
  </r>
  <r>
    <x v="2"/>
    <n v="22"/>
    <n v="175"/>
    <n v="89"/>
  </r>
  <r>
    <x v="1"/>
    <n v="36"/>
    <n v="163"/>
    <n v="74"/>
  </r>
  <r>
    <x v="1"/>
    <n v="19"/>
    <n v="183"/>
    <n v="86"/>
  </r>
  <r>
    <x v="3"/>
    <n v="27"/>
    <n v="193"/>
    <n v="94"/>
  </r>
  <r>
    <x v="0"/>
    <n v="19"/>
    <n v="189"/>
    <n v="92"/>
  </r>
  <r>
    <x v="1"/>
    <n v="28"/>
    <n v="177"/>
    <n v="79"/>
  </r>
  <r>
    <x v="3"/>
    <n v="35"/>
    <n v="178"/>
    <n v="75"/>
  </r>
  <r>
    <x v="3"/>
    <n v="32"/>
    <n v="190"/>
    <n v="93"/>
  </r>
  <r>
    <x v="2"/>
    <n v="26"/>
    <n v="178"/>
    <n v="61"/>
  </r>
  <r>
    <x v="0"/>
    <n v="36"/>
    <n v="178"/>
    <n v="94"/>
  </r>
  <r>
    <x v="0"/>
    <n v="26"/>
    <n v="181"/>
    <n v="99"/>
  </r>
  <r>
    <x v="0"/>
    <n v="20"/>
    <n v="183"/>
    <n v="87"/>
  </r>
  <r>
    <x v="1"/>
    <n v="38"/>
    <n v="171"/>
    <n v="98"/>
  </r>
  <r>
    <x v="1"/>
    <n v="26"/>
    <n v="189"/>
    <n v="65"/>
  </r>
  <r>
    <x v="0"/>
    <n v="31"/>
    <n v="197"/>
    <n v="68"/>
  </r>
  <r>
    <x v="3"/>
    <n v="36"/>
    <n v="190"/>
    <n v="79"/>
  </r>
  <r>
    <x v="2"/>
    <n v="24"/>
    <n v="195"/>
    <n v="60"/>
  </r>
  <r>
    <x v="2"/>
    <n v="33"/>
    <n v="178"/>
    <n v="67"/>
  </r>
  <r>
    <x v="1"/>
    <n v="33"/>
    <n v="195"/>
    <n v="82"/>
  </r>
  <r>
    <x v="3"/>
    <n v="18"/>
    <n v="189"/>
    <n v="62"/>
  </r>
  <r>
    <x v="1"/>
    <n v="21"/>
    <n v="192"/>
    <n v="63"/>
  </r>
  <r>
    <x v="0"/>
    <n v="21"/>
    <n v="177"/>
    <n v="84"/>
  </r>
  <r>
    <x v="1"/>
    <n v="24"/>
    <n v="187"/>
    <n v="97"/>
  </r>
  <r>
    <x v="1"/>
    <n v="25"/>
    <n v="170"/>
    <n v="74"/>
  </r>
  <r>
    <x v="1"/>
    <n v="34"/>
    <n v="192"/>
    <n v="80"/>
  </r>
  <r>
    <x v="1"/>
    <n v="22"/>
    <n v="176"/>
    <n v="94"/>
  </r>
  <r>
    <x v="2"/>
    <n v="24"/>
    <n v="165"/>
    <n v="73"/>
  </r>
  <r>
    <x v="3"/>
    <n v="37"/>
    <n v="163"/>
    <n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F2815F-4DBC-4C5E-884F-6401D550914D}" name="PivotTable8"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59:G65" firstHeaderRow="1" firstDataRow="2" firstDataCol="1"/>
  <pivotFields count="27">
    <pivotField dataField="1" showAll="0"/>
    <pivotField showAll="0"/>
    <pivotField axis="axisCol" showAll="0">
      <items count="5">
        <item x="0"/>
        <item x="2"/>
        <item x="3"/>
        <item x="1"/>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Fields count="1">
    <field x="2"/>
  </colFields>
  <colItems count="5">
    <i>
      <x/>
    </i>
    <i>
      <x v="1"/>
    </i>
    <i>
      <x v="2"/>
    </i>
    <i>
      <x v="3"/>
    </i>
    <i t="grand">
      <x/>
    </i>
  </colItems>
  <dataFields count="1">
    <dataField name="Count of Player ID"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FF8185-AD4A-4F3D-A207-5F75D9A933A9}" name="PivotTable7"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24:G30" firstHeaderRow="1" firstDataRow="2" firstDataCol="1"/>
  <pivotFields count="27">
    <pivotField dataField="1" showAll="0"/>
    <pivotField axis="axisCol"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Fields count="1">
    <field x="1"/>
  </colFields>
  <colItems count="5">
    <i>
      <x/>
    </i>
    <i>
      <x v="1"/>
    </i>
    <i>
      <x v="2"/>
    </i>
    <i>
      <x v="3"/>
    </i>
    <i t="grand">
      <x/>
    </i>
  </colItems>
  <dataFields count="1">
    <dataField name="Count of Player ID"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8C296F-6107-4B2A-BC35-5265C09D186B}"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40:G46" firstHeaderRow="1" firstDataRow="2" firstDataCol="1"/>
  <pivotFields count="27">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5">
        <item x="0"/>
        <item x="1"/>
        <item x="2"/>
        <item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Fields count="1">
    <field x="13"/>
  </colFields>
  <colItems count="5">
    <i>
      <x/>
    </i>
    <i>
      <x v="1"/>
    </i>
    <i>
      <x v="2"/>
    </i>
    <i>
      <x v="3"/>
    </i>
    <i t="grand">
      <x/>
    </i>
  </colItems>
  <dataFields count="1">
    <dataField name="Average of Days to Full Recovery" fld="15" subtotal="average" baseField="1" baseItem="0"/>
  </dataFields>
  <formats count="13">
    <format dxfId="23">
      <pivotArea collapsedLevelsAreSubtotals="1" fieldPosition="0">
        <references count="2">
          <reference field="1" count="1">
            <x v="1"/>
          </reference>
          <reference field="13" count="1" selected="0">
            <x v="0"/>
          </reference>
        </references>
      </pivotArea>
    </format>
    <format dxfId="22">
      <pivotArea collapsedLevelsAreSubtotals="1" fieldPosition="0">
        <references count="2">
          <reference field="1" count="1">
            <x v="2"/>
          </reference>
          <reference field="13" count="1" selected="0">
            <x v="0"/>
          </reference>
        </references>
      </pivotArea>
    </format>
    <format dxfId="21">
      <pivotArea collapsedLevelsAreSubtotals="1" fieldPosition="0">
        <references count="2">
          <reference field="1" count="1">
            <x v="3"/>
          </reference>
          <reference field="13" count="1" selected="0">
            <x v="0"/>
          </reference>
        </references>
      </pivotArea>
    </format>
    <format dxfId="20">
      <pivotArea collapsedLevelsAreSubtotals="1" fieldPosition="0">
        <references count="2">
          <reference field="1" count="1">
            <x v="0"/>
          </reference>
          <reference field="13" count="1" selected="0">
            <x v="1"/>
          </reference>
        </references>
      </pivotArea>
    </format>
    <format dxfId="19">
      <pivotArea collapsedLevelsAreSubtotals="1" fieldPosition="0">
        <references count="2">
          <reference field="1" count="1">
            <x v="1"/>
          </reference>
          <reference field="13" count="1" selected="0">
            <x v="1"/>
          </reference>
        </references>
      </pivotArea>
    </format>
    <format dxfId="18">
      <pivotArea collapsedLevelsAreSubtotals="1" fieldPosition="0">
        <references count="2">
          <reference field="1" count="1">
            <x v="3"/>
          </reference>
          <reference field="13" count="1" selected="0">
            <x v="1"/>
          </reference>
        </references>
      </pivotArea>
    </format>
    <format dxfId="17">
      <pivotArea collapsedLevelsAreSubtotals="1" fieldPosition="0">
        <references count="2">
          <reference field="1" count="1">
            <x v="0"/>
          </reference>
          <reference field="13" count="1" selected="0">
            <x v="2"/>
          </reference>
        </references>
      </pivotArea>
    </format>
    <format dxfId="16">
      <pivotArea collapsedLevelsAreSubtotals="1" fieldPosition="0">
        <references count="2">
          <reference field="1" count="1">
            <x v="1"/>
          </reference>
          <reference field="13" count="1" selected="0">
            <x v="2"/>
          </reference>
        </references>
      </pivotArea>
    </format>
    <format dxfId="15">
      <pivotArea collapsedLevelsAreSubtotals="1" fieldPosition="0">
        <references count="2">
          <reference field="1" count="1">
            <x v="2"/>
          </reference>
          <reference field="13" count="1" selected="0">
            <x v="2"/>
          </reference>
        </references>
      </pivotArea>
    </format>
    <format dxfId="14">
      <pivotArea collapsedLevelsAreSubtotals="1" fieldPosition="0">
        <references count="2">
          <reference field="1" count="1">
            <x v="3"/>
          </reference>
          <reference field="13" count="1" selected="0">
            <x v="2"/>
          </reference>
        </references>
      </pivotArea>
    </format>
    <format dxfId="13">
      <pivotArea field="1" grandCol="1" collapsedLevelsAreSubtotals="1" axis="axisRow" fieldPosition="0">
        <references count="1">
          <reference field="1" count="0"/>
        </references>
      </pivotArea>
    </format>
    <format dxfId="12">
      <pivotArea collapsedLevelsAreSubtotals="1" fieldPosition="0">
        <references count="2">
          <reference field="1" count="1">
            <x v="2"/>
          </reference>
          <reference field="13" count="1" selected="0">
            <x v="3"/>
          </reference>
        </references>
      </pivotArea>
    </format>
    <format dxfId="1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66325D-B736-4C5D-8E5E-939A679F09F0}"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B50:C55" firstHeaderRow="1" firstDataRow="1" firstDataCol="1"/>
  <pivotFields count="27">
    <pivotField showAll="0">
      <items count="2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dataField="1" showAll="0">
      <items count="23">
        <item x="8"/>
        <item x="18"/>
        <item x="17"/>
        <item x="5"/>
        <item x="14"/>
        <item x="21"/>
        <item x="2"/>
        <item x="12"/>
        <item x="11"/>
        <item x="1"/>
        <item x="19"/>
        <item x="0"/>
        <item x="3"/>
        <item x="20"/>
        <item x="9"/>
        <item x="13"/>
        <item x="4"/>
        <item x="15"/>
        <item x="16"/>
        <item x="6"/>
        <item x="10"/>
        <item x="7"/>
        <item t="default"/>
      </items>
    </pivotField>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Age" fld="19" subtotal="average" baseField="13" baseItem="0" numFmtId="1"/>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F3F9B2-C709-4040-B96B-7E7154051005}"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22:H27" firstHeaderRow="1" firstDataRow="1" firstDataCol="1"/>
  <pivotFields count="4">
    <pivotField showAll="0"/>
    <pivotField showAll="0"/>
    <pivotField axis="axisRow" dataField="1" showAll="0">
      <items count="5">
        <item x="0"/>
        <item x="1"/>
        <item x="2"/>
        <item x="3"/>
        <item t="default"/>
      </items>
    </pivotField>
    <pivotField showAll="0">
      <items count="7">
        <item x="4"/>
        <item x="2"/>
        <item x="3"/>
        <item x="0"/>
        <item x="1"/>
        <item x="5"/>
        <item t="default"/>
      </items>
    </pivotField>
  </pivotFields>
  <rowFields count="1">
    <field x="2"/>
  </rowFields>
  <rowItems count="5">
    <i>
      <x/>
    </i>
    <i>
      <x v="1"/>
    </i>
    <i>
      <x v="2"/>
    </i>
    <i>
      <x v="3"/>
    </i>
    <i t="grand">
      <x/>
    </i>
  </rowItems>
  <colItems count="1">
    <i/>
  </colItems>
  <dataFields count="1">
    <dataField name="Count of Injury Type" fld="2" subtotal="count" baseField="0" baseItem="0"/>
  </dataFields>
  <chartFormats count="1">
    <chartFormat chart="1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DCB4FA-1778-4A6F-8CD2-9F178B0B2F00}"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29:H36" firstHeaderRow="1" firstDataRow="1" firstDataCol="1"/>
  <pivotFields count="4">
    <pivotField showAll="0"/>
    <pivotField showAll="0"/>
    <pivotField showAll="0"/>
    <pivotField axis="axisRow" dataField="1" showAll="0">
      <items count="7">
        <item x="4"/>
        <item x="2"/>
        <item x="3"/>
        <item x="0"/>
        <item x="1"/>
        <item x="5"/>
        <item t="default"/>
      </items>
    </pivotField>
  </pivotFields>
  <rowFields count="1">
    <field x="3"/>
  </rowFields>
  <rowItems count="7">
    <i>
      <x/>
    </i>
    <i>
      <x v="1"/>
    </i>
    <i>
      <x v="2"/>
    </i>
    <i>
      <x v="3"/>
    </i>
    <i>
      <x v="4"/>
    </i>
    <i>
      <x v="5"/>
    </i>
    <i t="grand">
      <x/>
    </i>
  </rowItems>
  <colItems count="1">
    <i/>
  </colItems>
  <dataFields count="1">
    <dataField name="Count of Nationality" fld="3" subtotal="count" baseField="0" baseItem="0"/>
  </dataField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A57C18-D842-42C0-8AEA-E76981913716}" name="PivotTable3"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K33:L41" firstHeaderRow="1" firstDataRow="1" firstDataCol="1" rowPageCount="1" colPageCount="1"/>
  <pivotFields count="11">
    <pivotField compact="0" outline="0" showAll="0"/>
    <pivotField axis="axisPage" compact="0" outline="0" showAll="0">
      <items count="5">
        <item x="0"/>
        <item x="2"/>
        <item x="1"/>
        <item x="3"/>
        <item t="default"/>
      </items>
    </pivotField>
    <pivotField compact="0" outline="0" showAll="0"/>
    <pivotField compact="0" outline="0" showAll="0"/>
    <pivotField axis="axisRow" compact="0" outline="0" showAll="0">
      <items count="8">
        <item x="0"/>
        <item x="3"/>
        <item x="5"/>
        <item x="4"/>
        <item x="2"/>
        <item x="1"/>
        <item x="6"/>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s>
  <rowFields count="1">
    <field x="4"/>
  </rowFields>
  <rowItems count="8">
    <i>
      <x/>
    </i>
    <i>
      <x v="1"/>
    </i>
    <i>
      <x v="2"/>
    </i>
    <i>
      <x v="3"/>
    </i>
    <i>
      <x v="4"/>
    </i>
    <i>
      <x v="5"/>
    </i>
    <i>
      <x v="6"/>
    </i>
    <i t="grand">
      <x/>
    </i>
  </rowItems>
  <colItems count="1">
    <i/>
  </colItems>
  <pageFields count="1">
    <pageField fld="1" hier="-1"/>
  </pageFields>
  <dataFields count="1">
    <dataField name="Average of Pass Accuracy (%)" fld="8" subtotal="average"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C3DDB44-70EE-4E1E-8D74-363B205D9479}"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K7:L15" firstHeaderRow="1" firstDataRow="1" firstDataCol="1"/>
  <pivotFields count="11">
    <pivotField compact="0" outline="0" showAll="0"/>
    <pivotField compact="0" outline="0" showAll="0"/>
    <pivotField compact="0" outline="0" showAll="0"/>
    <pivotField dataField="1" compact="0" outline="0" showAll="0">
      <items count="28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t="default"/>
      </items>
    </pivotField>
    <pivotField axis="axisRow" compact="0" outline="0" showAll="0">
      <items count="8">
        <item x="0"/>
        <item x="3"/>
        <item x="5"/>
        <item x="4"/>
        <item x="2"/>
        <item x="1"/>
        <item x="6"/>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8">
    <i>
      <x/>
    </i>
    <i>
      <x v="1"/>
    </i>
    <i>
      <x v="2"/>
    </i>
    <i>
      <x v="3"/>
    </i>
    <i>
      <x v="4"/>
    </i>
    <i>
      <x v="5"/>
    </i>
    <i>
      <x v="6"/>
    </i>
    <i t="grand">
      <x/>
    </i>
  </rowItems>
  <colItems count="1">
    <i/>
  </colItems>
  <dataFields count="1">
    <dataField name="Count of Match Date" fld="3" subtotal="count"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5ABD5E0-494B-4B59-B493-2291923B1CEF}" name="PivotTable2"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K17:M25" firstHeaderRow="0" firstDataRow="1" firstDataCol="1"/>
  <pivotFields count="3">
    <pivotField axis="axisRow" compact="0" outline="0" showAll="0">
      <items count="8">
        <item x="0"/>
        <item x="3"/>
        <item x="5"/>
        <item x="4"/>
        <item x="2"/>
        <item x="1"/>
        <item x="6"/>
        <item t="default"/>
      </items>
    </pivotField>
    <pivotField dataField="1" compact="0" outline="0" showAll="0"/>
    <pivotField dataField="1" compact="0" outline="0" showAll="0"/>
  </pivotFields>
  <rowFields count="1">
    <field x="0"/>
  </rowFields>
  <rowItems count="8">
    <i>
      <x/>
    </i>
    <i>
      <x v="1"/>
    </i>
    <i>
      <x v="2"/>
    </i>
    <i>
      <x v="3"/>
    </i>
    <i>
      <x v="4"/>
    </i>
    <i>
      <x v="5"/>
    </i>
    <i>
      <x v="6"/>
    </i>
    <i t="grand">
      <x/>
    </i>
  </rowItems>
  <colFields count="1">
    <field x="-2"/>
  </colFields>
  <colItems count="2">
    <i>
      <x/>
    </i>
    <i i="1">
      <x v="1"/>
    </i>
  </colItems>
  <dataFields count="2">
    <dataField name="Sum of Assists" fld="2" baseField="0" baseItem="0"/>
    <dataField name="Sum of Goals Scored" fld="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43FD3B-BAF7-4F2D-8374-2F444D61DEEA}" name="PivotTable1"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M3:AP14" firstHeaderRow="0" firstDataRow="1" firstDataCol="2"/>
  <pivotFields count="26">
    <pivotField compact="0" outline="0" showAll="0"/>
    <pivotField axis="axisRow" compact="0" outline="0" showAll="0">
      <items count="5">
        <item x="0"/>
        <item x="2"/>
        <item x="1"/>
        <item x="3"/>
        <item t="default"/>
      </items>
    </pivotField>
    <pivotField compact="0" outline="0" showAll="0"/>
    <pivotField compact="0" outline="0" showAll="0"/>
    <pivotField compact="0" outline="0" showAll="0"/>
    <pivotField axis="axisRow" compact="0" outline="0" showAll="0">
      <items count="3">
        <item x="1"/>
        <item x="0"/>
        <item t="default"/>
      </items>
    </pivotField>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5"/>
    <field x="1"/>
  </rowFields>
  <rowItems count="11">
    <i>
      <x/>
      <x/>
    </i>
    <i r="1">
      <x v="1"/>
    </i>
    <i r="1">
      <x v="2"/>
    </i>
    <i r="1">
      <x v="3"/>
    </i>
    <i t="default">
      <x/>
    </i>
    <i>
      <x v="1"/>
      <x/>
    </i>
    <i r="1">
      <x v="1"/>
    </i>
    <i r="1">
      <x v="2"/>
    </i>
    <i r="1">
      <x v="3"/>
    </i>
    <i t="default">
      <x v="1"/>
    </i>
    <i t="grand">
      <x/>
    </i>
  </rowItems>
  <colFields count="1">
    <field x="-2"/>
  </colFields>
  <colItems count="2">
    <i>
      <x/>
    </i>
    <i i="1">
      <x v="1"/>
    </i>
  </colItems>
  <dataFields count="2">
    <dataField name="Sum of Goals Scored" fld="7" baseField="0" baseItem="0"/>
    <dataField name="Sum of Assists" fld="8" baseField="0" baseItem="0"/>
  </dataFields>
  <formats count="2">
    <format dxfId="10">
      <pivotArea outline="0" fieldPosition="0">
        <references count="2">
          <reference field="4294967294" count="1" selected="0">
            <x v="0"/>
          </reference>
          <reference field="5" count="1" selected="0" defaultSubtotal="1">
            <x v="0"/>
          </reference>
        </references>
      </pivotArea>
    </format>
    <format dxfId="9">
      <pivotArea outline="0" fieldPosition="0">
        <references count="2">
          <reference field="4294967294" count="1" selected="0">
            <x v="0"/>
          </reference>
          <reference field="5" count="1" selected="0" defaultSubtotal="1">
            <x v="1"/>
          </reference>
        </references>
      </pivotArea>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6ED4A2-1E82-48FA-86D3-9C436DE676DF}" name="PivotTable3"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M21:AP32" firstHeaderRow="0" firstDataRow="1" firstDataCol="2"/>
  <pivotFields count="26">
    <pivotField compact="0" outline="0" showAll="0"/>
    <pivotField compact="0" outline="0" showAll="0">
      <items count="5">
        <item x="0"/>
        <item x="2"/>
        <item x="1"/>
        <item x="3"/>
        <item t="default"/>
      </items>
    </pivotField>
    <pivotField axis="axisRow" compact="0" outline="0" showAll="0">
      <items count="5">
        <item x="0"/>
        <item x="2"/>
        <item x="3"/>
        <item x="1"/>
        <item t="default"/>
      </items>
    </pivotField>
    <pivotField compact="0" outline="0" showAll="0"/>
    <pivotField compact="0" outline="0" showAll="0"/>
    <pivotField axis="axisRow" compact="0" outline="0" showAll="0">
      <items count="3">
        <item x="1"/>
        <item x="0"/>
        <item t="default"/>
      </items>
    </pivotField>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5"/>
    <field x="2"/>
  </rowFields>
  <rowItems count="11">
    <i>
      <x/>
      <x/>
    </i>
    <i r="1">
      <x v="1"/>
    </i>
    <i r="1">
      <x v="2"/>
    </i>
    <i r="1">
      <x v="3"/>
    </i>
    <i t="default">
      <x/>
    </i>
    <i>
      <x v="1"/>
      <x/>
    </i>
    <i r="1">
      <x v="1"/>
    </i>
    <i r="1">
      <x v="2"/>
    </i>
    <i r="1">
      <x v="3"/>
    </i>
    <i t="default">
      <x v="1"/>
    </i>
    <i t="grand">
      <x/>
    </i>
  </rowItems>
  <colFields count="1">
    <field x="-2"/>
  </colFields>
  <colItems count="2">
    <i>
      <x/>
    </i>
    <i i="1">
      <x v="1"/>
    </i>
  </colItems>
  <dataFields count="2">
    <dataField name="Sum of Goals Scored" fld="7" baseField="0" baseItem="0"/>
    <dataField name="Sum of Minutes Played per Match"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C13E8EC-4B4E-4677-B3F9-D124C8C90861}" name="PivotTable4"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M54:AP65" firstHeaderRow="0" firstDataRow="1" firstDataCol="2"/>
  <pivotFields count="26">
    <pivotField compact="0" outline="0" showAll="0"/>
    <pivotField compact="0" outline="0" showAll="0"/>
    <pivotField axis="axisRow" compact="0" outline="0" showAll="0">
      <items count="5">
        <item x="0"/>
        <item x="2"/>
        <item x="3"/>
        <item x="1"/>
        <item t="default"/>
      </items>
    </pivotField>
    <pivotField compact="0" outline="0" showAll="0"/>
    <pivotField compact="0" outline="0" showAll="0"/>
    <pivotField axis="axisRow" compact="0" outline="0" showAll="0">
      <items count="3">
        <item x="1"/>
        <item x="0"/>
        <item t="default"/>
      </items>
    </pivotField>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5"/>
    <field x="2"/>
  </rowFields>
  <rowItems count="11">
    <i>
      <x/>
      <x/>
    </i>
    <i r="1">
      <x v="1"/>
    </i>
    <i r="1">
      <x v="2"/>
    </i>
    <i r="1">
      <x v="3"/>
    </i>
    <i t="default">
      <x/>
    </i>
    <i>
      <x v="1"/>
      <x/>
    </i>
    <i r="1">
      <x v="1"/>
    </i>
    <i r="1">
      <x v="2"/>
    </i>
    <i r="1">
      <x v="3"/>
    </i>
    <i t="default">
      <x v="1"/>
    </i>
    <i t="grand">
      <x/>
    </i>
  </rowItems>
  <colFields count="1">
    <field x="-2"/>
  </colFields>
  <colItems count="2">
    <i>
      <x/>
    </i>
    <i i="1">
      <x v="1"/>
    </i>
  </colItems>
  <dataFields count="2">
    <dataField name="Sum of Goals Scored" fld="7" baseField="0" baseItem="0"/>
    <dataField name="Sum of Assists" fld="8" baseField="0" baseItem="0"/>
  </dataFields>
  <chartFormats count="2">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368EBDA-4884-4C6D-9134-5DFD0FC66748}"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P2:Q7" firstHeaderRow="1" firstDataRow="1" firstDataCol="1"/>
  <pivotFields count="1">
    <pivotField name="Injury Type" axis="axisRow" dataField="1" compact="0" outline="0"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s>
  <rowFields count="1">
    <field x="0"/>
  </rowFields>
  <rowItems count="5">
    <i>
      <x v="2"/>
    </i>
    <i>
      <x v="1"/>
    </i>
    <i>
      <x/>
    </i>
    <i>
      <x v="3"/>
    </i>
    <i t="grand">
      <x/>
    </i>
  </rowItems>
  <colItems count="1">
    <i/>
  </colItems>
  <dataFields count="1">
    <dataField name="Count of Injury Types" fld="0" subtotal="count" baseField="0" baseItem="0"/>
  </dataFields>
  <formats count="4">
    <format dxfId="8">
      <pivotArea field="0" type="button" dataOnly="0" labelOnly="1" outline="0" axis="axisRow" fieldPosition="0"/>
    </format>
    <format dxfId="7">
      <pivotArea dataOnly="0" labelOnly="1" outline="0" axis="axisValues" fieldPosition="0"/>
    </format>
    <format dxfId="6">
      <pivotArea dataOnly="0" labelOnly="1" grandRow="1" outline="0" fieldPosition="0"/>
    </format>
    <format dxfId="5">
      <pivotArea grandRow="1"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F0D12AA-0877-4AE9-A22B-82FEED9DD9E8}" name="PivotTable2" cacheId="6" applyNumberFormats="0" applyBorderFormats="0" applyFontFormats="0" applyPatternFormats="0" applyAlignmentFormats="0" applyWidthHeightFormats="1" dataCaption="Values" updatedVersion="8" minRefreshableVersion="3" useAutoFormatting="1" itemPrintTitles="1" createdVersion="8" indent="0" multipleFieldFilters="0">
  <location ref="L15:O21" firstHeaderRow="0" firstDataRow="1" firstDataCol="1"/>
  <pivotFields count="9">
    <pivotField dataField="1" showAll="0"/>
    <pivotField dataField="1" showAll="0"/>
    <pivotField dataField="1" showAll="0"/>
    <pivotField showAll="0"/>
    <pivotField showAll="0"/>
    <pivotField showAll="0"/>
    <pivotField showAll="0"/>
    <pivotField axis="axisRow" showAll="0">
      <items count="6">
        <item x="2"/>
        <item x="4"/>
        <item x="1"/>
        <item x="0"/>
        <item x="3"/>
        <item t="default"/>
      </items>
    </pivotField>
    <pivotField showAll="0">
      <items count="5">
        <item x="0"/>
        <item x="3"/>
        <item x="2"/>
        <item x="1"/>
        <item t="default"/>
      </items>
    </pivotField>
  </pivotFields>
  <rowFields count="1">
    <field x="7"/>
  </rowFields>
  <rowItems count="6">
    <i>
      <x/>
    </i>
    <i>
      <x v="1"/>
    </i>
    <i>
      <x v="2"/>
    </i>
    <i>
      <x v="3"/>
    </i>
    <i>
      <x v="4"/>
    </i>
    <i t="grand">
      <x/>
    </i>
  </rowItems>
  <colFields count="1">
    <field x="-2"/>
  </colFields>
  <colItems count="3">
    <i>
      <x/>
    </i>
    <i i="1">
      <x v="1"/>
    </i>
    <i i="2">
      <x v="2"/>
    </i>
  </colItems>
  <dataFields count="3">
    <dataField name="Average of Fatigue Index" fld="1" subtotal="average" baseField="7" baseItem="0"/>
    <dataField name="Average of Muscle Strength Score" fld="2" subtotal="average" baseField="7" baseItem="0"/>
    <dataField name="Average of VO2 Max" fld="0" subtotal="average" baseField="7"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C4050CC-1809-4C8E-873E-5FD3F289E82B}" name="PivotTable1" cacheId="6"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location ref="L5:O10" firstHeaderRow="0" firstDataRow="1" firstDataCol="1"/>
  <pivotFields count="9">
    <pivotField dataField="1" showAll="0"/>
    <pivotField dataField="1" showAll="0"/>
    <pivotField dataField="1" showAll="0"/>
    <pivotField showAll="0"/>
    <pivotField axis="axisRow" showAll="0">
      <items count="5">
        <item x="0"/>
        <item x="1"/>
        <item x="2"/>
        <item x="3"/>
        <item t="default"/>
      </items>
    </pivotField>
    <pivotField showAll="0"/>
    <pivotField showAll="0"/>
    <pivotField showAll="0"/>
    <pivotField showAll="0"/>
  </pivotFields>
  <rowFields count="1">
    <field x="4"/>
  </rowFields>
  <rowItems count="5">
    <i>
      <x/>
    </i>
    <i>
      <x v="1"/>
    </i>
    <i>
      <x v="2"/>
    </i>
    <i>
      <x v="3"/>
    </i>
    <i t="grand">
      <x/>
    </i>
  </rowItems>
  <colFields count="1">
    <field x="-2"/>
  </colFields>
  <colItems count="3">
    <i>
      <x/>
    </i>
    <i i="1">
      <x v="1"/>
    </i>
    <i i="2">
      <x v="2"/>
    </i>
  </colItems>
  <dataFields count="3">
    <dataField name="Average of VO2 Max" fld="0" subtotal="average" baseField="4" baseItem="0"/>
    <dataField name="Average of Fatigue Index" fld="1" subtotal="average" baseField="4" baseItem="0"/>
    <dataField name="Average of Muscle Strength Score" fld="2" subtotal="average" baseField="4" baseItem="0"/>
  </dataFields>
  <formats count="1">
    <format dxfId="4">
      <pivotArea outline="0" collapsedLevelsAreSubtotals="1" fieldPosition="0"/>
    </format>
  </formats>
  <chartFormats count="3">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7B4D8B1-331E-48E9-895C-2640C26F76ED}" name="PivotTable1" cacheId="7" applyNumberFormats="0" applyBorderFormats="0" applyFontFormats="0" applyPatternFormats="0" applyAlignmentFormats="0" applyWidthHeightFormats="1" dataCaption="Values" updatedVersion="8" minRefreshableVersion="3" useAutoFormatting="1" itemPrintTitles="1" createdVersion="8" indent="0" multipleFieldFilters="0">
  <location ref="H6:I11" firstHeaderRow="1" firstDataRow="1" firstDataCol="1"/>
  <pivotFields count="4">
    <pivotField axis="axisRow" showAll="0">
      <items count="5">
        <item x="0"/>
        <item x="2"/>
        <item x="1"/>
        <item x="3"/>
        <item t="default"/>
      </items>
    </pivotField>
    <pivotField dataField="1" showAll="0"/>
    <pivotField showAll="0"/>
    <pivotField showAll="0"/>
  </pivotFields>
  <rowFields count="1">
    <field x="0"/>
  </rowFields>
  <rowItems count="5">
    <i>
      <x/>
    </i>
    <i>
      <x v="1"/>
    </i>
    <i>
      <x v="2"/>
    </i>
    <i>
      <x v="3"/>
    </i>
    <i t="grand">
      <x/>
    </i>
  </rowItems>
  <colItems count="1">
    <i/>
  </colItems>
  <dataFields count="1">
    <dataField name="Average of Age" fld="1" subtotal="average"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EDA3CD3-7ED1-498E-A073-C0BAE3E0460B}" name="PivotTable3" cacheId="7" applyNumberFormats="0" applyBorderFormats="0" applyFontFormats="0" applyPatternFormats="0" applyAlignmentFormats="0" applyWidthHeightFormats="1" dataCaption="Values" updatedVersion="8" minRefreshableVersion="3" useAutoFormatting="1" itemPrintTitles="1" createdVersion="8" indent="0" multipleFieldFilters="0">
  <location ref="H23:I28" firstHeaderRow="1" firstDataRow="1" firstDataCol="1"/>
  <pivotFields count="4">
    <pivotField axis="axisRow" showAll="0">
      <items count="5">
        <item x="0"/>
        <item x="2"/>
        <item x="1"/>
        <item x="3"/>
        <item t="default"/>
      </items>
    </pivotField>
    <pivotField showAll="0"/>
    <pivotField showAll="0"/>
    <pivotField dataField="1" showAll="0"/>
  </pivotFields>
  <rowFields count="1">
    <field x="0"/>
  </rowFields>
  <rowItems count="5">
    <i>
      <x/>
    </i>
    <i>
      <x v="1"/>
    </i>
    <i>
      <x v="2"/>
    </i>
    <i>
      <x v="3"/>
    </i>
    <i t="grand">
      <x/>
    </i>
  </rowItems>
  <colItems count="1">
    <i/>
  </colItems>
  <dataFields count="1">
    <dataField name="Average of Weight (kg)" fld="3" subtotal="average" baseField="0" baseItem="0"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04CE5A4-2F04-448A-8A80-FA7E31979D8B}" name="PivotTable2" cacheId="7" applyNumberFormats="0" applyBorderFormats="0" applyFontFormats="0" applyPatternFormats="0" applyAlignmentFormats="0" applyWidthHeightFormats="1" dataCaption="Values" updatedVersion="8" minRefreshableVersion="3" useAutoFormatting="1" itemPrintTitles="1" createdVersion="8" indent="0" multipleFieldFilters="0">
  <location ref="H15:I20" firstHeaderRow="1" firstDataRow="1" firstDataCol="1"/>
  <pivotFields count="4">
    <pivotField axis="axisRow" showAll="0">
      <items count="5">
        <item x="0"/>
        <item x="2"/>
        <item x="1"/>
        <item x="3"/>
        <item t="default"/>
      </items>
    </pivotField>
    <pivotField showAll="0"/>
    <pivotField dataField="1" showAll="0"/>
    <pivotField showAll="0"/>
  </pivotFields>
  <rowFields count="1">
    <field x="0"/>
  </rowFields>
  <rowItems count="5">
    <i>
      <x/>
    </i>
    <i>
      <x v="1"/>
    </i>
    <i>
      <x v="2"/>
    </i>
    <i>
      <x v="3"/>
    </i>
    <i t="grand">
      <x/>
    </i>
  </rowItems>
  <colItems count="1">
    <i/>
  </colItems>
  <dataFields count="1">
    <dataField name="Average of Height (cm)" fld="2" subtotal="average" baseField="0" baseItem="0" numFmtId="1"/>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C055EA-A564-47B5-83DA-8644D30196DC}" name="Table1" displayName="Table1" ref="A3:B77" totalsRowShown="0">
  <autoFilter ref="A3:B77" xr:uid="{51C055EA-A564-47B5-83DA-8644D30196DC}"/>
  <tableColumns count="2">
    <tableColumn id="1" xr3:uid="{D0D36821-0C02-4B2E-953B-EEED5D3826BD}" name="Injury Type"/>
    <tableColumn id="2" xr3:uid="{2BBD5B76-746F-48AD-8445-EE9C81EE94B2}" name="Days to Full Recovery"/>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8BD73-F1F2-41FD-BD99-3CDBB7D85AD3}">
  <dimension ref="A1:AA281"/>
  <sheetViews>
    <sheetView tabSelected="1" topLeftCell="E1" workbookViewId="0">
      <selection activeCell="I1" sqref="I1:I281"/>
    </sheetView>
  </sheetViews>
  <sheetFormatPr defaultRowHeight="14.4" x14ac:dyDescent="0.3"/>
  <cols>
    <col min="1" max="1" width="8.44140625" bestFit="1" customWidth="1"/>
    <col min="2" max="2" width="7.33203125" bestFit="1" customWidth="1"/>
    <col min="3" max="5" width="10.33203125" bestFit="1" customWidth="1"/>
    <col min="6" max="6" width="8.33203125" bestFit="1" customWidth="1"/>
    <col min="7" max="7" width="7.88671875" bestFit="1" customWidth="1"/>
    <col min="8" max="8" width="6.6640625" bestFit="1" customWidth="1"/>
    <col min="9" max="9" width="6.44140625" bestFit="1" customWidth="1"/>
    <col min="10" max="10" width="8.6640625" bestFit="1" customWidth="1"/>
    <col min="11" max="11" width="7.6640625" bestFit="1" customWidth="1"/>
    <col min="12" max="12" width="8.109375" bestFit="1" customWidth="1"/>
    <col min="13" max="13" width="18.109375" bestFit="1" customWidth="1"/>
    <col min="14" max="14" width="14.44140625" bestFit="1" customWidth="1"/>
    <col min="15" max="15" width="18.109375" bestFit="1" customWidth="1"/>
    <col min="16" max="16" width="8.6640625" bestFit="1" customWidth="1"/>
    <col min="17" max="17" width="8" bestFit="1" customWidth="1"/>
    <col min="18" max="18" width="7.88671875" bestFit="1" customWidth="1"/>
    <col min="19" max="19" width="9.33203125" bestFit="1" customWidth="1"/>
    <col min="20" max="20" width="4.33203125" bestFit="1" customWidth="1"/>
    <col min="21" max="21" width="6.44140625" bestFit="1" customWidth="1"/>
    <col min="22" max="22" width="7" bestFit="1" customWidth="1"/>
    <col min="23" max="23" width="10.33203125" customWidth="1"/>
    <col min="24" max="24" width="8.6640625" customWidth="1"/>
    <col min="25" max="25" width="6.33203125" bestFit="1" customWidth="1"/>
    <col min="26" max="26" width="7.109375" bestFit="1" customWidth="1"/>
    <col min="27" max="27" width="8.33203125" bestFit="1" customWidth="1"/>
  </cols>
  <sheetData>
    <row r="1" spans="1:27" s="3" customFormat="1" ht="57.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spans="1:27" x14ac:dyDescent="0.3">
      <c r="A2" t="s">
        <v>27</v>
      </c>
      <c r="B2" t="s">
        <v>28</v>
      </c>
      <c r="C2" t="s">
        <v>29</v>
      </c>
      <c r="D2" t="s">
        <v>30</v>
      </c>
      <c r="E2" t="s">
        <v>31</v>
      </c>
      <c r="F2" t="s">
        <v>32</v>
      </c>
      <c r="G2">
        <v>71</v>
      </c>
      <c r="H2">
        <v>0</v>
      </c>
      <c r="I2">
        <v>2</v>
      </c>
      <c r="J2">
        <v>69.209999999999994</v>
      </c>
      <c r="K2">
        <v>11.7</v>
      </c>
      <c r="L2">
        <v>14.47</v>
      </c>
      <c r="N2" t="s">
        <v>33</v>
      </c>
      <c r="Q2">
        <v>0</v>
      </c>
      <c r="R2">
        <v>3</v>
      </c>
      <c r="S2" t="s">
        <v>34</v>
      </c>
      <c r="T2">
        <v>29</v>
      </c>
      <c r="U2">
        <v>188</v>
      </c>
      <c r="V2">
        <v>79</v>
      </c>
      <c r="W2" t="s">
        <v>35</v>
      </c>
      <c r="X2">
        <v>66.099999999999994</v>
      </c>
      <c r="Y2">
        <v>7.58</v>
      </c>
      <c r="Z2">
        <v>1.08</v>
      </c>
      <c r="AA2">
        <v>98.33</v>
      </c>
    </row>
    <row r="3" spans="1:27" x14ac:dyDescent="0.3">
      <c r="A3" t="s">
        <v>36</v>
      </c>
      <c r="B3" t="s">
        <v>37</v>
      </c>
      <c r="C3" t="s">
        <v>38</v>
      </c>
      <c r="D3" t="s">
        <v>39</v>
      </c>
      <c r="E3" t="s">
        <v>40</v>
      </c>
      <c r="F3" t="s">
        <v>41</v>
      </c>
      <c r="G3">
        <v>34</v>
      </c>
      <c r="H3">
        <v>2</v>
      </c>
      <c r="I3">
        <v>6</v>
      </c>
      <c r="J3">
        <v>94.97</v>
      </c>
      <c r="K3">
        <v>19.899999999999999</v>
      </c>
      <c r="L3">
        <v>6.66</v>
      </c>
      <c r="N3" t="s">
        <v>42</v>
      </c>
      <c r="O3" s="1">
        <v>45025</v>
      </c>
      <c r="P3">
        <v>57</v>
      </c>
      <c r="Q3">
        <v>0</v>
      </c>
      <c r="R3">
        <v>2</v>
      </c>
      <c r="S3" t="s">
        <v>43</v>
      </c>
      <c r="T3">
        <v>27</v>
      </c>
      <c r="U3">
        <v>195</v>
      </c>
      <c r="V3">
        <v>86</v>
      </c>
      <c r="W3" t="s">
        <v>44</v>
      </c>
      <c r="X3">
        <v>63</v>
      </c>
      <c r="Y3">
        <v>6.16</v>
      </c>
      <c r="Z3">
        <v>0.65</v>
      </c>
      <c r="AA3">
        <v>89.25</v>
      </c>
    </row>
    <row r="4" spans="1:27" x14ac:dyDescent="0.3">
      <c r="A4" t="s">
        <v>45</v>
      </c>
      <c r="B4" t="s">
        <v>37</v>
      </c>
      <c r="C4" t="s">
        <v>29</v>
      </c>
      <c r="D4" t="s">
        <v>46</v>
      </c>
      <c r="E4" t="s">
        <v>31</v>
      </c>
      <c r="F4" t="s">
        <v>41</v>
      </c>
      <c r="G4">
        <v>91</v>
      </c>
      <c r="H4">
        <v>2</v>
      </c>
      <c r="I4">
        <v>2</v>
      </c>
      <c r="J4">
        <v>68.989999999999995</v>
      </c>
      <c r="K4">
        <v>11.6</v>
      </c>
      <c r="L4">
        <v>12.71</v>
      </c>
      <c r="M4" s="1">
        <v>45154</v>
      </c>
      <c r="N4" t="s">
        <v>47</v>
      </c>
      <c r="Q4">
        <v>0</v>
      </c>
      <c r="R4">
        <v>0</v>
      </c>
      <c r="S4" t="s">
        <v>34</v>
      </c>
      <c r="T4">
        <v>24</v>
      </c>
      <c r="U4">
        <v>197</v>
      </c>
      <c r="V4">
        <v>74</v>
      </c>
      <c r="W4" t="s">
        <v>48</v>
      </c>
      <c r="X4">
        <v>63.7</v>
      </c>
      <c r="Y4">
        <v>7.9</v>
      </c>
      <c r="Z4">
        <v>1.31</v>
      </c>
      <c r="AA4">
        <v>90.14</v>
      </c>
    </row>
    <row r="5" spans="1:27" x14ac:dyDescent="0.3">
      <c r="A5" t="s">
        <v>49</v>
      </c>
      <c r="B5" t="s">
        <v>28</v>
      </c>
      <c r="C5" t="s">
        <v>29</v>
      </c>
      <c r="D5" t="s">
        <v>50</v>
      </c>
      <c r="E5" t="s">
        <v>51</v>
      </c>
      <c r="F5" t="s">
        <v>32</v>
      </c>
      <c r="G5">
        <v>80</v>
      </c>
      <c r="H5">
        <v>0</v>
      </c>
      <c r="I5">
        <v>5</v>
      </c>
      <c r="J5">
        <v>87.71</v>
      </c>
      <c r="K5">
        <v>17.899999999999999</v>
      </c>
      <c r="L5">
        <v>12.09</v>
      </c>
      <c r="N5" t="s">
        <v>42</v>
      </c>
      <c r="O5" s="1">
        <v>44973</v>
      </c>
      <c r="Q5">
        <v>0</v>
      </c>
      <c r="R5">
        <v>4</v>
      </c>
      <c r="S5" t="s">
        <v>52</v>
      </c>
      <c r="T5">
        <v>30</v>
      </c>
      <c r="U5">
        <v>198</v>
      </c>
      <c r="V5">
        <v>65</v>
      </c>
      <c r="W5" t="s">
        <v>53</v>
      </c>
      <c r="X5">
        <v>59.9</v>
      </c>
      <c r="Y5">
        <v>8.17</v>
      </c>
      <c r="Z5">
        <v>1.1399999999999999</v>
      </c>
      <c r="AA5">
        <v>88.97</v>
      </c>
    </row>
    <row r="6" spans="1:27" x14ac:dyDescent="0.3">
      <c r="A6" t="s">
        <v>54</v>
      </c>
      <c r="B6" t="s">
        <v>28</v>
      </c>
      <c r="C6" t="s">
        <v>38</v>
      </c>
      <c r="D6" t="s">
        <v>55</v>
      </c>
      <c r="E6" t="s">
        <v>56</v>
      </c>
      <c r="F6" t="s">
        <v>41</v>
      </c>
      <c r="G6">
        <v>40</v>
      </c>
      <c r="H6">
        <v>4</v>
      </c>
      <c r="I6">
        <v>5</v>
      </c>
      <c r="J6">
        <v>87.7</v>
      </c>
      <c r="K6">
        <v>17.8</v>
      </c>
      <c r="L6">
        <v>9.74</v>
      </c>
      <c r="N6" t="s">
        <v>33</v>
      </c>
      <c r="O6" s="1">
        <v>44943</v>
      </c>
      <c r="Q6">
        <v>0</v>
      </c>
      <c r="R6">
        <v>4</v>
      </c>
      <c r="S6" t="s">
        <v>34</v>
      </c>
      <c r="T6">
        <v>24</v>
      </c>
      <c r="U6">
        <v>196</v>
      </c>
      <c r="V6">
        <v>73</v>
      </c>
      <c r="W6" t="s">
        <v>53</v>
      </c>
      <c r="X6">
        <v>47.8</v>
      </c>
      <c r="Y6">
        <v>6.91</v>
      </c>
      <c r="Z6">
        <v>0.89</v>
      </c>
      <c r="AA6">
        <v>75.97</v>
      </c>
    </row>
    <row r="7" spans="1:27" x14ac:dyDescent="0.3">
      <c r="A7" t="s">
        <v>57</v>
      </c>
      <c r="B7" t="s">
        <v>37</v>
      </c>
      <c r="C7" t="s">
        <v>38</v>
      </c>
      <c r="D7" t="s">
        <v>58</v>
      </c>
      <c r="E7" t="s">
        <v>31</v>
      </c>
      <c r="F7" t="s">
        <v>41</v>
      </c>
      <c r="G7">
        <v>94</v>
      </c>
      <c r="H7">
        <v>0</v>
      </c>
      <c r="I7">
        <v>2</v>
      </c>
      <c r="J7">
        <v>68.98</v>
      </c>
      <c r="K7">
        <v>11.6</v>
      </c>
      <c r="L7">
        <v>5.58</v>
      </c>
      <c r="N7" t="s">
        <v>42</v>
      </c>
      <c r="P7">
        <v>22</v>
      </c>
      <c r="Q7">
        <v>0</v>
      </c>
      <c r="R7">
        <v>0</v>
      </c>
      <c r="S7" t="s">
        <v>52</v>
      </c>
      <c r="T7">
        <v>34</v>
      </c>
      <c r="U7">
        <v>194</v>
      </c>
      <c r="V7">
        <v>70</v>
      </c>
      <c r="W7" t="s">
        <v>53</v>
      </c>
      <c r="X7">
        <v>67.2</v>
      </c>
      <c r="Y7">
        <v>9.86</v>
      </c>
      <c r="Z7">
        <v>1.17</v>
      </c>
      <c r="AA7">
        <v>82.55</v>
      </c>
    </row>
    <row r="8" spans="1:27" x14ac:dyDescent="0.3">
      <c r="A8" t="s">
        <v>59</v>
      </c>
      <c r="B8" t="s">
        <v>28</v>
      </c>
      <c r="C8" t="s">
        <v>38</v>
      </c>
      <c r="D8" t="s">
        <v>60</v>
      </c>
      <c r="E8" t="s">
        <v>56</v>
      </c>
      <c r="F8" t="s">
        <v>32</v>
      </c>
      <c r="G8">
        <v>94</v>
      </c>
      <c r="H8">
        <v>1</v>
      </c>
      <c r="I8">
        <v>6</v>
      </c>
      <c r="J8">
        <v>94.84</v>
      </c>
      <c r="K8">
        <v>19.899999999999999</v>
      </c>
      <c r="L8">
        <v>5.75</v>
      </c>
      <c r="N8" t="s">
        <v>42</v>
      </c>
      <c r="Q8">
        <v>0</v>
      </c>
      <c r="R8">
        <v>0</v>
      </c>
      <c r="S8" t="s">
        <v>61</v>
      </c>
      <c r="T8">
        <v>27</v>
      </c>
      <c r="U8">
        <v>166</v>
      </c>
      <c r="V8">
        <v>98</v>
      </c>
      <c r="W8" t="s">
        <v>62</v>
      </c>
      <c r="X8">
        <v>60.1</v>
      </c>
      <c r="Y8">
        <v>9.64</v>
      </c>
      <c r="Z8">
        <v>0.76</v>
      </c>
      <c r="AA8">
        <v>92.53</v>
      </c>
    </row>
    <row r="9" spans="1:27" x14ac:dyDescent="0.3">
      <c r="A9" t="s">
        <v>63</v>
      </c>
      <c r="B9" t="s">
        <v>64</v>
      </c>
      <c r="C9" t="s">
        <v>65</v>
      </c>
      <c r="D9" t="s">
        <v>66</v>
      </c>
      <c r="E9" t="s">
        <v>31</v>
      </c>
      <c r="F9" t="s">
        <v>41</v>
      </c>
      <c r="G9">
        <v>43</v>
      </c>
      <c r="H9">
        <v>0</v>
      </c>
      <c r="I9">
        <v>2</v>
      </c>
      <c r="J9">
        <v>68.98</v>
      </c>
      <c r="K9">
        <v>11.5</v>
      </c>
      <c r="L9">
        <v>13.52</v>
      </c>
      <c r="M9" s="1">
        <v>45247</v>
      </c>
      <c r="N9" t="s">
        <v>33</v>
      </c>
      <c r="Q9">
        <v>0</v>
      </c>
      <c r="R9">
        <v>4</v>
      </c>
      <c r="S9" t="s">
        <v>52</v>
      </c>
      <c r="T9">
        <v>27</v>
      </c>
      <c r="U9">
        <v>186</v>
      </c>
      <c r="V9">
        <v>68</v>
      </c>
      <c r="W9" t="s">
        <v>48</v>
      </c>
      <c r="X9">
        <v>56.8</v>
      </c>
      <c r="Y9">
        <v>8.89</v>
      </c>
      <c r="Z9">
        <v>0.85</v>
      </c>
      <c r="AA9">
        <v>73.040000000000006</v>
      </c>
    </row>
    <row r="10" spans="1:27" x14ac:dyDescent="0.3">
      <c r="A10" t="s">
        <v>67</v>
      </c>
      <c r="B10" t="s">
        <v>68</v>
      </c>
      <c r="C10" t="s">
        <v>29</v>
      </c>
      <c r="D10" t="s">
        <v>69</v>
      </c>
      <c r="E10" t="s">
        <v>56</v>
      </c>
      <c r="F10" t="s">
        <v>32</v>
      </c>
      <c r="G10">
        <v>22</v>
      </c>
      <c r="H10">
        <v>2</v>
      </c>
      <c r="I10">
        <v>1</v>
      </c>
      <c r="J10">
        <v>61.65</v>
      </c>
      <c r="K10">
        <v>9.3000000000000007</v>
      </c>
      <c r="L10">
        <v>14.9</v>
      </c>
      <c r="N10" t="s">
        <v>43</v>
      </c>
      <c r="Q10">
        <v>0</v>
      </c>
      <c r="R10">
        <v>2</v>
      </c>
      <c r="S10" t="s">
        <v>34</v>
      </c>
      <c r="T10">
        <v>21</v>
      </c>
      <c r="U10">
        <v>187</v>
      </c>
      <c r="V10">
        <v>85</v>
      </c>
      <c r="W10" t="s">
        <v>70</v>
      </c>
      <c r="X10">
        <v>43.3</v>
      </c>
      <c r="Y10">
        <v>8.1300000000000008</v>
      </c>
      <c r="Z10">
        <v>1.42</v>
      </c>
      <c r="AA10">
        <v>78.34</v>
      </c>
    </row>
    <row r="11" spans="1:27" x14ac:dyDescent="0.3">
      <c r="A11" t="s">
        <v>71</v>
      </c>
      <c r="B11" t="s">
        <v>37</v>
      </c>
      <c r="C11" t="s">
        <v>29</v>
      </c>
      <c r="D11" t="s">
        <v>72</v>
      </c>
      <c r="E11" t="s">
        <v>51</v>
      </c>
      <c r="F11" t="s">
        <v>32</v>
      </c>
      <c r="G11">
        <v>41</v>
      </c>
      <c r="H11">
        <v>0</v>
      </c>
      <c r="I11">
        <v>3</v>
      </c>
      <c r="J11">
        <v>74.290000000000006</v>
      </c>
      <c r="K11">
        <v>13.8</v>
      </c>
      <c r="L11">
        <v>11.76</v>
      </c>
      <c r="N11" t="s">
        <v>42</v>
      </c>
      <c r="Q11">
        <v>0</v>
      </c>
      <c r="R11">
        <v>4</v>
      </c>
      <c r="S11" t="s">
        <v>43</v>
      </c>
      <c r="T11">
        <v>37</v>
      </c>
      <c r="U11">
        <v>181</v>
      </c>
      <c r="V11">
        <v>75</v>
      </c>
      <c r="W11" t="s">
        <v>53</v>
      </c>
      <c r="X11">
        <v>53.4</v>
      </c>
      <c r="Y11">
        <v>9.48</v>
      </c>
      <c r="Z11">
        <v>0.79</v>
      </c>
      <c r="AA11">
        <v>78.290000000000006</v>
      </c>
    </row>
    <row r="12" spans="1:27" x14ac:dyDescent="0.3">
      <c r="A12" t="s">
        <v>73</v>
      </c>
      <c r="B12" t="s">
        <v>37</v>
      </c>
      <c r="C12" t="s">
        <v>38</v>
      </c>
      <c r="D12" t="s">
        <v>74</v>
      </c>
      <c r="E12" t="s">
        <v>75</v>
      </c>
      <c r="F12" t="s">
        <v>32</v>
      </c>
      <c r="G12">
        <v>72</v>
      </c>
      <c r="H12">
        <v>4</v>
      </c>
      <c r="I12">
        <v>6</v>
      </c>
      <c r="J12">
        <v>94.62</v>
      </c>
      <c r="K12">
        <v>19.899999999999999</v>
      </c>
      <c r="L12">
        <v>9.4600000000000009</v>
      </c>
      <c r="N12" t="s">
        <v>33</v>
      </c>
      <c r="Q12">
        <v>0</v>
      </c>
      <c r="R12">
        <v>0</v>
      </c>
      <c r="S12" t="s">
        <v>61</v>
      </c>
      <c r="T12">
        <v>21</v>
      </c>
      <c r="U12">
        <v>173</v>
      </c>
      <c r="V12">
        <v>64</v>
      </c>
      <c r="W12" t="s">
        <v>53</v>
      </c>
      <c r="X12">
        <v>53.8</v>
      </c>
      <c r="Y12">
        <v>6.52</v>
      </c>
      <c r="Z12">
        <v>0.97</v>
      </c>
      <c r="AA12">
        <v>82.96</v>
      </c>
    </row>
    <row r="13" spans="1:27" x14ac:dyDescent="0.3">
      <c r="A13" t="s">
        <v>76</v>
      </c>
      <c r="B13" t="s">
        <v>64</v>
      </c>
      <c r="C13" t="s">
        <v>29</v>
      </c>
      <c r="D13" t="s">
        <v>77</v>
      </c>
      <c r="E13" t="s">
        <v>56</v>
      </c>
      <c r="F13" t="s">
        <v>41</v>
      </c>
      <c r="G13">
        <v>21</v>
      </c>
      <c r="H13">
        <v>3</v>
      </c>
      <c r="I13">
        <v>6</v>
      </c>
      <c r="J13">
        <v>94.57</v>
      </c>
      <c r="K13">
        <v>19.8</v>
      </c>
      <c r="L13">
        <v>11.48</v>
      </c>
      <c r="N13" t="s">
        <v>33</v>
      </c>
      <c r="Q13">
        <v>0</v>
      </c>
      <c r="R13">
        <v>3</v>
      </c>
      <c r="S13" t="s">
        <v>61</v>
      </c>
      <c r="T13">
        <v>39</v>
      </c>
      <c r="U13">
        <v>166</v>
      </c>
      <c r="V13">
        <v>69</v>
      </c>
      <c r="W13" t="s">
        <v>70</v>
      </c>
      <c r="X13">
        <v>65.900000000000006</v>
      </c>
      <c r="Y13">
        <v>9.16</v>
      </c>
      <c r="Z13">
        <v>1.39</v>
      </c>
      <c r="AA13">
        <v>99.41</v>
      </c>
    </row>
    <row r="14" spans="1:27" x14ac:dyDescent="0.3">
      <c r="A14" t="s">
        <v>78</v>
      </c>
      <c r="B14" t="s">
        <v>37</v>
      </c>
      <c r="C14" t="s">
        <v>29</v>
      </c>
      <c r="D14" t="s">
        <v>79</v>
      </c>
      <c r="E14" t="s">
        <v>80</v>
      </c>
      <c r="F14" t="s">
        <v>41</v>
      </c>
      <c r="G14">
        <v>49</v>
      </c>
      <c r="H14">
        <v>0</v>
      </c>
      <c r="I14">
        <v>4</v>
      </c>
      <c r="J14">
        <v>82.2</v>
      </c>
      <c r="K14">
        <v>15.7</v>
      </c>
      <c r="L14">
        <v>10.94</v>
      </c>
      <c r="N14" t="s">
        <v>47</v>
      </c>
      <c r="P14">
        <v>82</v>
      </c>
      <c r="Q14">
        <v>1</v>
      </c>
      <c r="R14">
        <v>1</v>
      </c>
      <c r="S14" t="s">
        <v>52</v>
      </c>
      <c r="T14">
        <v>24</v>
      </c>
      <c r="U14">
        <v>196</v>
      </c>
      <c r="V14">
        <v>62</v>
      </c>
      <c r="W14" t="s">
        <v>48</v>
      </c>
      <c r="X14">
        <v>56.4</v>
      </c>
      <c r="Y14">
        <v>6.5</v>
      </c>
      <c r="Z14">
        <v>1.21</v>
      </c>
      <c r="AA14">
        <v>72.03</v>
      </c>
    </row>
    <row r="15" spans="1:27" x14ac:dyDescent="0.3">
      <c r="A15" t="s">
        <v>81</v>
      </c>
      <c r="B15" t="s">
        <v>64</v>
      </c>
      <c r="C15" t="s">
        <v>82</v>
      </c>
      <c r="D15" t="s">
        <v>83</v>
      </c>
      <c r="E15" t="s">
        <v>75</v>
      </c>
      <c r="F15" t="s">
        <v>41</v>
      </c>
      <c r="G15">
        <v>57</v>
      </c>
      <c r="H15">
        <v>0</v>
      </c>
      <c r="I15">
        <v>0</v>
      </c>
      <c r="J15">
        <v>54.93</v>
      </c>
      <c r="K15">
        <v>6.5</v>
      </c>
      <c r="L15">
        <v>8.84</v>
      </c>
      <c r="M15" s="1">
        <v>45208</v>
      </c>
      <c r="N15" t="s">
        <v>33</v>
      </c>
      <c r="Q15">
        <v>0</v>
      </c>
      <c r="R15">
        <v>3</v>
      </c>
      <c r="S15" t="s">
        <v>43</v>
      </c>
      <c r="T15">
        <v>39</v>
      </c>
      <c r="U15">
        <v>181</v>
      </c>
      <c r="V15">
        <v>72</v>
      </c>
      <c r="W15" t="s">
        <v>48</v>
      </c>
      <c r="X15">
        <v>51.4</v>
      </c>
      <c r="Y15">
        <v>9.18</v>
      </c>
      <c r="Z15">
        <v>0.56000000000000005</v>
      </c>
      <c r="AA15">
        <v>85.56</v>
      </c>
    </row>
    <row r="16" spans="1:27" x14ac:dyDescent="0.3">
      <c r="A16" t="s">
        <v>84</v>
      </c>
      <c r="B16" t="s">
        <v>37</v>
      </c>
      <c r="C16" t="s">
        <v>38</v>
      </c>
      <c r="D16" t="s">
        <v>85</v>
      </c>
      <c r="E16" t="s">
        <v>75</v>
      </c>
      <c r="F16" t="s">
        <v>32</v>
      </c>
      <c r="G16">
        <v>21</v>
      </c>
      <c r="H16">
        <v>4</v>
      </c>
      <c r="I16">
        <v>3</v>
      </c>
      <c r="J16">
        <v>74.23</v>
      </c>
      <c r="K16">
        <v>13.8</v>
      </c>
      <c r="L16">
        <v>5.66</v>
      </c>
      <c r="N16" t="s">
        <v>47</v>
      </c>
      <c r="O16" s="1">
        <v>44990</v>
      </c>
      <c r="P16">
        <v>86</v>
      </c>
      <c r="Q16">
        <v>0</v>
      </c>
      <c r="R16">
        <v>3</v>
      </c>
      <c r="S16" t="s">
        <v>43</v>
      </c>
      <c r="T16">
        <v>18</v>
      </c>
      <c r="U16">
        <v>164</v>
      </c>
      <c r="V16">
        <v>89</v>
      </c>
      <c r="W16" t="s">
        <v>35</v>
      </c>
      <c r="X16">
        <v>69.3</v>
      </c>
      <c r="Y16">
        <v>7.1</v>
      </c>
      <c r="Z16">
        <v>0.65</v>
      </c>
      <c r="AA16">
        <v>75.38</v>
      </c>
    </row>
    <row r="17" spans="1:27" x14ac:dyDescent="0.3">
      <c r="A17" t="s">
        <v>86</v>
      </c>
      <c r="B17" t="s">
        <v>28</v>
      </c>
      <c r="C17" t="s">
        <v>29</v>
      </c>
      <c r="D17" t="s">
        <v>87</v>
      </c>
      <c r="E17" t="s">
        <v>56</v>
      </c>
      <c r="F17" t="s">
        <v>32</v>
      </c>
      <c r="G17">
        <v>83</v>
      </c>
      <c r="H17">
        <v>2</v>
      </c>
      <c r="I17">
        <v>5</v>
      </c>
      <c r="J17">
        <v>87.67</v>
      </c>
      <c r="K17">
        <v>17.8</v>
      </c>
      <c r="L17">
        <v>13.22</v>
      </c>
      <c r="M17" s="1">
        <v>45213</v>
      </c>
      <c r="N17" t="s">
        <v>47</v>
      </c>
      <c r="O17" s="1">
        <v>45079</v>
      </c>
      <c r="Q17">
        <v>0</v>
      </c>
      <c r="R17">
        <v>0</v>
      </c>
      <c r="S17" t="s">
        <v>34</v>
      </c>
      <c r="T17">
        <v>29</v>
      </c>
      <c r="U17">
        <v>161</v>
      </c>
      <c r="V17">
        <v>65</v>
      </c>
      <c r="W17" t="s">
        <v>35</v>
      </c>
      <c r="X17">
        <v>43.3</v>
      </c>
      <c r="Y17">
        <v>9.51</v>
      </c>
      <c r="Z17">
        <v>0.51</v>
      </c>
      <c r="AA17">
        <v>99.12</v>
      </c>
    </row>
    <row r="18" spans="1:27" x14ac:dyDescent="0.3">
      <c r="A18" t="s">
        <v>88</v>
      </c>
      <c r="B18" t="s">
        <v>68</v>
      </c>
      <c r="C18" t="s">
        <v>38</v>
      </c>
      <c r="D18" t="s">
        <v>89</v>
      </c>
      <c r="E18" t="s">
        <v>80</v>
      </c>
      <c r="F18" t="s">
        <v>41</v>
      </c>
      <c r="G18">
        <v>79</v>
      </c>
      <c r="H18">
        <v>4</v>
      </c>
      <c r="I18">
        <v>6</v>
      </c>
      <c r="J18">
        <v>94.51</v>
      </c>
      <c r="K18">
        <v>19.8</v>
      </c>
      <c r="L18">
        <v>8.7200000000000006</v>
      </c>
      <c r="N18" t="s">
        <v>33</v>
      </c>
      <c r="P18">
        <v>40</v>
      </c>
      <c r="Q18">
        <v>0</v>
      </c>
      <c r="R18">
        <v>4</v>
      </c>
      <c r="S18" t="s">
        <v>34</v>
      </c>
      <c r="T18">
        <v>30</v>
      </c>
      <c r="U18">
        <v>186</v>
      </c>
      <c r="V18">
        <v>76</v>
      </c>
      <c r="W18" t="s">
        <v>35</v>
      </c>
      <c r="X18">
        <v>52.7</v>
      </c>
      <c r="Y18">
        <v>9.7799999999999994</v>
      </c>
      <c r="Z18">
        <v>1.1299999999999999</v>
      </c>
      <c r="AA18">
        <v>73.400000000000006</v>
      </c>
    </row>
    <row r="19" spans="1:27" x14ac:dyDescent="0.3">
      <c r="A19" t="s">
        <v>90</v>
      </c>
      <c r="B19" t="s">
        <v>68</v>
      </c>
      <c r="C19" t="s">
        <v>65</v>
      </c>
      <c r="D19" t="s">
        <v>91</v>
      </c>
      <c r="E19" t="s">
        <v>80</v>
      </c>
      <c r="F19" t="s">
        <v>32</v>
      </c>
      <c r="G19">
        <v>40</v>
      </c>
      <c r="H19">
        <v>4</v>
      </c>
      <c r="I19">
        <v>2</v>
      </c>
      <c r="J19">
        <v>68.790000000000006</v>
      </c>
      <c r="K19">
        <v>11.4</v>
      </c>
      <c r="L19">
        <v>13.19</v>
      </c>
      <c r="N19" t="s">
        <v>42</v>
      </c>
      <c r="Q19">
        <v>0</v>
      </c>
      <c r="R19">
        <v>2</v>
      </c>
      <c r="S19" t="s">
        <v>34</v>
      </c>
      <c r="T19">
        <v>27</v>
      </c>
      <c r="U19">
        <v>180</v>
      </c>
      <c r="V19">
        <v>78</v>
      </c>
      <c r="W19" t="s">
        <v>48</v>
      </c>
      <c r="X19">
        <v>41.3</v>
      </c>
      <c r="Y19">
        <v>6.6</v>
      </c>
      <c r="Z19">
        <v>0.95</v>
      </c>
      <c r="AA19">
        <v>82.11</v>
      </c>
    </row>
    <row r="20" spans="1:27" x14ac:dyDescent="0.3">
      <c r="A20" t="s">
        <v>92</v>
      </c>
      <c r="B20" t="s">
        <v>64</v>
      </c>
      <c r="C20" t="s">
        <v>65</v>
      </c>
      <c r="D20" t="s">
        <v>93</v>
      </c>
      <c r="E20" t="s">
        <v>94</v>
      </c>
      <c r="F20" t="s">
        <v>41</v>
      </c>
      <c r="G20">
        <v>52</v>
      </c>
      <c r="H20">
        <v>4</v>
      </c>
      <c r="I20">
        <v>3</v>
      </c>
      <c r="J20">
        <v>73.97</v>
      </c>
      <c r="K20">
        <v>13.7</v>
      </c>
      <c r="L20">
        <v>7.53</v>
      </c>
      <c r="N20" t="s">
        <v>33</v>
      </c>
      <c r="O20" s="1">
        <v>45187</v>
      </c>
      <c r="P20">
        <v>84</v>
      </c>
      <c r="Q20">
        <v>0</v>
      </c>
      <c r="R20">
        <v>3</v>
      </c>
      <c r="S20" t="s">
        <v>34</v>
      </c>
      <c r="T20">
        <v>32</v>
      </c>
      <c r="U20">
        <v>197</v>
      </c>
      <c r="V20">
        <v>94</v>
      </c>
      <c r="W20" t="s">
        <v>44</v>
      </c>
      <c r="X20">
        <v>62.2</v>
      </c>
      <c r="Y20">
        <v>7.85</v>
      </c>
      <c r="Z20">
        <v>0.63</v>
      </c>
      <c r="AA20">
        <v>92.14</v>
      </c>
    </row>
    <row r="21" spans="1:27" x14ac:dyDescent="0.3">
      <c r="A21" t="s">
        <v>95</v>
      </c>
      <c r="B21" t="s">
        <v>28</v>
      </c>
      <c r="C21" t="s">
        <v>29</v>
      </c>
      <c r="D21" t="s">
        <v>96</v>
      </c>
      <c r="E21" t="s">
        <v>40</v>
      </c>
      <c r="F21" t="s">
        <v>41</v>
      </c>
      <c r="G21">
        <v>77</v>
      </c>
      <c r="H21">
        <v>4</v>
      </c>
      <c r="I21">
        <v>4</v>
      </c>
      <c r="J21">
        <v>81.72</v>
      </c>
      <c r="K21">
        <v>15.6</v>
      </c>
      <c r="L21">
        <v>5.01</v>
      </c>
      <c r="N21" t="s">
        <v>33</v>
      </c>
      <c r="Q21">
        <v>0</v>
      </c>
      <c r="R21">
        <v>4</v>
      </c>
      <c r="S21" t="s">
        <v>52</v>
      </c>
      <c r="T21">
        <v>30</v>
      </c>
      <c r="U21">
        <v>174</v>
      </c>
      <c r="V21">
        <v>85</v>
      </c>
      <c r="W21" t="s">
        <v>53</v>
      </c>
      <c r="X21">
        <v>67.5</v>
      </c>
      <c r="Y21">
        <v>9.92</v>
      </c>
      <c r="Z21">
        <v>1.46</v>
      </c>
      <c r="AA21">
        <v>91.14</v>
      </c>
    </row>
    <row r="22" spans="1:27" x14ac:dyDescent="0.3">
      <c r="A22" t="s">
        <v>97</v>
      </c>
      <c r="B22" t="s">
        <v>64</v>
      </c>
      <c r="C22" t="s">
        <v>29</v>
      </c>
      <c r="D22" t="s">
        <v>98</v>
      </c>
      <c r="E22" t="s">
        <v>31</v>
      </c>
      <c r="F22" t="s">
        <v>41</v>
      </c>
      <c r="G22">
        <v>41</v>
      </c>
      <c r="H22">
        <v>1</v>
      </c>
      <c r="I22">
        <v>5</v>
      </c>
      <c r="J22">
        <v>87.38</v>
      </c>
      <c r="K22">
        <v>17.8</v>
      </c>
      <c r="L22">
        <v>6.59</v>
      </c>
      <c r="N22" t="s">
        <v>43</v>
      </c>
      <c r="O22" s="1">
        <v>45120</v>
      </c>
      <c r="P22">
        <v>77</v>
      </c>
      <c r="Q22">
        <v>1</v>
      </c>
      <c r="R22">
        <v>2</v>
      </c>
      <c r="S22" t="s">
        <v>52</v>
      </c>
      <c r="T22">
        <v>39</v>
      </c>
      <c r="U22">
        <v>180</v>
      </c>
      <c r="V22">
        <v>64</v>
      </c>
      <c r="W22" t="s">
        <v>44</v>
      </c>
      <c r="X22">
        <v>48.4</v>
      </c>
      <c r="Y22">
        <v>7.93</v>
      </c>
      <c r="Z22">
        <v>1.03</v>
      </c>
      <c r="AA22">
        <v>82.68</v>
      </c>
    </row>
    <row r="23" spans="1:27" x14ac:dyDescent="0.3">
      <c r="A23" t="s">
        <v>99</v>
      </c>
      <c r="B23" t="s">
        <v>68</v>
      </c>
      <c r="C23" t="s">
        <v>29</v>
      </c>
      <c r="D23" t="s">
        <v>100</v>
      </c>
      <c r="E23" t="s">
        <v>75</v>
      </c>
      <c r="F23" t="s">
        <v>41</v>
      </c>
      <c r="G23">
        <v>68</v>
      </c>
      <c r="H23">
        <v>1</v>
      </c>
      <c r="I23">
        <v>0</v>
      </c>
      <c r="J23">
        <v>54.8</v>
      </c>
      <c r="K23">
        <v>6.4</v>
      </c>
      <c r="L23">
        <v>9.69</v>
      </c>
      <c r="N23" t="s">
        <v>47</v>
      </c>
      <c r="O23" s="1">
        <v>45034</v>
      </c>
      <c r="Q23">
        <v>0</v>
      </c>
      <c r="R23">
        <v>3</v>
      </c>
      <c r="S23" t="s">
        <v>52</v>
      </c>
      <c r="T23">
        <v>39</v>
      </c>
      <c r="U23">
        <v>169</v>
      </c>
      <c r="V23">
        <v>88</v>
      </c>
      <c r="W23" t="s">
        <v>70</v>
      </c>
      <c r="X23">
        <v>65.8</v>
      </c>
      <c r="Y23">
        <v>9.4499999999999993</v>
      </c>
      <c r="Z23">
        <v>0.74</v>
      </c>
      <c r="AA23">
        <v>80.400000000000006</v>
      </c>
    </row>
    <row r="24" spans="1:27" x14ac:dyDescent="0.3">
      <c r="A24" t="s">
        <v>101</v>
      </c>
      <c r="B24" t="s">
        <v>64</v>
      </c>
      <c r="C24" t="s">
        <v>38</v>
      </c>
      <c r="D24" t="s">
        <v>102</v>
      </c>
      <c r="E24" t="s">
        <v>80</v>
      </c>
      <c r="F24" t="s">
        <v>41</v>
      </c>
      <c r="G24">
        <v>78</v>
      </c>
      <c r="H24">
        <v>2</v>
      </c>
      <c r="I24">
        <v>0</v>
      </c>
      <c r="J24">
        <v>54.76</v>
      </c>
      <c r="K24">
        <v>6.4</v>
      </c>
      <c r="L24">
        <v>14.44</v>
      </c>
      <c r="N24" t="s">
        <v>43</v>
      </c>
      <c r="Q24">
        <v>0</v>
      </c>
      <c r="R24">
        <v>2</v>
      </c>
      <c r="S24" t="s">
        <v>34</v>
      </c>
      <c r="T24">
        <v>38</v>
      </c>
      <c r="U24">
        <v>182</v>
      </c>
      <c r="V24">
        <v>96</v>
      </c>
      <c r="W24" t="s">
        <v>48</v>
      </c>
      <c r="X24">
        <v>48.8</v>
      </c>
      <c r="Y24">
        <v>8.35</v>
      </c>
      <c r="Z24">
        <v>1</v>
      </c>
      <c r="AA24">
        <v>81.93</v>
      </c>
    </row>
    <row r="25" spans="1:27" x14ac:dyDescent="0.3">
      <c r="A25" t="s">
        <v>103</v>
      </c>
      <c r="B25" t="s">
        <v>64</v>
      </c>
      <c r="C25" t="s">
        <v>29</v>
      </c>
      <c r="D25" t="s">
        <v>104</v>
      </c>
      <c r="E25" t="s">
        <v>51</v>
      </c>
      <c r="F25" t="s">
        <v>41</v>
      </c>
      <c r="G25">
        <v>61</v>
      </c>
      <c r="H25">
        <v>0</v>
      </c>
      <c r="I25">
        <v>4</v>
      </c>
      <c r="J25">
        <v>81.45</v>
      </c>
      <c r="K25">
        <v>15.6</v>
      </c>
      <c r="L25">
        <v>6.02</v>
      </c>
      <c r="N25" t="s">
        <v>43</v>
      </c>
      <c r="O25" s="1">
        <v>45147</v>
      </c>
      <c r="Q25">
        <v>0</v>
      </c>
      <c r="R25">
        <v>4</v>
      </c>
      <c r="S25" t="s">
        <v>61</v>
      </c>
      <c r="T25">
        <v>39</v>
      </c>
      <c r="U25">
        <v>198</v>
      </c>
      <c r="V25">
        <v>79</v>
      </c>
      <c r="W25" t="s">
        <v>53</v>
      </c>
      <c r="X25">
        <v>67.3</v>
      </c>
      <c r="Y25">
        <v>7.5</v>
      </c>
      <c r="Z25">
        <v>1.18</v>
      </c>
      <c r="AA25">
        <v>77.930000000000007</v>
      </c>
    </row>
    <row r="26" spans="1:27" x14ac:dyDescent="0.3">
      <c r="A26" t="s">
        <v>105</v>
      </c>
      <c r="B26" t="s">
        <v>28</v>
      </c>
      <c r="C26" t="s">
        <v>65</v>
      </c>
      <c r="D26" t="s">
        <v>106</v>
      </c>
      <c r="E26" t="s">
        <v>31</v>
      </c>
      <c r="F26" t="s">
        <v>41</v>
      </c>
      <c r="G26">
        <v>79</v>
      </c>
      <c r="H26">
        <v>4</v>
      </c>
      <c r="I26">
        <v>4</v>
      </c>
      <c r="J26">
        <v>81.45</v>
      </c>
      <c r="K26">
        <v>15.5</v>
      </c>
      <c r="L26">
        <v>13.54</v>
      </c>
      <c r="N26" t="s">
        <v>42</v>
      </c>
      <c r="O26" s="1">
        <v>44964</v>
      </c>
      <c r="P26">
        <v>13</v>
      </c>
      <c r="Q26">
        <v>0</v>
      </c>
      <c r="R26">
        <v>1</v>
      </c>
      <c r="S26" t="s">
        <v>43</v>
      </c>
      <c r="T26">
        <v>26</v>
      </c>
      <c r="U26">
        <v>164</v>
      </c>
      <c r="V26">
        <v>80</v>
      </c>
      <c r="W26" t="s">
        <v>44</v>
      </c>
      <c r="X26">
        <v>62.6</v>
      </c>
      <c r="Y26">
        <v>7.14</v>
      </c>
      <c r="Z26">
        <v>0.57999999999999996</v>
      </c>
      <c r="AA26">
        <v>76.16</v>
      </c>
    </row>
    <row r="27" spans="1:27" x14ac:dyDescent="0.3">
      <c r="A27" t="s">
        <v>107</v>
      </c>
      <c r="B27" t="s">
        <v>37</v>
      </c>
      <c r="C27" t="s">
        <v>65</v>
      </c>
      <c r="D27" t="s">
        <v>108</v>
      </c>
      <c r="E27" t="s">
        <v>75</v>
      </c>
      <c r="F27" t="s">
        <v>32</v>
      </c>
      <c r="G27">
        <v>34</v>
      </c>
      <c r="H27">
        <v>0</v>
      </c>
      <c r="I27">
        <v>2</v>
      </c>
      <c r="J27">
        <v>68.58</v>
      </c>
      <c r="K27">
        <v>11.4</v>
      </c>
      <c r="L27">
        <v>10.27</v>
      </c>
      <c r="N27" t="s">
        <v>42</v>
      </c>
      <c r="Q27">
        <v>0</v>
      </c>
      <c r="R27">
        <v>4</v>
      </c>
      <c r="S27" t="s">
        <v>43</v>
      </c>
      <c r="T27">
        <v>26</v>
      </c>
      <c r="U27">
        <v>160</v>
      </c>
      <c r="V27">
        <v>69</v>
      </c>
      <c r="W27" t="s">
        <v>53</v>
      </c>
      <c r="X27">
        <v>64.099999999999994</v>
      </c>
      <c r="Y27">
        <v>6.81</v>
      </c>
      <c r="Z27">
        <v>0.77</v>
      </c>
      <c r="AA27">
        <v>84.49</v>
      </c>
    </row>
    <row r="28" spans="1:27" x14ac:dyDescent="0.3">
      <c r="A28" t="s">
        <v>109</v>
      </c>
      <c r="B28" t="s">
        <v>37</v>
      </c>
      <c r="C28" t="s">
        <v>38</v>
      </c>
      <c r="D28" t="s">
        <v>110</v>
      </c>
      <c r="E28" t="s">
        <v>40</v>
      </c>
      <c r="F28" t="s">
        <v>41</v>
      </c>
      <c r="G28">
        <v>81</v>
      </c>
      <c r="H28">
        <v>0</v>
      </c>
      <c r="I28">
        <v>6</v>
      </c>
      <c r="J28">
        <v>94.34</v>
      </c>
      <c r="K28">
        <v>19.8</v>
      </c>
      <c r="L28">
        <v>13.26</v>
      </c>
      <c r="M28" s="1">
        <v>45122</v>
      </c>
      <c r="N28" t="s">
        <v>47</v>
      </c>
      <c r="Q28">
        <v>0</v>
      </c>
      <c r="R28">
        <v>0</v>
      </c>
      <c r="S28" t="s">
        <v>61</v>
      </c>
      <c r="T28">
        <v>32</v>
      </c>
      <c r="U28">
        <v>172</v>
      </c>
      <c r="V28">
        <v>64</v>
      </c>
      <c r="W28" t="s">
        <v>44</v>
      </c>
      <c r="X28">
        <v>40.5</v>
      </c>
      <c r="Y28">
        <v>9.0500000000000007</v>
      </c>
      <c r="Z28">
        <v>1.31</v>
      </c>
      <c r="AA28">
        <v>78.06</v>
      </c>
    </row>
    <row r="29" spans="1:27" x14ac:dyDescent="0.3">
      <c r="A29" t="s">
        <v>111</v>
      </c>
      <c r="B29" t="s">
        <v>64</v>
      </c>
      <c r="C29" t="s">
        <v>38</v>
      </c>
      <c r="D29" t="s">
        <v>112</v>
      </c>
      <c r="E29" t="s">
        <v>40</v>
      </c>
      <c r="F29" t="s">
        <v>41</v>
      </c>
      <c r="G29">
        <v>81</v>
      </c>
      <c r="H29">
        <v>2</v>
      </c>
      <c r="I29">
        <v>0</v>
      </c>
      <c r="J29">
        <v>54.64</v>
      </c>
      <c r="K29">
        <v>6.4</v>
      </c>
      <c r="L29">
        <v>7.98</v>
      </c>
      <c r="N29" t="s">
        <v>47</v>
      </c>
      <c r="Q29">
        <v>0</v>
      </c>
      <c r="R29">
        <v>2</v>
      </c>
      <c r="S29" t="s">
        <v>34</v>
      </c>
      <c r="T29">
        <v>27</v>
      </c>
      <c r="U29">
        <v>180</v>
      </c>
      <c r="V29">
        <v>95</v>
      </c>
      <c r="W29" t="s">
        <v>48</v>
      </c>
      <c r="X29">
        <v>68.900000000000006</v>
      </c>
      <c r="Y29">
        <v>7.55</v>
      </c>
      <c r="Z29">
        <v>0.96</v>
      </c>
      <c r="AA29">
        <v>78.62</v>
      </c>
    </row>
    <row r="30" spans="1:27" x14ac:dyDescent="0.3">
      <c r="A30" t="s">
        <v>113</v>
      </c>
      <c r="B30" t="s">
        <v>68</v>
      </c>
      <c r="C30" t="s">
        <v>29</v>
      </c>
      <c r="D30" t="s">
        <v>114</v>
      </c>
      <c r="E30" t="s">
        <v>31</v>
      </c>
      <c r="F30" t="s">
        <v>41</v>
      </c>
      <c r="G30">
        <v>66</v>
      </c>
      <c r="H30">
        <v>4</v>
      </c>
      <c r="I30">
        <v>5</v>
      </c>
      <c r="J30">
        <v>87.38</v>
      </c>
      <c r="K30">
        <v>17.8</v>
      </c>
      <c r="L30">
        <v>13.4</v>
      </c>
      <c r="N30" t="s">
        <v>47</v>
      </c>
      <c r="Q30">
        <v>1</v>
      </c>
      <c r="R30">
        <v>1</v>
      </c>
      <c r="S30" t="s">
        <v>34</v>
      </c>
      <c r="T30">
        <v>27</v>
      </c>
      <c r="U30">
        <v>185</v>
      </c>
      <c r="V30">
        <v>65</v>
      </c>
      <c r="W30" t="s">
        <v>62</v>
      </c>
      <c r="X30">
        <v>61.8</v>
      </c>
      <c r="Y30">
        <v>8.0500000000000007</v>
      </c>
      <c r="Z30">
        <v>1.05</v>
      </c>
      <c r="AA30">
        <v>89.7</v>
      </c>
    </row>
    <row r="31" spans="1:27" x14ac:dyDescent="0.3">
      <c r="A31" t="s">
        <v>115</v>
      </c>
      <c r="B31" t="s">
        <v>68</v>
      </c>
      <c r="C31" t="s">
        <v>38</v>
      </c>
      <c r="D31" t="s">
        <v>116</v>
      </c>
      <c r="E31" t="s">
        <v>40</v>
      </c>
      <c r="F31" t="s">
        <v>32</v>
      </c>
      <c r="G31">
        <v>81</v>
      </c>
      <c r="H31">
        <v>4</v>
      </c>
      <c r="I31">
        <v>3</v>
      </c>
      <c r="J31">
        <v>73.86</v>
      </c>
      <c r="K31">
        <v>13.6</v>
      </c>
      <c r="L31">
        <v>12.73</v>
      </c>
      <c r="N31" t="s">
        <v>33</v>
      </c>
      <c r="P31">
        <v>28</v>
      </c>
      <c r="Q31">
        <v>0</v>
      </c>
      <c r="R31">
        <v>2</v>
      </c>
      <c r="S31" t="s">
        <v>43</v>
      </c>
      <c r="T31">
        <v>25</v>
      </c>
      <c r="U31">
        <v>180</v>
      </c>
      <c r="V31">
        <v>85</v>
      </c>
      <c r="W31" t="s">
        <v>53</v>
      </c>
      <c r="X31">
        <v>49.1</v>
      </c>
      <c r="Y31">
        <v>7.97</v>
      </c>
      <c r="Z31">
        <v>0.93</v>
      </c>
      <c r="AA31">
        <v>99.06</v>
      </c>
    </row>
    <row r="32" spans="1:27" x14ac:dyDescent="0.3">
      <c r="A32" t="s">
        <v>117</v>
      </c>
      <c r="B32" t="s">
        <v>68</v>
      </c>
      <c r="C32" t="s">
        <v>29</v>
      </c>
      <c r="D32" t="s">
        <v>118</v>
      </c>
      <c r="E32" t="s">
        <v>56</v>
      </c>
      <c r="F32" t="s">
        <v>32</v>
      </c>
      <c r="G32">
        <v>70</v>
      </c>
      <c r="H32">
        <v>3</v>
      </c>
      <c r="I32">
        <v>5</v>
      </c>
      <c r="J32">
        <v>87.18</v>
      </c>
      <c r="K32">
        <v>17.7</v>
      </c>
      <c r="L32">
        <v>7.3</v>
      </c>
      <c r="M32" s="1">
        <v>45122</v>
      </c>
      <c r="N32" t="s">
        <v>33</v>
      </c>
      <c r="O32" s="1">
        <v>45116</v>
      </c>
      <c r="P32">
        <v>79</v>
      </c>
      <c r="Q32">
        <v>1</v>
      </c>
      <c r="R32">
        <v>2</v>
      </c>
      <c r="S32" t="s">
        <v>61</v>
      </c>
      <c r="T32">
        <v>33</v>
      </c>
      <c r="U32">
        <v>177</v>
      </c>
      <c r="V32">
        <v>63</v>
      </c>
      <c r="W32" t="s">
        <v>62</v>
      </c>
      <c r="X32">
        <v>64.900000000000006</v>
      </c>
      <c r="Y32">
        <v>8.31</v>
      </c>
      <c r="Z32">
        <v>0.54</v>
      </c>
      <c r="AA32">
        <v>88.11</v>
      </c>
    </row>
    <row r="33" spans="1:27" x14ac:dyDescent="0.3">
      <c r="A33" t="s">
        <v>119</v>
      </c>
      <c r="B33" t="s">
        <v>28</v>
      </c>
      <c r="C33" t="s">
        <v>29</v>
      </c>
      <c r="D33" t="s">
        <v>120</v>
      </c>
      <c r="E33" t="s">
        <v>75</v>
      </c>
      <c r="F33" t="s">
        <v>41</v>
      </c>
      <c r="G33">
        <v>74</v>
      </c>
      <c r="H33">
        <v>0</v>
      </c>
      <c r="I33">
        <v>1</v>
      </c>
      <c r="J33">
        <v>61.64</v>
      </c>
      <c r="K33">
        <v>9.1999999999999993</v>
      </c>
      <c r="L33">
        <v>6.31</v>
      </c>
      <c r="M33" s="1">
        <v>45186</v>
      </c>
      <c r="N33" t="s">
        <v>43</v>
      </c>
      <c r="P33">
        <v>22</v>
      </c>
      <c r="Q33">
        <v>0</v>
      </c>
      <c r="R33">
        <v>3</v>
      </c>
      <c r="S33" t="s">
        <v>43</v>
      </c>
      <c r="T33">
        <v>34</v>
      </c>
      <c r="U33">
        <v>196</v>
      </c>
      <c r="V33">
        <v>98</v>
      </c>
      <c r="W33" t="s">
        <v>70</v>
      </c>
      <c r="X33">
        <v>48.4</v>
      </c>
      <c r="Y33">
        <v>9.4600000000000009</v>
      </c>
      <c r="Z33">
        <v>0.67</v>
      </c>
      <c r="AA33">
        <v>72.31</v>
      </c>
    </row>
    <row r="34" spans="1:27" x14ac:dyDescent="0.3">
      <c r="A34" t="s">
        <v>121</v>
      </c>
      <c r="B34" t="s">
        <v>28</v>
      </c>
      <c r="C34" t="s">
        <v>65</v>
      </c>
      <c r="D34" t="s">
        <v>122</v>
      </c>
      <c r="E34" t="s">
        <v>56</v>
      </c>
      <c r="F34" t="s">
        <v>32</v>
      </c>
      <c r="G34">
        <v>83</v>
      </c>
      <c r="H34">
        <v>0</v>
      </c>
      <c r="I34">
        <v>1</v>
      </c>
      <c r="J34">
        <v>61.37</v>
      </c>
      <c r="K34">
        <v>9.1999999999999993</v>
      </c>
      <c r="L34">
        <v>13.68</v>
      </c>
      <c r="N34" t="s">
        <v>42</v>
      </c>
      <c r="P34">
        <v>32</v>
      </c>
      <c r="Q34">
        <v>0</v>
      </c>
      <c r="R34">
        <v>0</v>
      </c>
      <c r="S34" t="s">
        <v>61</v>
      </c>
      <c r="T34">
        <v>22</v>
      </c>
      <c r="U34">
        <v>191</v>
      </c>
      <c r="V34">
        <v>98</v>
      </c>
      <c r="W34" t="s">
        <v>48</v>
      </c>
      <c r="X34">
        <v>66.2</v>
      </c>
      <c r="Y34">
        <v>9.92</v>
      </c>
      <c r="Z34">
        <v>0.95</v>
      </c>
      <c r="AA34">
        <v>72.27</v>
      </c>
    </row>
    <row r="35" spans="1:27" x14ac:dyDescent="0.3">
      <c r="A35" t="s">
        <v>123</v>
      </c>
      <c r="B35" t="s">
        <v>68</v>
      </c>
      <c r="C35" t="s">
        <v>38</v>
      </c>
      <c r="D35" t="s">
        <v>124</v>
      </c>
      <c r="E35" t="s">
        <v>56</v>
      </c>
      <c r="F35" t="s">
        <v>32</v>
      </c>
      <c r="G35">
        <v>22</v>
      </c>
      <c r="H35">
        <v>1</v>
      </c>
      <c r="I35">
        <v>4</v>
      </c>
      <c r="J35">
        <v>81.31</v>
      </c>
      <c r="K35">
        <v>15.5</v>
      </c>
      <c r="L35">
        <v>14.63</v>
      </c>
      <c r="N35" t="s">
        <v>33</v>
      </c>
      <c r="O35" s="1">
        <v>45185</v>
      </c>
      <c r="Q35">
        <v>0</v>
      </c>
      <c r="R35">
        <v>2</v>
      </c>
      <c r="S35" t="s">
        <v>43</v>
      </c>
      <c r="T35">
        <v>21</v>
      </c>
      <c r="U35">
        <v>195</v>
      </c>
      <c r="V35">
        <v>94</v>
      </c>
      <c r="W35" t="s">
        <v>62</v>
      </c>
      <c r="X35">
        <v>43.4</v>
      </c>
      <c r="Y35">
        <v>7.63</v>
      </c>
      <c r="Z35">
        <v>0.71</v>
      </c>
      <c r="AA35">
        <v>98.54</v>
      </c>
    </row>
    <row r="36" spans="1:27" x14ac:dyDescent="0.3">
      <c r="A36" t="s">
        <v>125</v>
      </c>
      <c r="B36" t="s">
        <v>64</v>
      </c>
      <c r="C36" t="s">
        <v>38</v>
      </c>
      <c r="D36" t="s">
        <v>126</v>
      </c>
      <c r="E36" t="s">
        <v>75</v>
      </c>
      <c r="F36" t="s">
        <v>32</v>
      </c>
      <c r="G36">
        <v>70</v>
      </c>
      <c r="H36">
        <v>3</v>
      </c>
      <c r="I36">
        <v>2</v>
      </c>
      <c r="J36">
        <v>68.239999999999995</v>
      </c>
      <c r="K36">
        <v>11.4</v>
      </c>
      <c r="L36">
        <v>5.31</v>
      </c>
      <c r="N36" t="s">
        <v>43</v>
      </c>
      <c r="Q36">
        <v>1</v>
      </c>
      <c r="R36">
        <v>4</v>
      </c>
      <c r="S36" t="s">
        <v>52</v>
      </c>
      <c r="T36">
        <v>35</v>
      </c>
      <c r="U36">
        <v>176</v>
      </c>
      <c r="V36">
        <v>60</v>
      </c>
      <c r="W36" t="s">
        <v>48</v>
      </c>
      <c r="X36">
        <v>61.1</v>
      </c>
      <c r="Y36">
        <v>9.31</v>
      </c>
      <c r="Z36">
        <v>0.55000000000000004</v>
      </c>
      <c r="AA36">
        <v>78.92</v>
      </c>
    </row>
    <row r="37" spans="1:27" x14ac:dyDescent="0.3">
      <c r="A37" t="s">
        <v>127</v>
      </c>
      <c r="B37" t="s">
        <v>64</v>
      </c>
      <c r="C37" t="s">
        <v>65</v>
      </c>
      <c r="D37" t="s">
        <v>128</v>
      </c>
      <c r="E37" t="s">
        <v>51</v>
      </c>
      <c r="F37" t="s">
        <v>41</v>
      </c>
      <c r="G37">
        <v>26</v>
      </c>
      <c r="H37">
        <v>1</v>
      </c>
      <c r="I37">
        <v>1</v>
      </c>
      <c r="J37">
        <v>61.28</v>
      </c>
      <c r="K37">
        <v>9.1999999999999993</v>
      </c>
      <c r="L37">
        <v>12.31</v>
      </c>
      <c r="N37" t="s">
        <v>33</v>
      </c>
      <c r="P37">
        <v>84</v>
      </c>
      <c r="Q37">
        <v>0</v>
      </c>
      <c r="R37">
        <v>4</v>
      </c>
      <c r="S37" t="s">
        <v>52</v>
      </c>
      <c r="T37">
        <v>36</v>
      </c>
      <c r="U37">
        <v>194</v>
      </c>
      <c r="V37">
        <v>83</v>
      </c>
      <c r="W37" t="s">
        <v>70</v>
      </c>
      <c r="X37">
        <v>56.2</v>
      </c>
      <c r="Y37">
        <v>9.06</v>
      </c>
      <c r="Z37">
        <v>1.34</v>
      </c>
      <c r="AA37">
        <v>72.760000000000005</v>
      </c>
    </row>
    <row r="38" spans="1:27" x14ac:dyDescent="0.3">
      <c r="A38" t="s">
        <v>129</v>
      </c>
      <c r="B38" t="s">
        <v>28</v>
      </c>
      <c r="C38" t="s">
        <v>65</v>
      </c>
      <c r="D38" t="s">
        <v>130</v>
      </c>
      <c r="E38" t="s">
        <v>31</v>
      </c>
      <c r="F38" t="s">
        <v>32</v>
      </c>
      <c r="G38">
        <v>40</v>
      </c>
      <c r="H38">
        <v>1</v>
      </c>
      <c r="I38">
        <v>0</v>
      </c>
      <c r="J38">
        <v>54.13</v>
      </c>
      <c r="K38">
        <v>6.4</v>
      </c>
      <c r="L38">
        <v>14.1</v>
      </c>
      <c r="N38" t="s">
        <v>47</v>
      </c>
      <c r="O38" s="1">
        <v>45194</v>
      </c>
      <c r="Q38">
        <v>0</v>
      </c>
      <c r="R38">
        <v>3</v>
      </c>
      <c r="S38" t="s">
        <v>52</v>
      </c>
      <c r="T38">
        <v>21</v>
      </c>
      <c r="U38">
        <v>170</v>
      </c>
      <c r="V38">
        <v>95</v>
      </c>
      <c r="W38" t="s">
        <v>35</v>
      </c>
      <c r="X38">
        <v>42.9</v>
      </c>
      <c r="Y38">
        <v>8.2899999999999991</v>
      </c>
      <c r="Z38">
        <v>1.48</v>
      </c>
      <c r="AA38">
        <v>87.97</v>
      </c>
    </row>
    <row r="39" spans="1:27" x14ac:dyDescent="0.3">
      <c r="A39" t="s">
        <v>131</v>
      </c>
      <c r="B39" t="s">
        <v>64</v>
      </c>
      <c r="C39" t="s">
        <v>29</v>
      </c>
      <c r="D39" t="s">
        <v>132</v>
      </c>
      <c r="E39" t="s">
        <v>40</v>
      </c>
      <c r="F39" t="s">
        <v>41</v>
      </c>
      <c r="G39">
        <v>92</v>
      </c>
      <c r="H39">
        <v>1</v>
      </c>
      <c r="I39">
        <v>5</v>
      </c>
      <c r="J39">
        <v>87.13</v>
      </c>
      <c r="K39">
        <v>17.5</v>
      </c>
      <c r="L39">
        <v>13.57</v>
      </c>
      <c r="N39" t="s">
        <v>42</v>
      </c>
      <c r="P39">
        <v>10</v>
      </c>
      <c r="Q39">
        <v>0</v>
      </c>
      <c r="R39">
        <v>0</v>
      </c>
      <c r="S39" t="s">
        <v>61</v>
      </c>
      <c r="T39">
        <v>24</v>
      </c>
      <c r="U39">
        <v>180</v>
      </c>
      <c r="V39">
        <v>65</v>
      </c>
      <c r="W39" t="s">
        <v>48</v>
      </c>
      <c r="X39">
        <v>47.3</v>
      </c>
      <c r="Y39">
        <v>9.82</v>
      </c>
      <c r="Z39">
        <v>1.29</v>
      </c>
      <c r="AA39">
        <v>88.71</v>
      </c>
    </row>
    <row r="40" spans="1:27" x14ac:dyDescent="0.3">
      <c r="A40" t="s">
        <v>133</v>
      </c>
      <c r="B40" t="s">
        <v>68</v>
      </c>
      <c r="C40" t="s">
        <v>29</v>
      </c>
      <c r="D40" t="s">
        <v>134</v>
      </c>
      <c r="E40" t="s">
        <v>75</v>
      </c>
      <c r="F40" t="s">
        <v>32</v>
      </c>
      <c r="G40">
        <v>58</v>
      </c>
      <c r="H40">
        <v>2</v>
      </c>
      <c r="I40">
        <v>5</v>
      </c>
      <c r="J40">
        <v>87.02</v>
      </c>
      <c r="K40">
        <v>17.399999999999999</v>
      </c>
      <c r="L40">
        <v>14.65</v>
      </c>
      <c r="M40" s="1">
        <v>45121</v>
      </c>
      <c r="N40" t="s">
        <v>47</v>
      </c>
      <c r="O40" s="1">
        <v>45170</v>
      </c>
      <c r="Q40">
        <v>0</v>
      </c>
      <c r="R40">
        <v>0</v>
      </c>
      <c r="S40" t="s">
        <v>61</v>
      </c>
      <c r="T40">
        <v>27</v>
      </c>
      <c r="U40">
        <v>185</v>
      </c>
      <c r="V40">
        <v>90</v>
      </c>
      <c r="W40" t="s">
        <v>35</v>
      </c>
      <c r="X40">
        <v>40.4</v>
      </c>
      <c r="Y40">
        <v>6.8</v>
      </c>
      <c r="Z40">
        <v>1.35</v>
      </c>
      <c r="AA40">
        <v>89.46</v>
      </c>
    </row>
    <row r="41" spans="1:27" x14ac:dyDescent="0.3">
      <c r="A41" t="s">
        <v>135</v>
      </c>
      <c r="B41" t="s">
        <v>28</v>
      </c>
      <c r="C41" t="s">
        <v>65</v>
      </c>
      <c r="D41" t="s">
        <v>136</v>
      </c>
      <c r="E41" t="s">
        <v>94</v>
      </c>
      <c r="F41" t="s">
        <v>41</v>
      </c>
      <c r="G41">
        <v>37</v>
      </c>
      <c r="H41">
        <v>2</v>
      </c>
      <c r="I41">
        <v>4</v>
      </c>
      <c r="J41">
        <v>81.19</v>
      </c>
      <c r="K41">
        <v>15.5</v>
      </c>
      <c r="L41">
        <v>12.6</v>
      </c>
      <c r="M41" s="1">
        <v>45264</v>
      </c>
      <c r="N41" t="s">
        <v>42</v>
      </c>
      <c r="P41">
        <v>63</v>
      </c>
      <c r="Q41">
        <v>0</v>
      </c>
      <c r="R41">
        <v>4</v>
      </c>
      <c r="S41" t="s">
        <v>43</v>
      </c>
      <c r="T41">
        <v>35</v>
      </c>
      <c r="U41">
        <v>163</v>
      </c>
      <c r="V41">
        <v>79</v>
      </c>
      <c r="W41" t="s">
        <v>44</v>
      </c>
      <c r="X41">
        <v>54.1</v>
      </c>
      <c r="Y41">
        <v>6.44</v>
      </c>
      <c r="Z41">
        <v>0.74</v>
      </c>
      <c r="AA41">
        <v>78.02</v>
      </c>
    </row>
    <row r="42" spans="1:27" x14ac:dyDescent="0.3">
      <c r="A42" t="s">
        <v>137</v>
      </c>
      <c r="B42" t="s">
        <v>64</v>
      </c>
      <c r="C42" t="s">
        <v>38</v>
      </c>
      <c r="D42" t="s">
        <v>138</v>
      </c>
      <c r="E42" t="s">
        <v>56</v>
      </c>
      <c r="F42" t="s">
        <v>41</v>
      </c>
      <c r="G42">
        <v>23</v>
      </c>
      <c r="H42">
        <v>1</v>
      </c>
      <c r="I42">
        <v>6</v>
      </c>
      <c r="J42">
        <v>94.2</v>
      </c>
      <c r="K42">
        <v>19.8</v>
      </c>
      <c r="L42">
        <v>9.42</v>
      </c>
      <c r="N42" t="s">
        <v>43</v>
      </c>
      <c r="P42">
        <v>80</v>
      </c>
      <c r="Q42">
        <v>0</v>
      </c>
      <c r="R42">
        <v>1</v>
      </c>
      <c r="S42" t="s">
        <v>52</v>
      </c>
      <c r="T42">
        <v>36</v>
      </c>
      <c r="U42">
        <v>193</v>
      </c>
      <c r="V42">
        <v>83</v>
      </c>
      <c r="W42" t="s">
        <v>48</v>
      </c>
      <c r="X42">
        <v>49</v>
      </c>
      <c r="Y42">
        <v>9.42</v>
      </c>
      <c r="Z42">
        <v>1.46</v>
      </c>
      <c r="AA42">
        <v>70.45</v>
      </c>
    </row>
    <row r="43" spans="1:27" x14ac:dyDescent="0.3">
      <c r="A43" t="s">
        <v>139</v>
      </c>
      <c r="B43" t="s">
        <v>28</v>
      </c>
      <c r="C43" t="s">
        <v>38</v>
      </c>
      <c r="D43" t="s">
        <v>140</v>
      </c>
      <c r="E43" t="s">
        <v>75</v>
      </c>
      <c r="F43" t="s">
        <v>41</v>
      </c>
      <c r="G43">
        <v>79</v>
      </c>
      <c r="H43">
        <v>3</v>
      </c>
      <c r="I43">
        <v>6</v>
      </c>
      <c r="J43">
        <v>94.13</v>
      </c>
      <c r="K43">
        <v>19.600000000000001</v>
      </c>
      <c r="L43">
        <v>8.1199999999999992</v>
      </c>
      <c r="N43" t="s">
        <v>42</v>
      </c>
      <c r="Q43">
        <v>0</v>
      </c>
      <c r="R43">
        <v>3</v>
      </c>
      <c r="S43" t="s">
        <v>52</v>
      </c>
      <c r="T43">
        <v>21</v>
      </c>
      <c r="U43">
        <v>177</v>
      </c>
      <c r="V43">
        <v>84</v>
      </c>
      <c r="W43" t="s">
        <v>48</v>
      </c>
      <c r="X43">
        <v>58</v>
      </c>
      <c r="Y43">
        <v>7.76</v>
      </c>
      <c r="Z43">
        <v>0.7</v>
      </c>
      <c r="AA43">
        <v>98.95</v>
      </c>
    </row>
    <row r="44" spans="1:27" x14ac:dyDescent="0.3">
      <c r="A44" t="s">
        <v>141</v>
      </c>
      <c r="B44" t="s">
        <v>64</v>
      </c>
      <c r="C44" t="s">
        <v>38</v>
      </c>
      <c r="D44" t="s">
        <v>142</v>
      </c>
      <c r="E44" t="s">
        <v>80</v>
      </c>
      <c r="F44" t="s">
        <v>41</v>
      </c>
      <c r="G44">
        <v>33</v>
      </c>
      <c r="H44">
        <v>0</v>
      </c>
      <c r="I44">
        <v>3</v>
      </c>
      <c r="J44">
        <v>73.83</v>
      </c>
      <c r="K44">
        <v>13.6</v>
      </c>
      <c r="L44">
        <v>8.2100000000000009</v>
      </c>
      <c r="N44" t="s">
        <v>33</v>
      </c>
      <c r="Q44">
        <v>0</v>
      </c>
      <c r="R44">
        <v>3</v>
      </c>
      <c r="S44" t="s">
        <v>52</v>
      </c>
      <c r="T44">
        <v>27</v>
      </c>
      <c r="U44">
        <v>199</v>
      </c>
      <c r="V44">
        <v>95</v>
      </c>
      <c r="W44" t="s">
        <v>48</v>
      </c>
      <c r="X44">
        <v>48.9</v>
      </c>
      <c r="Y44">
        <v>9.39</v>
      </c>
      <c r="Z44">
        <v>1.45</v>
      </c>
      <c r="AA44">
        <v>77.53</v>
      </c>
    </row>
    <row r="45" spans="1:27" x14ac:dyDescent="0.3">
      <c r="A45" t="s">
        <v>143</v>
      </c>
      <c r="B45" t="s">
        <v>28</v>
      </c>
      <c r="C45" t="s">
        <v>65</v>
      </c>
      <c r="D45" t="s">
        <v>144</v>
      </c>
      <c r="E45" t="s">
        <v>51</v>
      </c>
      <c r="F45" t="s">
        <v>41</v>
      </c>
      <c r="G45">
        <v>28</v>
      </c>
      <c r="H45">
        <v>3</v>
      </c>
      <c r="I45">
        <v>4</v>
      </c>
      <c r="J45">
        <v>81.099999999999994</v>
      </c>
      <c r="K45">
        <v>15.5</v>
      </c>
      <c r="L45">
        <v>12.24</v>
      </c>
      <c r="M45" s="1">
        <v>45063</v>
      </c>
      <c r="N45" t="s">
        <v>47</v>
      </c>
      <c r="O45" s="1">
        <v>45005</v>
      </c>
      <c r="P45">
        <v>24</v>
      </c>
      <c r="Q45">
        <v>0</v>
      </c>
      <c r="R45">
        <v>4</v>
      </c>
      <c r="S45" t="s">
        <v>61</v>
      </c>
      <c r="T45">
        <v>18</v>
      </c>
      <c r="U45">
        <v>194</v>
      </c>
      <c r="V45">
        <v>80</v>
      </c>
      <c r="W45" t="s">
        <v>48</v>
      </c>
      <c r="X45">
        <v>49</v>
      </c>
      <c r="Y45">
        <v>9.57</v>
      </c>
      <c r="Z45">
        <v>1.49</v>
      </c>
      <c r="AA45">
        <v>90.28</v>
      </c>
    </row>
    <row r="46" spans="1:27" x14ac:dyDescent="0.3">
      <c r="A46" t="s">
        <v>145</v>
      </c>
      <c r="B46" t="s">
        <v>64</v>
      </c>
      <c r="C46" t="s">
        <v>65</v>
      </c>
      <c r="D46" t="s">
        <v>146</v>
      </c>
      <c r="E46" t="s">
        <v>94</v>
      </c>
      <c r="F46" t="s">
        <v>41</v>
      </c>
      <c r="G46">
        <v>72</v>
      </c>
      <c r="H46">
        <v>4</v>
      </c>
      <c r="I46">
        <v>3</v>
      </c>
      <c r="J46">
        <v>73.63</v>
      </c>
      <c r="K46">
        <v>13.6</v>
      </c>
      <c r="L46">
        <v>12.46</v>
      </c>
      <c r="N46" t="s">
        <v>33</v>
      </c>
      <c r="O46" s="1">
        <v>45041</v>
      </c>
      <c r="P46">
        <v>74</v>
      </c>
      <c r="Q46">
        <v>0</v>
      </c>
      <c r="R46">
        <v>4</v>
      </c>
      <c r="S46" t="s">
        <v>34</v>
      </c>
      <c r="T46">
        <v>35</v>
      </c>
      <c r="U46">
        <v>188</v>
      </c>
      <c r="V46">
        <v>89</v>
      </c>
      <c r="W46" t="s">
        <v>62</v>
      </c>
      <c r="X46">
        <v>62.3</v>
      </c>
      <c r="Y46">
        <v>6.25</v>
      </c>
      <c r="Z46">
        <v>1.21</v>
      </c>
      <c r="AA46">
        <v>91.2</v>
      </c>
    </row>
    <row r="47" spans="1:27" x14ac:dyDescent="0.3">
      <c r="A47" t="s">
        <v>147</v>
      </c>
      <c r="B47" t="s">
        <v>28</v>
      </c>
      <c r="C47" t="s">
        <v>38</v>
      </c>
      <c r="D47" t="s">
        <v>148</v>
      </c>
      <c r="E47" t="s">
        <v>94</v>
      </c>
      <c r="F47" t="s">
        <v>32</v>
      </c>
      <c r="G47">
        <v>21</v>
      </c>
      <c r="H47">
        <v>2</v>
      </c>
      <c r="I47">
        <v>6</v>
      </c>
      <c r="J47">
        <v>93.85</v>
      </c>
      <c r="K47">
        <v>19.600000000000001</v>
      </c>
      <c r="L47">
        <v>7</v>
      </c>
      <c r="N47" t="s">
        <v>33</v>
      </c>
      <c r="O47" s="1">
        <v>45094</v>
      </c>
      <c r="P47">
        <v>85</v>
      </c>
      <c r="Q47">
        <v>0</v>
      </c>
      <c r="R47">
        <v>1</v>
      </c>
      <c r="S47" t="s">
        <v>34</v>
      </c>
      <c r="T47">
        <v>22</v>
      </c>
      <c r="U47">
        <v>188</v>
      </c>
      <c r="V47">
        <v>83</v>
      </c>
      <c r="W47" t="s">
        <v>53</v>
      </c>
      <c r="X47">
        <v>41.4</v>
      </c>
      <c r="Y47">
        <v>9.5299999999999994</v>
      </c>
      <c r="Z47">
        <v>1.48</v>
      </c>
      <c r="AA47">
        <v>88.3</v>
      </c>
    </row>
    <row r="48" spans="1:27" x14ac:dyDescent="0.3">
      <c r="A48" t="s">
        <v>149</v>
      </c>
      <c r="B48" t="s">
        <v>68</v>
      </c>
      <c r="C48" t="s">
        <v>29</v>
      </c>
      <c r="D48" t="s">
        <v>150</v>
      </c>
      <c r="E48" t="s">
        <v>75</v>
      </c>
      <c r="F48" t="s">
        <v>32</v>
      </c>
      <c r="G48">
        <v>79</v>
      </c>
      <c r="H48">
        <v>0</v>
      </c>
      <c r="I48">
        <v>4</v>
      </c>
      <c r="J48">
        <v>81.08</v>
      </c>
      <c r="K48">
        <v>15.5</v>
      </c>
      <c r="L48">
        <v>13.68</v>
      </c>
      <c r="N48" t="s">
        <v>47</v>
      </c>
      <c r="P48">
        <v>80</v>
      </c>
      <c r="Q48">
        <v>1</v>
      </c>
      <c r="R48">
        <v>1</v>
      </c>
      <c r="S48" t="s">
        <v>52</v>
      </c>
      <c r="T48">
        <v>32</v>
      </c>
      <c r="U48">
        <v>197</v>
      </c>
      <c r="V48">
        <v>89</v>
      </c>
      <c r="W48" t="s">
        <v>53</v>
      </c>
      <c r="X48">
        <v>67.099999999999994</v>
      </c>
      <c r="Y48">
        <v>7.79</v>
      </c>
      <c r="Z48">
        <v>1.07</v>
      </c>
      <c r="AA48">
        <v>79.39</v>
      </c>
    </row>
    <row r="49" spans="1:27" x14ac:dyDescent="0.3">
      <c r="A49" t="s">
        <v>151</v>
      </c>
      <c r="B49" t="s">
        <v>37</v>
      </c>
      <c r="C49" t="s">
        <v>29</v>
      </c>
      <c r="D49" t="s">
        <v>152</v>
      </c>
      <c r="E49" t="s">
        <v>75</v>
      </c>
      <c r="F49" t="s">
        <v>32</v>
      </c>
      <c r="G49">
        <v>90</v>
      </c>
      <c r="H49">
        <v>0</v>
      </c>
      <c r="I49">
        <v>4</v>
      </c>
      <c r="J49">
        <v>80.739999999999995</v>
      </c>
      <c r="K49">
        <v>15.5</v>
      </c>
      <c r="L49">
        <v>12.15</v>
      </c>
      <c r="N49" t="s">
        <v>47</v>
      </c>
      <c r="P49">
        <v>24</v>
      </c>
      <c r="Q49">
        <v>0</v>
      </c>
      <c r="R49">
        <v>0</v>
      </c>
      <c r="S49" t="s">
        <v>61</v>
      </c>
      <c r="T49">
        <v>34</v>
      </c>
      <c r="U49">
        <v>180</v>
      </c>
      <c r="V49">
        <v>81</v>
      </c>
      <c r="W49" t="s">
        <v>70</v>
      </c>
      <c r="X49">
        <v>65.599999999999994</v>
      </c>
      <c r="Y49">
        <v>8.0399999999999991</v>
      </c>
      <c r="Z49">
        <v>0.76</v>
      </c>
      <c r="AA49">
        <v>78.13</v>
      </c>
    </row>
    <row r="50" spans="1:27" x14ac:dyDescent="0.3">
      <c r="A50" t="s">
        <v>153</v>
      </c>
      <c r="B50" t="s">
        <v>64</v>
      </c>
      <c r="C50" t="s">
        <v>29</v>
      </c>
      <c r="D50" t="s">
        <v>154</v>
      </c>
      <c r="E50" t="s">
        <v>56</v>
      </c>
      <c r="F50" t="s">
        <v>32</v>
      </c>
      <c r="G50">
        <v>63</v>
      </c>
      <c r="H50">
        <v>4</v>
      </c>
      <c r="I50">
        <v>4</v>
      </c>
      <c r="J50">
        <v>80.150000000000006</v>
      </c>
      <c r="K50">
        <v>15.4</v>
      </c>
      <c r="L50">
        <v>10.63</v>
      </c>
      <c r="N50" t="s">
        <v>33</v>
      </c>
      <c r="O50" s="1">
        <v>45147</v>
      </c>
      <c r="Q50">
        <v>0</v>
      </c>
      <c r="R50">
        <v>3</v>
      </c>
      <c r="S50" t="s">
        <v>52</v>
      </c>
      <c r="T50">
        <v>20</v>
      </c>
      <c r="U50">
        <v>172</v>
      </c>
      <c r="V50">
        <v>87</v>
      </c>
      <c r="W50" t="s">
        <v>35</v>
      </c>
      <c r="X50">
        <v>60</v>
      </c>
      <c r="Y50">
        <v>8.51</v>
      </c>
      <c r="Z50">
        <v>0.94</v>
      </c>
      <c r="AA50">
        <v>87.93</v>
      </c>
    </row>
    <row r="51" spans="1:27" x14ac:dyDescent="0.3">
      <c r="A51" t="s">
        <v>155</v>
      </c>
      <c r="B51" t="s">
        <v>68</v>
      </c>
      <c r="C51" t="s">
        <v>38</v>
      </c>
      <c r="D51" t="s">
        <v>156</v>
      </c>
      <c r="E51" t="s">
        <v>31</v>
      </c>
      <c r="F51" t="s">
        <v>41</v>
      </c>
      <c r="G51">
        <v>27</v>
      </c>
      <c r="H51">
        <v>4</v>
      </c>
      <c r="I51">
        <v>6</v>
      </c>
      <c r="J51">
        <v>93.55</v>
      </c>
      <c r="K51">
        <v>19.5</v>
      </c>
      <c r="L51">
        <v>9.7200000000000006</v>
      </c>
      <c r="N51" t="s">
        <v>33</v>
      </c>
      <c r="Q51">
        <v>0</v>
      </c>
      <c r="R51">
        <v>3</v>
      </c>
      <c r="S51" t="s">
        <v>34</v>
      </c>
      <c r="T51">
        <v>29</v>
      </c>
      <c r="U51">
        <v>176</v>
      </c>
      <c r="V51">
        <v>66</v>
      </c>
      <c r="W51" t="s">
        <v>53</v>
      </c>
      <c r="X51">
        <v>57.8</v>
      </c>
      <c r="Y51">
        <v>9.7100000000000009</v>
      </c>
      <c r="Z51">
        <v>1.0900000000000001</v>
      </c>
      <c r="AA51">
        <v>95.98</v>
      </c>
    </row>
    <row r="52" spans="1:27" x14ac:dyDescent="0.3">
      <c r="A52" t="s">
        <v>157</v>
      </c>
      <c r="B52" t="s">
        <v>64</v>
      </c>
      <c r="C52" t="s">
        <v>38</v>
      </c>
      <c r="D52" t="s">
        <v>158</v>
      </c>
      <c r="E52" t="s">
        <v>94</v>
      </c>
      <c r="F52" t="s">
        <v>41</v>
      </c>
      <c r="G52">
        <v>66</v>
      </c>
      <c r="H52">
        <v>1</v>
      </c>
      <c r="I52">
        <v>3</v>
      </c>
      <c r="J52">
        <v>73.510000000000005</v>
      </c>
      <c r="K52">
        <v>13.4</v>
      </c>
      <c r="L52">
        <v>10.43</v>
      </c>
      <c r="N52" t="s">
        <v>43</v>
      </c>
      <c r="O52" s="1">
        <v>44945</v>
      </c>
      <c r="Q52">
        <v>0</v>
      </c>
      <c r="R52">
        <v>4</v>
      </c>
      <c r="S52" t="s">
        <v>52</v>
      </c>
      <c r="T52">
        <v>19</v>
      </c>
      <c r="U52">
        <v>168</v>
      </c>
      <c r="V52">
        <v>94</v>
      </c>
      <c r="W52" t="s">
        <v>53</v>
      </c>
      <c r="X52">
        <v>66.8</v>
      </c>
      <c r="Y52">
        <v>6.08</v>
      </c>
      <c r="Z52">
        <v>0.56999999999999995</v>
      </c>
      <c r="AA52">
        <v>98.4</v>
      </c>
    </row>
    <row r="53" spans="1:27" x14ac:dyDescent="0.3">
      <c r="A53" t="s">
        <v>159</v>
      </c>
      <c r="B53" t="s">
        <v>37</v>
      </c>
      <c r="C53" t="s">
        <v>38</v>
      </c>
      <c r="D53" t="s">
        <v>160</v>
      </c>
      <c r="E53" t="s">
        <v>94</v>
      </c>
      <c r="F53" t="s">
        <v>41</v>
      </c>
      <c r="G53">
        <v>54</v>
      </c>
      <c r="H53">
        <v>2</v>
      </c>
      <c r="I53">
        <v>3</v>
      </c>
      <c r="J53">
        <v>73.510000000000005</v>
      </c>
      <c r="K53">
        <v>13.4</v>
      </c>
      <c r="L53">
        <v>6.59</v>
      </c>
      <c r="N53" t="s">
        <v>33</v>
      </c>
      <c r="P53">
        <v>30</v>
      </c>
      <c r="Q53">
        <v>0</v>
      </c>
      <c r="R53">
        <v>0</v>
      </c>
      <c r="S53" t="s">
        <v>43</v>
      </c>
      <c r="T53">
        <v>18</v>
      </c>
      <c r="U53">
        <v>160</v>
      </c>
      <c r="V53">
        <v>87</v>
      </c>
      <c r="W53" t="s">
        <v>44</v>
      </c>
      <c r="X53">
        <v>45.6</v>
      </c>
      <c r="Y53">
        <v>7.91</v>
      </c>
      <c r="Z53">
        <v>1.1200000000000001</v>
      </c>
      <c r="AA53">
        <v>73.180000000000007</v>
      </c>
    </row>
    <row r="54" spans="1:27" x14ac:dyDescent="0.3">
      <c r="A54" t="s">
        <v>161</v>
      </c>
      <c r="B54" t="s">
        <v>68</v>
      </c>
      <c r="C54" t="s">
        <v>29</v>
      </c>
      <c r="D54" t="s">
        <v>162</v>
      </c>
      <c r="E54" t="s">
        <v>75</v>
      </c>
      <c r="F54" t="s">
        <v>32</v>
      </c>
      <c r="G54">
        <v>55</v>
      </c>
      <c r="H54">
        <v>2</v>
      </c>
      <c r="I54">
        <v>4</v>
      </c>
      <c r="J54">
        <v>79.8</v>
      </c>
      <c r="K54">
        <v>15.4</v>
      </c>
      <c r="L54">
        <v>7.04</v>
      </c>
      <c r="N54" t="s">
        <v>47</v>
      </c>
      <c r="Q54">
        <v>1</v>
      </c>
      <c r="R54">
        <v>3</v>
      </c>
      <c r="S54" t="s">
        <v>43</v>
      </c>
      <c r="T54">
        <v>38</v>
      </c>
      <c r="U54">
        <v>161</v>
      </c>
      <c r="V54">
        <v>73</v>
      </c>
      <c r="W54" t="s">
        <v>48</v>
      </c>
      <c r="X54">
        <v>42.4</v>
      </c>
      <c r="Y54">
        <v>8.75</v>
      </c>
      <c r="Z54">
        <v>1.48</v>
      </c>
      <c r="AA54">
        <v>74.64</v>
      </c>
    </row>
    <row r="55" spans="1:27" x14ac:dyDescent="0.3">
      <c r="A55" t="s">
        <v>163</v>
      </c>
      <c r="B55" t="s">
        <v>64</v>
      </c>
      <c r="C55" t="s">
        <v>38</v>
      </c>
      <c r="D55" t="s">
        <v>164</v>
      </c>
      <c r="E55" t="s">
        <v>51</v>
      </c>
      <c r="F55" t="s">
        <v>32</v>
      </c>
      <c r="G55">
        <v>69</v>
      </c>
      <c r="H55">
        <v>3</v>
      </c>
      <c r="I55">
        <v>1</v>
      </c>
      <c r="J55">
        <v>61.04</v>
      </c>
      <c r="K55">
        <v>9.1999999999999993</v>
      </c>
      <c r="L55">
        <v>5.91</v>
      </c>
      <c r="N55" t="s">
        <v>47</v>
      </c>
      <c r="O55" s="1">
        <v>45159</v>
      </c>
      <c r="Q55">
        <v>0</v>
      </c>
      <c r="R55">
        <v>0</v>
      </c>
      <c r="S55" t="s">
        <v>34</v>
      </c>
      <c r="T55">
        <v>34</v>
      </c>
      <c r="U55">
        <v>188</v>
      </c>
      <c r="V55">
        <v>69</v>
      </c>
      <c r="W55" t="s">
        <v>48</v>
      </c>
      <c r="X55">
        <v>47.2</v>
      </c>
      <c r="Y55">
        <v>8.89</v>
      </c>
      <c r="Z55">
        <v>0.69</v>
      </c>
      <c r="AA55">
        <v>98.34</v>
      </c>
    </row>
    <row r="56" spans="1:27" x14ac:dyDescent="0.3">
      <c r="A56" t="s">
        <v>165</v>
      </c>
      <c r="B56" t="s">
        <v>28</v>
      </c>
      <c r="C56" t="s">
        <v>38</v>
      </c>
      <c r="D56" t="s">
        <v>166</v>
      </c>
      <c r="E56" t="s">
        <v>51</v>
      </c>
      <c r="F56" t="s">
        <v>32</v>
      </c>
      <c r="G56">
        <v>23</v>
      </c>
      <c r="H56">
        <v>1</v>
      </c>
      <c r="I56">
        <v>2</v>
      </c>
      <c r="J56">
        <v>68.2</v>
      </c>
      <c r="K56">
        <v>11.3</v>
      </c>
      <c r="L56">
        <v>6.54</v>
      </c>
      <c r="N56" t="s">
        <v>33</v>
      </c>
      <c r="Q56">
        <v>0</v>
      </c>
      <c r="R56">
        <v>0</v>
      </c>
      <c r="S56" t="s">
        <v>61</v>
      </c>
      <c r="T56">
        <v>39</v>
      </c>
      <c r="U56">
        <v>192</v>
      </c>
      <c r="V56">
        <v>75</v>
      </c>
      <c r="W56" t="s">
        <v>48</v>
      </c>
      <c r="X56">
        <v>63.8</v>
      </c>
      <c r="Y56">
        <v>8.77</v>
      </c>
      <c r="Z56">
        <v>1.29</v>
      </c>
      <c r="AA56">
        <v>92.1</v>
      </c>
    </row>
    <row r="57" spans="1:27" x14ac:dyDescent="0.3">
      <c r="A57" t="s">
        <v>167</v>
      </c>
      <c r="B57" t="s">
        <v>68</v>
      </c>
      <c r="C57" t="s">
        <v>38</v>
      </c>
      <c r="D57" t="s">
        <v>168</v>
      </c>
      <c r="E57" t="s">
        <v>56</v>
      </c>
      <c r="F57" t="s">
        <v>41</v>
      </c>
      <c r="G57">
        <v>21</v>
      </c>
      <c r="H57">
        <v>1</v>
      </c>
      <c r="I57">
        <v>6</v>
      </c>
      <c r="J57">
        <v>93.3</v>
      </c>
      <c r="K57">
        <v>19.5</v>
      </c>
      <c r="L57">
        <v>9.5399999999999991</v>
      </c>
      <c r="N57" t="s">
        <v>33</v>
      </c>
      <c r="Q57">
        <v>0</v>
      </c>
      <c r="R57">
        <v>4</v>
      </c>
      <c r="S57" t="s">
        <v>52</v>
      </c>
      <c r="T57">
        <v>33</v>
      </c>
      <c r="U57">
        <v>169</v>
      </c>
      <c r="V57">
        <v>75</v>
      </c>
      <c r="W57" t="s">
        <v>70</v>
      </c>
      <c r="X57">
        <v>41</v>
      </c>
      <c r="Y57">
        <v>6.54</v>
      </c>
      <c r="Z57">
        <v>1.41</v>
      </c>
      <c r="AA57">
        <v>96.49</v>
      </c>
    </row>
    <row r="58" spans="1:27" x14ac:dyDescent="0.3">
      <c r="A58" t="s">
        <v>169</v>
      </c>
      <c r="B58" t="s">
        <v>28</v>
      </c>
      <c r="C58" t="s">
        <v>29</v>
      </c>
      <c r="D58" t="s">
        <v>170</v>
      </c>
      <c r="E58" t="s">
        <v>31</v>
      </c>
      <c r="F58" t="s">
        <v>32</v>
      </c>
      <c r="G58">
        <v>25</v>
      </c>
      <c r="H58">
        <v>1</v>
      </c>
      <c r="I58">
        <v>2</v>
      </c>
      <c r="J58">
        <v>68.2</v>
      </c>
      <c r="K58">
        <v>11.3</v>
      </c>
      <c r="L58">
        <v>10.3</v>
      </c>
      <c r="M58" s="1">
        <v>45141</v>
      </c>
      <c r="N58" t="s">
        <v>33</v>
      </c>
      <c r="P58">
        <v>28</v>
      </c>
      <c r="Q58">
        <v>0</v>
      </c>
      <c r="R58">
        <v>0</v>
      </c>
      <c r="S58" t="s">
        <v>52</v>
      </c>
      <c r="T58">
        <v>22</v>
      </c>
      <c r="U58">
        <v>199</v>
      </c>
      <c r="V58">
        <v>90</v>
      </c>
      <c r="W58" t="s">
        <v>70</v>
      </c>
      <c r="X58">
        <v>57.5</v>
      </c>
      <c r="Y58">
        <v>7.2</v>
      </c>
      <c r="Z58">
        <v>1.44</v>
      </c>
      <c r="AA58">
        <v>76.08</v>
      </c>
    </row>
    <row r="59" spans="1:27" x14ac:dyDescent="0.3">
      <c r="A59" t="s">
        <v>171</v>
      </c>
      <c r="B59" t="s">
        <v>37</v>
      </c>
      <c r="C59" t="s">
        <v>65</v>
      </c>
      <c r="D59" t="s">
        <v>172</v>
      </c>
      <c r="E59" t="s">
        <v>40</v>
      </c>
      <c r="F59" t="s">
        <v>32</v>
      </c>
      <c r="G59">
        <v>73</v>
      </c>
      <c r="H59">
        <v>1</v>
      </c>
      <c r="I59">
        <v>2</v>
      </c>
      <c r="J59">
        <v>68.11</v>
      </c>
      <c r="K59">
        <v>11.2</v>
      </c>
      <c r="L59">
        <v>5.18</v>
      </c>
      <c r="N59" t="s">
        <v>42</v>
      </c>
      <c r="Q59">
        <v>0</v>
      </c>
      <c r="R59">
        <v>1</v>
      </c>
      <c r="S59" t="s">
        <v>61</v>
      </c>
      <c r="T59">
        <v>32</v>
      </c>
      <c r="U59">
        <v>180</v>
      </c>
      <c r="V59">
        <v>84</v>
      </c>
      <c r="W59" t="s">
        <v>44</v>
      </c>
      <c r="X59">
        <v>69.900000000000006</v>
      </c>
      <c r="Y59">
        <v>7.43</v>
      </c>
      <c r="Z59">
        <v>1.46</v>
      </c>
      <c r="AA59">
        <v>87.63</v>
      </c>
    </row>
    <row r="60" spans="1:27" x14ac:dyDescent="0.3">
      <c r="A60" t="s">
        <v>173</v>
      </c>
      <c r="B60" t="s">
        <v>37</v>
      </c>
      <c r="C60" t="s">
        <v>29</v>
      </c>
      <c r="D60" t="s">
        <v>174</v>
      </c>
      <c r="E60" t="s">
        <v>31</v>
      </c>
      <c r="F60" t="s">
        <v>41</v>
      </c>
      <c r="G60">
        <v>23</v>
      </c>
      <c r="H60">
        <v>2</v>
      </c>
      <c r="I60">
        <v>3</v>
      </c>
      <c r="J60">
        <v>73.459999999999994</v>
      </c>
      <c r="K60">
        <v>13.3</v>
      </c>
      <c r="L60">
        <v>12.97</v>
      </c>
      <c r="N60" t="s">
        <v>42</v>
      </c>
      <c r="Q60">
        <v>1</v>
      </c>
      <c r="R60">
        <v>1</v>
      </c>
      <c r="S60" t="s">
        <v>52</v>
      </c>
      <c r="T60">
        <v>20</v>
      </c>
      <c r="U60">
        <v>187</v>
      </c>
      <c r="V60">
        <v>72</v>
      </c>
      <c r="W60" t="s">
        <v>35</v>
      </c>
      <c r="X60">
        <v>65.7</v>
      </c>
      <c r="Y60">
        <v>9.2200000000000006</v>
      </c>
      <c r="Z60">
        <v>1.02</v>
      </c>
      <c r="AA60">
        <v>91.03</v>
      </c>
    </row>
    <row r="61" spans="1:27" x14ac:dyDescent="0.3">
      <c r="A61" t="s">
        <v>175</v>
      </c>
      <c r="B61" t="s">
        <v>28</v>
      </c>
      <c r="C61" t="s">
        <v>29</v>
      </c>
      <c r="D61" t="s">
        <v>176</v>
      </c>
      <c r="E61" t="s">
        <v>94</v>
      </c>
      <c r="F61" t="s">
        <v>41</v>
      </c>
      <c r="G61">
        <v>73</v>
      </c>
      <c r="H61">
        <v>2</v>
      </c>
      <c r="I61">
        <v>3</v>
      </c>
      <c r="J61">
        <v>73.459999999999994</v>
      </c>
      <c r="K61">
        <v>13.3</v>
      </c>
      <c r="L61">
        <v>7.94</v>
      </c>
      <c r="N61" t="s">
        <v>43</v>
      </c>
      <c r="O61" s="1">
        <v>45064</v>
      </c>
      <c r="Q61">
        <v>0</v>
      </c>
      <c r="R61">
        <v>2</v>
      </c>
      <c r="S61" t="s">
        <v>52</v>
      </c>
      <c r="T61">
        <v>24</v>
      </c>
      <c r="U61">
        <v>170</v>
      </c>
      <c r="V61">
        <v>65</v>
      </c>
      <c r="W61" t="s">
        <v>53</v>
      </c>
      <c r="X61">
        <v>55.6</v>
      </c>
      <c r="Y61">
        <v>7.12</v>
      </c>
      <c r="Z61">
        <v>1.48</v>
      </c>
      <c r="AA61">
        <v>90.4</v>
      </c>
    </row>
    <row r="62" spans="1:27" x14ac:dyDescent="0.3">
      <c r="A62" t="s">
        <v>177</v>
      </c>
      <c r="B62" t="s">
        <v>68</v>
      </c>
      <c r="C62" t="s">
        <v>29</v>
      </c>
      <c r="D62" t="s">
        <v>178</v>
      </c>
      <c r="E62" t="s">
        <v>56</v>
      </c>
      <c r="F62" t="s">
        <v>32</v>
      </c>
      <c r="G62">
        <v>82</v>
      </c>
      <c r="H62">
        <v>1</v>
      </c>
      <c r="I62">
        <v>1</v>
      </c>
      <c r="J62">
        <v>60.74</v>
      </c>
      <c r="K62">
        <v>9.1999999999999993</v>
      </c>
      <c r="L62">
        <v>14.12</v>
      </c>
      <c r="N62" t="s">
        <v>47</v>
      </c>
      <c r="O62" s="1">
        <v>45227</v>
      </c>
      <c r="Q62">
        <v>0</v>
      </c>
      <c r="R62">
        <v>4</v>
      </c>
      <c r="S62" t="s">
        <v>52</v>
      </c>
      <c r="T62">
        <v>28</v>
      </c>
      <c r="U62">
        <v>193</v>
      </c>
      <c r="V62">
        <v>68</v>
      </c>
      <c r="W62" t="s">
        <v>35</v>
      </c>
      <c r="X62">
        <v>41.9</v>
      </c>
      <c r="Y62">
        <v>6.84</v>
      </c>
      <c r="Z62">
        <v>1.26</v>
      </c>
      <c r="AA62">
        <v>82.24</v>
      </c>
    </row>
    <row r="63" spans="1:27" x14ac:dyDescent="0.3">
      <c r="A63" t="s">
        <v>179</v>
      </c>
      <c r="B63" t="s">
        <v>68</v>
      </c>
      <c r="C63" t="s">
        <v>65</v>
      </c>
      <c r="D63" t="s">
        <v>180</v>
      </c>
      <c r="E63" t="s">
        <v>31</v>
      </c>
      <c r="F63" t="s">
        <v>32</v>
      </c>
      <c r="G63">
        <v>37</v>
      </c>
      <c r="H63">
        <v>3</v>
      </c>
      <c r="I63">
        <v>2</v>
      </c>
      <c r="J63">
        <v>68.069999999999993</v>
      </c>
      <c r="K63">
        <v>11.1</v>
      </c>
      <c r="L63">
        <v>14.68</v>
      </c>
      <c r="N63" t="s">
        <v>47</v>
      </c>
      <c r="O63" s="1">
        <v>45139</v>
      </c>
      <c r="Q63">
        <v>0</v>
      </c>
      <c r="R63">
        <v>2</v>
      </c>
      <c r="S63" t="s">
        <v>34</v>
      </c>
      <c r="T63">
        <v>27</v>
      </c>
      <c r="U63">
        <v>167</v>
      </c>
      <c r="V63">
        <v>95</v>
      </c>
      <c r="W63" t="s">
        <v>48</v>
      </c>
      <c r="X63">
        <v>64.900000000000006</v>
      </c>
      <c r="Y63">
        <v>9.83</v>
      </c>
      <c r="Z63">
        <v>0.66</v>
      </c>
      <c r="AA63">
        <v>70.459999999999994</v>
      </c>
    </row>
    <row r="64" spans="1:27" x14ac:dyDescent="0.3">
      <c r="A64" t="s">
        <v>181</v>
      </c>
      <c r="B64" t="s">
        <v>68</v>
      </c>
      <c r="C64" t="s">
        <v>65</v>
      </c>
      <c r="D64" t="s">
        <v>182</v>
      </c>
      <c r="E64" t="s">
        <v>56</v>
      </c>
      <c r="F64" t="s">
        <v>41</v>
      </c>
      <c r="G64">
        <v>63</v>
      </c>
      <c r="H64">
        <v>0</v>
      </c>
      <c r="I64">
        <v>2</v>
      </c>
      <c r="J64">
        <v>67.92</v>
      </c>
      <c r="K64">
        <v>11</v>
      </c>
      <c r="L64">
        <v>6.85</v>
      </c>
      <c r="N64" t="s">
        <v>47</v>
      </c>
      <c r="Q64">
        <v>0</v>
      </c>
      <c r="R64">
        <v>1</v>
      </c>
      <c r="S64" t="s">
        <v>43</v>
      </c>
      <c r="T64">
        <v>26</v>
      </c>
      <c r="U64">
        <v>181</v>
      </c>
      <c r="V64">
        <v>79</v>
      </c>
      <c r="W64" t="s">
        <v>53</v>
      </c>
      <c r="X64">
        <v>58</v>
      </c>
      <c r="Y64">
        <v>6.04</v>
      </c>
      <c r="Z64">
        <v>0.98</v>
      </c>
      <c r="AA64">
        <v>87.49</v>
      </c>
    </row>
    <row r="65" spans="1:27" x14ac:dyDescent="0.3">
      <c r="A65" t="s">
        <v>183</v>
      </c>
      <c r="B65" t="s">
        <v>68</v>
      </c>
      <c r="C65" t="s">
        <v>29</v>
      </c>
      <c r="D65" t="s">
        <v>184</v>
      </c>
      <c r="E65" t="s">
        <v>75</v>
      </c>
      <c r="F65" t="s">
        <v>32</v>
      </c>
      <c r="G65">
        <v>53</v>
      </c>
      <c r="H65">
        <v>0</v>
      </c>
      <c r="I65">
        <v>4</v>
      </c>
      <c r="J65">
        <v>79.77</v>
      </c>
      <c r="K65">
        <v>15.4</v>
      </c>
      <c r="L65">
        <v>9.6199999999999992</v>
      </c>
      <c r="M65" s="1">
        <v>45105</v>
      </c>
      <c r="N65" t="s">
        <v>42</v>
      </c>
      <c r="O65" s="1">
        <v>45041</v>
      </c>
      <c r="Q65">
        <v>0</v>
      </c>
      <c r="R65">
        <v>2</v>
      </c>
      <c r="S65" t="s">
        <v>43</v>
      </c>
      <c r="T65">
        <v>31</v>
      </c>
      <c r="U65">
        <v>167</v>
      </c>
      <c r="V65">
        <v>77</v>
      </c>
      <c r="W65" t="s">
        <v>48</v>
      </c>
      <c r="X65">
        <v>43.4</v>
      </c>
      <c r="Y65">
        <v>9.99</v>
      </c>
      <c r="Z65">
        <v>1.22</v>
      </c>
      <c r="AA65">
        <v>77.59</v>
      </c>
    </row>
    <row r="66" spans="1:27" x14ac:dyDescent="0.3">
      <c r="A66" t="s">
        <v>185</v>
      </c>
      <c r="B66" t="s">
        <v>37</v>
      </c>
      <c r="C66" t="s">
        <v>29</v>
      </c>
      <c r="D66" t="s">
        <v>186</v>
      </c>
      <c r="E66" t="s">
        <v>40</v>
      </c>
      <c r="F66" t="s">
        <v>32</v>
      </c>
      <c r="G66">
        <v>93</v>
      </c>
      <c r="H66">
        <v>3</v>
      </c>
      <c r="I66">
        <v>3</v>
      </c>
      <c r="J66">
        <v>73.41</v>
      </c>
      <c r="K66">
        <v>13.2</v>
      </c>
      <c r="L66">
        <v>5.01</v>
      </c>
      <c r="M66" s="1">
        <v>45177</v>
      </c>
      <c r="N66" t="s">
        <v>33</v>
      </c>
      <c r="P66">
        <v>69</v>
      </c>
      <c r="Q66">
        <v>0</v>
      </c>
      <c r="R66">
        <v>4</v>
      </c>
      <c r="S66" t="s">
        <v>61</v>
      </c>
      <c r="T66">
        <v>30</v>
      </c>
      <c r="U66">
        <v>174</v>
      </c>
      <c r="V66">
        <v>80</v>
      </c>
      <c r="W66" t="s">
        <v>44</v>
      </c>
      <c r="X66">
        <v>42.8</v>
      </c>
      <c r="Y66">
        <v>8.7100000000000009</v>
      </c>
      <c r="Z66">
        <v>0.75</v>
      </c>
      <c r="AA66">
        <v>83.51</v>
      </c>
    </row>
    <row r="67" spans="1:27" x14ac:dyDescent="0.3">
      <c r="A67" t="s">
        <v>187</v>
      </c>
      <c r="B67" t="s">
        <v>28</v>
      </c>
      <c r="C67" t="s">
        <v>29</v>
      </c>
      <c r="D67" t="s">
        <v>188</v>
      </c>
      <c r="E67" t="s">
        <v>40</v>
      </c>
      <c r="F67" t="s">
        <v>41</v>
      </c>
      <c r="G67">
        <v>81</v>
      </c>
      <c r="H67">
        <v>1</v>
      </c>
      <c r="I67">
        <v>2</v>
      </c>
      <c r="J67">
        <v>67.849999999999994</v>
      </c>
      <c r="K67">
        <v>10.8</v>
      </c>
      <c r="L67">
        <v>10.98</v>
      </c>
      <c r="N67" t="s">
        <v>43</v>
      </c>
      <c r="Q67">
        <v>0</v>
      </c>
      <c r="R67">
        <v>4</v>
      </c>
      <c r="S67" t="s">
        <v>34</v>
      </c>
      <c r="T67">
        <v>19</v>
      </c>
      <c r="U67">
        <v>176</v>
      </c>
      <c r="V67">
        <v>63</v>
      </c>
      <c r="W67" t="s">
        <v>44</v>
      </c>
      <c r="X67">
        <v>67.3</v>
      </c>
      <c r="Y67">
        <v>9.31</v>
      </c>
      <c r="Z67">
        <v>1.1399999999999999</v>
      </c>
      <c r="AA67">
        <v>98.73</v>
      </c>
    </row>
    <row r="68" spans="1:27" x14ac:dyDescent="0.3">
      <c r="A68" t="s">
        <v>189</v>
      </c>
      <c r="B68" t="s">
        <v>37</v>
      </c>
      <c r="C68" t="s">
        <v>29</v>
      </c>
      <c r="D68" t="s">
        <v>190</v>
      </c>
      <c r="E68" t="s">
        <v>40</v>
      </c>
      <c r="F68" t="s">
        <v>32</v>
      </c>
      <c r="G68">
        <v>33</v>
      </c>
      <c r="H68">
        <v>2</v>
      </c>
      <c r="I68">
        <v>5</v>
      </c>
      <c r="J68">
        <v>86.9</v>
      </c>
      <c r="K68">
        <v>17.3</v>
      </c>
      <c r="L68">
        <v>11.07</v>
      </c>
      <c r="M68" s="1">
        <v>45034</v>
      </c>
      <c r="N68" t="s">
        <v>33</v>
      </c>
      <c r="Q68">
        <v>0</v>
      </c>
      <c r="R68">
        <v>0</v>
      </c>
      <c r="S68" t="s">
        <v>61</v>
      </c>
      <c r="T68">
        <v>20</v>
      </c>
      <c r="U68">
        <v>182</v>
      </c>
      <c r="V68">
        <v>92</v>
      </c>
      <c r="W68" t="s">
        <v>53</v>
      </c>
      <c r="X68">
        <v>60.1</v>
      </c>
      <c r="Y68">
        <v>7.18</v>
      </c>
      <c r="Z68">
        <v>1.17</v>
      </c>
      <c r="AA68">
        <v>81.97</v>
      </c>
    </row>
    <row r="69" spans="1:27" x14ac:dyDescent="0.3">
      <c r="A69" t="s">
        <v>191</v>
      </c>
      <c r="B69" t="s">
        <v>64</v>
      </c>
      <c r="C69" t="s">
        <v>29</v>
      </c>
      <c r="D69" t="s">
        <v>192</v>
      </c>
      <c r="E69" t="s">
        <v>80</v>
      </c>
      <c r="F69" t="s">
        <v>32</v>
      </c>
      <c r="G69">
        <v>67</v>
      </c>
      <c r="H69">
        <v>0</v>
      </c>
      <c r="I69">
        <v>1</v>
      </c>
      <c r="J69">
        <v>60.38</v>
      </c>
      <c r="K69">
        <v>9.1</v>
      </c>
      <c r="L69">
        <v>7.48</v>
      </c>
      <c r="M69" s="1">
        <v>44948</v>
      </c>
      <c r="N69" t="s">
        <v>47</v>
      </c>
      <c r="Q69">
        <v>0</v>
      </c>
      <c r="R69">
        <v>3</v>
      </c>
      <c r="S69" t="s">
        <v>34</v>
      </c>
      <c r="T69">
        <v>24</v>
      </c>
      <c r="U69">
        <v>183</v>
      </c>
      <c r="V69">
        <v>86</v>
      </c>
      <c r="W69" t="s">
        <v>44</v>
      </c>
      <c r="X69">
        <v>64.900000000000006</v>
      </c>
      <c r="Y69">
        <v>6.06</v>
      </c>
      <c r="Z69">
        <v>0.66</v>
      </c>
      <c r="AA69">
        <v>95.19</v>
      </c>
    </row>
    <row r="70" spans="1:27" x14ac:dyDescent="0.3">
      <c r="A70" t="s">
        <v>193</v>
      </c>
      <c r="B70" t="s">
        <v>37</v>
      </c>
      <c r="C70" t="s">
        <v>38</v>
      </c>
      <c r="D70" t="s">
        <v>194</v>
      </c>
      <c r="E70" t="s">
        <v>40</v>
      </c>
      <c r="F70" t="s">
        <v>41</v>
      </c>
      <c r="G70">
        <v>34</v>
      </c>
      <c r="H70">
        <v>4</v>
      </c>
      <c r="I70">
        <v>5</v>
      </c>
      <c r="J70">
        <v>86.84</v>
      </c>
      <c r="K70">
        <v>17.3</v>
      </c>
      <c r="L70">
        <v>10.58</v>
      </c>
      <c r="M70" s="1">
        <v>45243</v>
      </c>
      <c r="N70" t="s">
        <v>43</v>
      </c>
      <c r="P70">
        <v>42</v>
      </c>
      <c r="Q70">
        <v>1</v>
      </c>
      <c r="R70">
        <v>0</v>
      </c>
      <c r="S70" t="s">
        <v>43</v>
      </c>
      <c r="T70">
        <v>38</v>
      </c>
      <c r="U70">
        <v>178</v>
      </c>
      <c r="V70">
        <v>66</v>
      </c>
      <c r="W70" t="s">
        <v>62</v>
      </c>
      <c r="X70">
        <v>66.400000000000006</v>
      </c>
      <c r="Y70">
        <v>8.9499999999999993</v>
      </c>
      <c r="Z70">
        <v>1.07</v>
      </c>
      <c r="AA70">
        <v>75.66</v>
      </c>
    </row>
    <row r="71" spans="1:27" x14ac:dyDescent="0.3">
      <c r="A71" t="s">
        <v>195</v>
      </c>
      <c r="B71" t="s">
        <v>28</v>
      </c>
      <c r="C71" t="s">
        <v>29</v>
      </c>
      <c r="D71" t="s">
        <v>196</v>
      </c>
      <c r="E71" t="s">
        <v>51</v>
      </c>
      <c r="F71" t="s">
        <v>32</v>
      </c>
      <c r="G71">
        <v>91</v>
      </c>
      <c r="H71">
        <v>4</v>
      </c>
      <c r="I71">
        <v>5</v>
      </c>
      <c r="J71">
        <v>86.68</v>
      </c>
      <c r="K71">
        <v>17.3</v>
      </c>
      <c r="L71">
        <v>7.26</v>
      </c>
      <c r="M71" s="1">
        <v>44963</v>
      </c>
      <c r="N71" t="s">
        <v>47</v>
      </c>
      <c r="O71" s="1">
        <v>45048</v>
      </c>
      <c r="P71">
        <v>58</v>
      </c>
      <c r="Q71">
        <v>0</v>
      </c>
      <c r="R71">
        <v>4</v>
      </c>
      <c r="S71" t="s">
        <v>52</v>
      </c>
      <c r="T71">
        <v>35</v>
      </c>
      <c r="U71">
        <v>164</v>
      </c>
      <c r="V71">
        <v>65</v>
      </c>
      <c r="W71" t="s">
        <v>53</v>
      </c>
      <c r="X71">
        <v>57.2</v>
      </c>
      <c r="Y71">
        <v>9.34</v>
      </c>
      <c r="Z71">
        <v>1.27</v>
      </c>
      <c r="AA71">
        <v>90.17</v>
      </c>
    </row>
    <row r="72" spans="1:27" x14ac:dyDescent="0.3">
      <c r="A72" t="s">
        <v>197</v>
      </c>
      <c r="B72" t="s">
        <v>64</v>
      </c>
      <c r="C72" t="s">
        <v>29</v>
      </c>
      <c r="D72" t="s">
        <v>198</v>
      </c>
      <c r="E72" t="s">
        <v>51</v>
      </c>
      <c r="F72" t="s">
        <v>32</v>
      </c>
      <c r="G72">
        <v>81</v>
      </c>
      <c r="H72">
        <v>3</v>
      </c>
      <c r="I72">
        <v>6</v>
      </c>
      <c r="J72">
        <v>93.29</v>
      </c>
      <c r="K72">
        <v>19.5</v>
      </c>
      <c r="L72">
        <v>6.61</v>
      </c>
      <c r="N72" t="s">
        <v>43</v>
      </c>
      <c r="Q72">
        <v>0</v>
      </c>
      <c r="R72">
        <v>1</v>
      </c>
      <c r="S72" t="s">
        <v>43</v>
      </c>
      <c r="T72">
        <v>20</v>
      </c>
      <c r="U72">
        <v>191</v>
      </c>
      <c r="V72">
        <v>74</v>
      </c>
      <c r="W72" t="s">
        <v>44</v>
      </c>
      <c r="X72">
        <v>55.5</v>
      </c>
      <c r="Y72">
        <v>8.9600000000000009</v>
      </c>
      <c r="Z72">
        <v>1</v>
      </c>
      <c r="AA72">
        <v>99.31</v>
      </c>
    </row>
    <row r="73" spans="1:27" x14ac:dyDescent="0.3">
      <c r="A73" t="s">
        <v>199</v>
      </c>
      <c r="B73" t="s">
        <v>28</v>
      </c>
      <c r="C73" t="s">
        <v>29</v>
      </c>
      <c r="D73" t="s">
        <v>200</v>
      </c>
      <c r="E73" t="s">
        <v>75</v>
      </c>
      <c r="F73" t="s">
        <v>32</v>
      </c>
      <c r="G73">
        <v>59</v>
      </c>
      <c r="H73">
        <v>1</v>
      </c>
      <c r="I73">
        <v>6</v>
      </c>
      <c r="J73">
        <v>93.26</v>
      </c>
      <c r="K73">
        <v>19.5</v>
      </c>
      <c r="L73">
        <v>11.52</v>
      </c>
      <c r="N73" t="s">
        <v>43</v>
      </c>
      <c r="P73">
        <v>44</v>
      </c>
      <c r="Q73">
        <v>0</v>
      </c>
      <c r="R73">
        <v>1</v>
      </c>
      <c r="S73" t="s">
        <v>52</v>
      </c>
      <c r="T73">
        <v>27</v>
      </c>
      <c r="U73">
        <v>160</v>
      </c>
      <c r="V73">
        <v>77</v>
      </c>
      <c r="W73" t="s">
        <v>48</v>
      </c>
      <c r="X73">
        <v>52.9</v>
      </c>
      <c r="Y73">
        <v>6.57</v>
      </c>
      <c r="Z73">
        <v>0.51</v>
      </c>
      <c r="AA73">
        <v>73.06</v>
      </c>
    </row>
    <row r="74" spans="1:27" x14ac:dyDescent="0.3">
      <c r="A74" t="s">
        <v>201</v>
      </c>
      <c r="B74" t="s">
        <v>28</v>
      </c>
      <c r="C74" t="s">
        <v>29</v>
      </c>
      <c r="D74" t="s">
        <v>202</v>
      </c>
      <c r="E74" t="s">
        <v>56</v>
      </c>
      <c r="F74" t="s">
        <v>32</v>
      </c>
      <c r="G74">
        <v>72</v>
      </c>
      <c r="H74">
        <v>0</v>
      </c>
      <c r="I74">
        <v>1</v>
      </c>
      <c r="J74">
        <v>60.29</v>
      </c>
      <c r="K74">
        <v>8.8000000000000007</v>
      </c>
      <c r="L74">
        <v>8.26</v>
      </c>
      <c r="N74" t="s">
        <v>43</v>
      </c>
      <c r="O74" s="1">
        <v>45113</v>
      </c>
      <c r="Q74">
        <v>0</v>
      </c>
      <c r="R74">
        <v>0</v>
      </c>
      <c r="S74" t="s">
        <v>43</v>
      </c>
      <c r="T74">
        <v>39</v>
      </c>
      <c r="U74">
        <v>182</v>
      </c>
      <c r="V74">
        <v>91</v>
      </c>
      <c r="W74" t="s">
        <v>53</v>
      </c>
      <c r="X74">
        <v>49.5</v>
      </c>
      <c r="Y74">
        <v>9.01</v>
      </c>
      <c r="Z74">
        <v>0.51</v>
      </c>
      <c r="AA74">
        <v>70.25</v>
      </c>
    </row>
    <row r="75" spans="1:27" x14ac:dyDescent="0.3">
      <c r="A75" t="s">
        <v>203</v>
      </c>
      <c r="B75" t="s">
        <v>28</v>
      </c>
      <c r="C75" t="s">
        <v>38</v>
      </c>
      <c r="D75" t="s">
        <v>204</v>
      </c>
      <c r="E75" t="s">
        <v>51</v>
      </c>
      <c r="F75" t="s">
        <v>41</v>
      </c>
      <c r="G75">
        <v>43</v>
      </c>
      <c r="H75">
        <v>1</v>
      </c>
      <c r="I75">
        <v>5</v>
      </c>
      <c r="J75">
        <v>86.33</v>
      </c>
      <c r="K75">
        <v>17.2</v>
      </c>
      <c r="L75">
        <v>10.9</v>
      </c>
      <c r="M75" s="1">
        <v>45144</v>
      </c>
      <c r="N75" t="s">
        <v>42</v>
      </c>
      <c r="O75" s="1">
        <v>44934</v>
      </c>
      <c r="Q75">
        <v>0</v>
      </c>
      <c r="R75">
        <v>4</v>
      </c>
      <c r="S75" t="s">
        <v>34</v>
      </c>
      <c r="T75">
        <v>24</v>
      </c>
      <c r="U75">
        <v>196</v>
      </c>
      <c r="V75">
        <v>70</v>
      </c>
      <c r="W75" t="s">
        <v>48</v>
      </c>
      <c r="X75">
        <v>53</v>
      </c>
      <c r="Y75">
        <v>9.08</v>
      </c>
      <c r="Z75">
        <v>0.86</v>
      </c>
      <c r="AA75">
        <v>83.01</v>
      </c>
    </row>
    <row r="76" spans="1:27" x14ac:dyDescent="0.3">
      <c r="A76" t="s">
        <v>205</v>
      </c>
      <c r="B76" t="s">
        <v>28</v>
      </c>
      <c r="C76" t="s">
        <v>29</v>
      </c>
      <c r="D76" t="s">
        <v>206</v>
      </c>
      <c r="E76" t="s">
        <v>31</v>
      </c>
      <c r="F76" t="s">
        <v>32</v>
      </c>
      <c r="G76">
        <v>45</v>
      </c>
      <c r="H76">
        <v>0</v>
      </c>
      <c r="I76">
        <v>2</v>
      </c>
      <c r="J76">
        <v>67.650000000000006</v>
      </c>
      <c r="K76">
        <v>10.8</v>
      </c>
      <c r="L76">
        <v>9.33</v>
      </c>
      <c r="N76" t="s">
        <v>43</v>
      </c>
      <c r="Q76">
        <v>0</v>
      </c>
      <c r="R76">
        <v>1</v>
      </c>
      <c r="S76" t="s">
        <v>43</v>
      </c>
      <c r="T76">
        <v>26</v>
      </c>
      <c r="U76">
        <v>167</v>
      </c>
      <c r="V76">
        <v>79</v>
      </c>
      <c r="W76" t="s">
        <v>35</v>
      </c>
      <c r="X76">
        <v>63.2</v>
      </c>
      <c r="Y76">
        <v>8.6300000000000008</v>
      </c>
      <c r="Z76">
        <v>1.43</v>
      </c>
      <c r="AA76">
        <v>72.78</v>
      </c>
    </row>
    <row r="77" spans="1:27" x14ac:dyDescent="0.3">
      <c r="A77" t="s">
        <v>207</v>
      </c>
      <c r="B77" t="s">
        <v>37</v>
      </c>
      <c r="C77" t="s">
        <v>38</v>
      </c>
      <c r="D77" t="s">
        <v>208</v>
      </c>
      <c r="E77" t="s">
        <v>51</v>
      </c>
      <c r="F77" t="s">
        <v>32</v>
      </c>
      <c r="G77">
        <v>79</v>
      </c>
      <c r="H77">
        <v>3</v>
      </c>
      <c r="I77">
        <v>3</v>
      </c>
      <c r="J77">
        <v>73.319999999999993</v>
      </c>
      <c r="K77">
        <v>13.2</v>
      </c>
      <c r="L77">
        <v>14.84</v>
      </c>
      <c r="N77" t="s">
        <v>47</v>
      </c>
      <c r="Q77">
        <v>0</v>
      </c>
      <c r="R77">
        <v>4</v>
      </c>
      <c r="S77" t="s">
        <v>34</v>
      </c>
      <c r="T77">
        <v>34</v>
      </c>
      <c r="U77">
        <v>172</v>
      </c>
      <c r="V77">
        <v>83</v>
      </c>
      <c r="W77" t="s">
        <v>35</v>
      </c>
      <c r="X77">
        <v>58.1</v>
      </c>
      <c r="Y77">
        <v>9.06</v>
      </c>
      <c r="Z77">
        <v>0.73</v>
      </c>
      <c r="AA77">
        <v>92.45</v>
      </c>
    </row>
    <row r="78" spans="1:27" x14ac:dyDescent="0.3">
      <c r="A78" t="s">
        <v>209</v>
      </c>
      <c r="B78" t="s">
        <v>68</v>
      </c>
      <c r="C78" t="s">
        <v>65</v>
      </c>
      <c r="D78" t="s">
        <v>210</v>
      </c>
      <c r="E78" t="s">
        <v>80</v>
      </c>
      <c r="F78" t="s">
        <v>41</v>
      </c>
      <c r="G78">
        <v>60</v>
      </c>
      <c r="H78">
        <v>3</v>
      </c>
      <c r="I78">
        <v>1</v>
      </c>
      <c r="J78">
        <v>59.88</v>
      </c>
      <c r="K78">
        <v>8.6999999999999993</v>
      </c>
      <c r="L78">
        <v>6.5</v>
      </c>
      <c r="M78" s="1">
        <v>45005</v>
      </c>
      <c r="N78" t="s">
        <v>47</v>
      </c>
      <c r="Q78">
        <v>0</v>
      </c>
      <c r="R78">
        <v>1</v>
      </c>
      <c r="S78" t="s">
        <v>43</v>
      </c>
      <c r="T78">
        <v>28</v>
      </c>
      <c r="U78">
        <v>167</v>
      </c>
      <c r="V78">
        <v>74</v>
      </c>
      <c r="W78" t="s">
        <v>53</v>
      </c>
      <c r="X78">
        <v>66.8</v>
      </c>
      <c r="Y78">
        <v>9.3800000000000008</v>
      </c>
      <c r="Z78">
        <v>1.1299999999999999</v>
      </c>
      <c r="AA78">
        <v>97.44</v>
      </c>
    </row>
    <row r="79" spans="1:27" x14ac:dyDescent="0.3">
      <c r="A79" t="s">
        <v>211</v>
      </c>
      <c r="B79" t="s">
        <v>37</v>
      </c>
      <c r="C79" t="s">
        <v>65</v>
      </c>
      <c r="D79" t="s">
        <v>212</v>
      </c>
      <c r="E79" t="s">
        <v>80</v>
      </c>
      <c r="F79" t="s">
        <v>41</v>
      </c>
      <c r="G79">
        <v>48</v>
      </c>
      <c r="H79">
        <v>4</v>
      </c>
      <c r="I79">
        <v>4</v>
      </c>
      <c r="J79">
        <v>79.260000000000005</v>
      </c>
      <c r="K79">
        <v>15.3</v>
      </c>
      <c r="L79">
        <v>9.65</v>
      </c>
      <c r="N79" t="s">
        <v>43</v>
      </c>
      <c r="Q79">
        <v>0</v>
      </c>
      <c r="R79">
        <v>4</v>
      </c>
      <c r="S79" t="s">
        <v>61</v>
      </c>
      <c r="T79">
        <v>24</v>
      </c>
      <c r="U79">
        <v>182</v>
      </c>
      <c r="V79">
        <v>66</v>
      </c>
      <c r="W79" t="s">
        <v>70</v>
      </c>
      <c r="X79">
        <v>53.3</v>
      </c>
      <c r="Y79">
        <v>8.4499999999999993</v>
      </c>
      <c r="Z79">
        <v>0.72</v>
      </c>
      <c r="AA79">
        <v>83.02</v>
      </c>
    </row>
    <row r="80" spans="1:27" x14ac:dyDescent="0.3">
      <c r="A80" t="s">
        <v>213</v>
      </c>
      <c r="B80" t="s">
        <v>37</v>
      </c>
      <c r="C80" t="s">
        <v>38</v>
      </c>
      <c r="D80" t="s">
        <v>214</v>
      </c>
      <c r="E80" t="s">
        <v>56</v>
      </c>
      <c r="F80" t="s">
        <v>32</v>
      </c>
      <c r="G80">
        <v>34</v>
      </c>
      <c r="H80">
        <v>1</v>
      </c>
      <c r="I80">
        <v>5</v>
      </c>
      <c r="J80">
        <v>86.18</v>
      </c>
      <c r="K80">
        <v>17.2</v>
      </c>
      <c r="L80">
        <v>11.8</v>
      </c>
      <c r="N80" t="s">
        <v>33</v>
      </c>
      <c r="O80" s="1">
        <v>45249</v>
      </c>
      <c r="Q80">
        <v>0</v>
      </c>
      <c r="R80">
        <v>2</v>
      </c>
      <c r="S80" t="s">
        <v>52</v>
      </c>
      <c r="T80">
        <v>31</v>
      </c>
      <c r="U80">
        <v>160</v>
      </c>
      <c r="V80">
        <v>80</v>
      </c>
      <c r="W80" t="s">
        <v>44</v>
      </c>
      <c r="X80">
        <v>58.2</v>
      </c>
      <c r="Y80">
        <v>6.35</v>
      </c>
      <c r="Z80">
        <v>0.82</v>
      </c>
      <c r="AA80">
        <v>77.760000000000005</v>
      </c>
    </row>
    <row r="81" spans="1:27" x14ac:dyDescent="0.3">
      <c r="A81" t="s">
        <v>215</v>
      </c>
      <c r="B81" t="s">
        <v>68</v>
      </c>
      <c r="C81" t="s">
        <v>38</v>
      </c>
      <c r="D81" t="s">
        <v>216</v>
      </c>
      <c r="E81" t="s">
        <v>40</v>
      </c>
      <c r="F81" t="s">
        <v>41</v>
      </c>
      <c r="G81">
        <v>64</v>
      </c>
      <c r="H81">
        <v>4</v>
      </c>
      <c r="I81">
        <v>1</v>
      </c>
      <c r="J81">
        <v>59.81</v>
      </c>
      <c r="K81">
        <v>8.4</v>
      </c>
      <c r="L81">
        <v>8.9600000000000009</v>
      </c>
      <c r="N81" t="s">
        <v>42</v>
      </c>
      <c r="P81">
        <v>53</v>
      </c>
      <c r="Q81">
        <v>1</v>
      </c>
      <c r="R81">
        <v>4</v>
      </c>
      <c r="S81" t="s">
        <v>34</v>
      </c>
      <c r="T81">
        <v>36</v>
      </c>
      <c r="U81">
        <v>183</v>
      </c>
      <c r="V81">
        <v>85</v>
      </c>
      <c r="W81" t="s">
        <v>48</v>
      </c>
      <c r="X81">
        <v>58.9</v>
      </c>
      <c r="Y81">
        <v>7.95</v>
      </c>
      <c r="Z81">
        <v>1.35</v>
      </c>
      <c r="AA81">
        <v>83.03</v>
      </c>
    </row>
    <row r="82" spans="1:27" x14ac:dyDescent="0.3">
      <c r="A82" t="s">
        <v>217</v>
      </c>
      <c r="B82" t="s">
        <v>68</v>
      </c>
      <c r="C82" t="s">
        <v>38</v>
      </c>
      <c r="D82" t="s">
        <v>218</v>
      </c>
      <c r="E82" t="s">
        <v>75</v>
      </c>
      <c r="F82" t="s">
        <v>41</v>
      </c>
      <c r="G82">
        <v>84</v>
      </c>
      <c r="H82">
        <v>1</v>
      </c>
      <c r="I82">
        <v>0</v>
      </c>
      <c r="J82">
        <v>54.07</v>
      </c>
      <c r="K82">
        <v>6.3</v>
      </c>
      <c r="L82">
        <v>14.75</v>
      </c>
      <c r="N82" t="s">
        <v>33</v>
      </c>
      <c r="P82">
        <v>20</v>
      </c>
      <c r="Q82">
        <v>0</v>
      </c>
      <c r="R82">
        <v>4</v>
      </c>
      <c r="S82" t="s">
        <v>43</v>
      </c>
      <c r="T82">
        <v>21</v>
      </c>
      <c r="U82">
        <v>194</v>
      </c>
      <c r="V82">
        <v>73</v>
      </c>
      <c r="W82" t="s">
        <v>70</v>
      </c>
      <c r="X82">
        <v>57.8</v>
      </c>
      <c r="Y82">
        <v>6.31</v>
      </c>
      <c r="Z82">
        <v>1.23</v>
      </c>
      <c r="AA82">
        <v>91.7</v>
      </c>
    </row>
    <row r="83" spans="1:27" x14ac:dyDescent="0.3">
      <c r="A83" t="s">
        <v>219</v>
      </c>
      <c r="B83" t="s">
        <v>64</v>
      </c>
      <c r="C83" t="s">
        <v>65</v>
      </c>
      <c r="D83" t="s">
        <v>220</v>
      </c>
      <c r="E83" t="s">
        <v>51</v>
      </c>
      <c r="F83" t="s">
        <v>41</v>
      </c>
      <c r="G83">
        <v>90</v>
      </c>
      <c r="H83">
        <v>4</v>
      </c>
      <c r="I83">
        <v>0</v>
      </c>
      <c r="J83">
        <v>53.98</v>
      </c>
      <c r="K83">
        <v>6.3</v>
      </c>
      <c r="L83">
        <v>12.22</v>
      </c>
      <c r="N83" t="s">
        <v>33</v>
      </c>
      <c r="Q83">
        <v>0</v>
      </c>
      <c r="R83">
        <v>0</v>
      </c>
      <c r="S83" t="s">
        <v>61</v>
      </c>
      <c r="T83">
        <v>23</v>
      </c>
      <c r="U83">
        <v>183</v>
      </c>
      <c r="V83">
        <v>96</v>
      </c>
      <c r="W83" t="s">
        <v>53</v>
      </c>
      <c r="X83">
        <v>61.1</v>
      </c>
      <c r="Y83">
        <v>7.63</v>
      </c>
      <c r="Z83">
        <v>0.6</v>
      </c>
      <c r="AA83">
        <v>70.27</v>
      </c>
    </row>
    <row r="84" spans="1:27" x14ac:dyDescent="0.3">
      <c r="A84" t="s">
        <v>221</v>
      </c>
      <c r="B84" t="s">
        <v>37</v>
      </c>
      <c r="C84" t="s">
        <v>29</v>
      </c>
      <c r="D84" t="s">
        <v>222</v>
      </c>
      <c r="E84" t="s">
        <v>94</v>
      </c>
      <c r="F84" t="s">
        <v>32</v>
      </c>
      <c r="G84">
        <v>28</v>
      </c>
      <c r="H84">
        <v>2</v>
      </c>
      <c r="I84">
        <v>6</v>
      </c>
      <c r="J84">
        <v>93.14</v>
      </c>
      <c r="K84">
        <v>19.399999999999999</v>
      </c>
      <c r="L84">
        <v>11.57</v>
      </c>
      <c r="N84" t="s">
        <v>47</v>
      </c>
      <c r="O84" s="1">
        <v>44970</v>
      </c>
      <c r="Q84">
        <v>0</v>
      </c>
      <c r="R84">
        <v>2</v>
      </c>
      <c r="S84" t="s">
        <v>61</v>
      </c>
      <c r="T84">
        <v>27</v>
      </c>
      <c r="U84">
        <v>176</v>
      </c>
      <c r="V84">
        <v>80</v>
      </c>
      <c r="W84" t="s">
        <v>35</v>
      </c>
      <c r="X84">
        <v>47.1</v>
      </c>
      <c r="Y84">
        <v>7.63</v>
      </c>
      <c r="Z84">
        <v>0.93</v>
      </c>
      <c r="AA84">
        <v>87.68</v>
      </c>
    </row>
    <row r="85" spans="1:27" x14ac:dyDescent="0.3">
      <c r="A85" t="s">
        <v>223</v>
      </c>
      <c r="B85" t="s">
        <v>64</v>
      </c>
      <c r="C85" t="s">
        <v>38</v>
      </c>
      <c r="D85" t="s">
        <v>224</v>
      </c>
      <c r="E85" t="s">
        <v>94</v>
      </c>
      <c r="F85" t="s">
        <v>41</v>
      </c>
      <c r="G85">
        <v>20</v>
      </c>
      <c r="H85">
        <v>2</v>
      </c>
      <c r="I85">
        <v>3</v>
      </c>
      <c r="J85">
        <v>73.22</v>
      </c>
      <c r="K85">
        <v>13.2</v>
      </c>
      <c r="L85">
        <v>12.57</v>
      </c>
      <c r="N85" t="s">
        <v>43</v>
      </c>
      <c r="Q85">
        <v>0</v>
      </c>
      <c r="R85">
        <v>3</v>
      </c>
      <c r="S85" t="s">
        <v>34</v>
      </c>
      <c r="T85">
        <v>24</v>
      </c>
      <c r="U85">
        <v>164</v>
      </c>
      <c r="V85">
        <v>77</v>
      </c>
      <c r="W85" t="s">
        <v>48</v>
      </c>
      <c r="X85">
        <v>55.4</v>
      </c>
      <c r="Y85">
        <v>6.26</v>
      </c>
      <c r="Z85">
        <v>0.53</v>
      </c>
      <c r="AA85">
        <v>88.4</v>
      </c>
    </row>
    <row r="86" spans="1:27" x14ac:dyDescent="0.3">
      <c r="A86" t="s">
        <v>225</v>
      </c>
      <c r="B86" t="s">
        <v>28</v>
      </c>
      <c r="C86" t="s">
        <v>29</v>
      </c>
      <c r="D86" t="s">
        <v>226</v>
      </c>
      <c r="E86" t="s">
        <v>75</v>
      </c>
      <c r="F86" t="s">
        <v>32</v>
      </c>
      <c r="G86">
        <v>27</v>
      </c>
      <c r="H86">
        <v>2</v>
      </c>
      <c r="I86">
        <v>2</v>
      </c>
      <c r="J86">
        <v>67.62</v>
      </c>
      <c r="K86">
        <v>10.8</v>
      </c>
      <c r="L86">
        <v>14.53</v>
      </c>
      <c r="N86" t="s">
        <v>33</v>
      </c>
      <c r="Q86">
        <v>0</v>
      </c>
      <c r="R86">
        <v>0</v>
      </c>
      <c r="S86" t="s">
        <v>52</v>
      </c>
      <c r="T86">
        <v>30</v>
      </c>
      <c r="U86">
        <v>179</v>
      </c>
      <c r="V86">
        <v>64</v>
      </c>
      <c r="W86" t="s">
        <v>35</v>
      </c>
      <c r="X86">
        <v>43.1</v>
      </c>
      <c r="Y86">
        <v>7.4</v>
      </c>
      <c r="Z86">
        <v>0.98</v>
      </c>
      <c r="AA86">
        <v>89.13</v>
      </c>
    </row>
    <row r="87" spans="1:27" x14ac:dyDescent="0.3">
      <c r="A87" t="s">
        <v>227</v>
      </c>
      <c r="B87" t="s">
        <v>28</v>
      </c>
      <c r="C87" t="s">
        <v>38</v>
      </c>
      <c r="D87" t="s">
        <v>228</v>
      </c>
      <c r="E87" t="s">
        <v>51</v>
      </c>
      <c r="F87" t="s">
        <v>41</v>
      </c>
      <c r="G87">
        <v>82</v>
      </c>
      <c r="H87">
        <v>2</v>
      </c>
      <c r="I87">
        <v>3</v>
      </c>
      <c r="J87">
        <v>73.19</v>
      </c>
      <c r="K87">
        <v>13.1</v>
      </c>
      <c r="L87">
        <v>14.08</v>
      </c>
      <c r="N87" t="s">
        <v>33</v>
      </c>
      <c r="Q87">
        <v>1</v>
      </c>
      <c r="R87">
        <v>3</v>
      </c>
      <c r="S87" t="s">
        <v>34</v>
      </c>
      <c r="T87">
        <v>31</v>
      </c>
      <c r="U87">
        <v>180</v>
      </c>
      <c r="V87">
        <v>62</v>
      </c>
      <c r="W87" t="s">
        <v>62</v>
      </c>
      <c r="X87">
        <v>51.5</v>
      </c>
      <c r="Y87">
        <v>6.44</v>
      </c>
      <c r="Z87">
        <v>1.1599999999999999</v>
      </c>
      <c r="AA87">
        <v>77.260000000000005</v>
      </c>
    </row>
    <row r="88" spans="1:27" x14ac:dyDescent="0.3">
      <c r="A88" t="s">
        <v>229</v>
      </c>
      <c r="B88" t="s">
        <v>37</v>
      </c>
      <c r="C88" t="s">
        <v>38</v>
      </c>
      <c r="D88" t="s">
        <v>230</v>
      </c>
      <c r="E88" t="s">
        <v>80</v>
      </c>
      <c r="F88" t="s">
        <v>32</v>
      </c>
      <c r="G88">
        <v>30</v>
      </c>
      <c r="H88">
        <v>0</v>
      </c>
      <c r="I88">
        <v>3</v>
      </c>
      <c r="J88">
        <v>73.06</v>
      </c>
      <c r="K88">
        <v>13.1</v>
      </c>
      <c r="L88">
        <v>12.24</v>
      </c>
      <c r="M88" s="1">
        <v>45008</v>
      </c>
      <c r="N88" t="s">
        <v>47</v>
      </c>
      <c r="Q88">
        <v>1</v>
      </c>
      <c r="R88">
        <v>1</v>
      </c>
      <c r="S88" t="s">
        <v>34</v>
      </c>
      <c r="T88">
        <v>21</v>
      </c>
      <c r="U88">
        <v>199</v>
      </c>
      <c r="V88">
        <v>82</v>
      </c>
      <c r="W88" t="s">
        <v>53</v>
      </c>
      <c r="X88">
        <v>54.6</v>
      </c>
      <c r="Y88">
        <v>9.23</v>
      </c>
      <c r="Z88">
        <v>0.62</v>
      </c>
      <c r="AA88">
        <v>91.42</v>
      </c>
    </row>
    <row r="89" spans="1:27" x14ac:dyDescent="0.3">
      <c r="A89" t="s">
        <v>231</v>
      </c>
      <c r="B89" t="s">
        <v>68</v>
      </c>
      <c r="C89" t="s">
        <v>38</v>
      </c>
      <c r="D89" t="s">
        <v>232</v>
      </c>
      <c r="E89" t="s">
        <v>80</v>
      </c>
      <c r="F89" t="s">
        <v>41</v>
      </c>
      <c r="G89">
        <v>27</v>
      </c>
      <c r="H89">
        <v>2</v>
      </c>
      <c r="I89">
        <v>3</v>
      </c>
      <c r="J89">
        <v>72.41</v>
      </c>
      <c r="K89">
        <v>13</v>
      </c>
      <c r="L89">
        <v>12.49</v>
      </c>
      <c r="N89" t="s">
        <v>42</v>
      </c>
      <c r="O89" s="1">
        <v>44973</v>
      </c>
      <c r="Q89">
        <v>0</v>
      </c>
      <c r="R89">
        <v>3</v>
      </c>
      <c r="S89" t="s">
        <v>52</v>
      </c>
      <c r="T89">
        <v>25</v>
      </c>
      <c r="U89">
        <v>190</v>
      </c>
      <c r="V89">
        <v>85</v>
      </c>
      <c r="W89" t="s">
        <v>44</v>
      </c>
      <c r="X89">
        <v>59.6</v>
      </c>
      <c r="Y89">
        <v>9.7899999999999991</v>
      </c>
      <c r="Z89">
        <v>0.79</v>
      </c>
      <c r="AA89">
        <v>72.739999999999995</v>
      </c>
    </row>
    <row r="90" spans="1:27" x14ac:dyDescent="0.3">
      <c r="A90" t="s">
        <v>233</v>
      </c>
      <c r="B90" t="s">
        <v>68</v>
      </c>
      <c r="C90" t="s">
        <v>38</v>
      </c>
      <c r="D90" t="s">
        <v>234</v>
      </c>
      <c r="E90" t="s">
        <v>80</v>
      </c>
      <c r="F90" t="s">
        <v>41</v>
      </c>
      <c r="G90">
        <v>54</v>
      </c>
      <c r="H90">
        <v>3</v>
      </c>
      <c r="I90">
        <v>3</v>
      </c>
      <c r="J90">
        <v>72.39</v>
      </c>
      <c r="K90">
        <v>13</v>
      </c>
      <c r="L90">
        <v>6.46</v>
      </c>
      <c r="N90" t="s">
        <v>33</v>
      </c>
      <c r="Q90">
        <v>1</v>
      </c>
      <c r="R90">
        <v>4</v>
      </c>
      <c r="S90" t="s">
        <v>43</v>
      </c>
      <c r="T90">
        <v>22</v>
      </c>
      <c r="U90">
        <v>195</v>
      </c>
      <c r="V90">
        <v>96</v>
      </c>
      <c r="W90" t="s">
        <v>48</v>
      </c>
      <c r="X90">
        <v>68.5</v>
      </c>
      <c r="Y90">
        <v>6.29</v>
      </c>
      <c r="Z90">
        <v>0.9</v>
      </c>
      <c r="AA90">
        <v>75.98</v>
      </c>
    </row>
    <row r="91" spans="1:27" x14ac:dyDescent="0.3">
      <c r="A91" t="s">
        <v>235</v>
      </c>
      <c r="B91" t="s">
        <v>37</v>
      </c>
      <c r="C91" t="s">
        <v>38</v>
      </c>
      <c r="D91" t="s">
        <v>236</v>
      </c>
      <c r="E91" t="s">
        <v>75</v>
      </c>
      <c r="F91" t="s">
        <v>41</v>
      </c>
      <c r="G91">
        <v>54</v>
      </c>
      <c r="H91">
        <v>3</v>
      </c>
      <c r="I91">
        <v>4</v>
      </c>
      <c r="J91">
        <v>79.099999999999994</v>
      </c>
      <c r="K91">
        <v>15.2</v>
      </c>
      <c r="L91">
        <v>6.03</v>
      </c>
      <c r="N91" t="s">
        <v>42</v>
      </c>
      <c r="Q91">
        <v>1</v>
      </c>
      <c r="R91">
        <v>3</v>
      </c>
      <c r="S91" t="s">
        <v>52</v>
      </c>
      <c r="T91">
        <v>18</v>
      </c>
      <c r="U91">
        <v>170</v>
      </c>
      <c r="V91">
        <v>83</v>
      </c>
      <c r="W91" t="s">
        <v>44</v>
      </c>
      <c r="X91">
        <v>58</v>
      </c>
      <c r="Y91">
        <v>9.82</v>
      </c>
      <c r="Z91">
        <v>1.42</v>
      </c>
      <c r="AA91">
        <v>96.32</v>
      </c>
    </row>
    <row r="92" spans="1:27" x14ac:dyDescent="0.3">
      <c r="A92" t="s">
        <v>237</v>
      </c>
      <c r="B92" t="s">
        <v>28</v>
      </c>
      <c r="C92" t="s">
        <v>38</v>
      </c>
      <c r="D92" t="s">
        <v>238</v>
      </c>
      <c r="E92" t="s">
        <v>94</v>
      </c>
      <c r="F92" t="s">
        <v>32</v>
      </c>
      <c r="G92">
        <v>52</v>
      </c>
      <c r="H92">
        <v>0</v>
      </c>
      <c r="I92">
        <v>4</v>
      </c>
      <c r="J92">
        <v>79.03</v>
      </c>
      <c r="K92">
        <v>15.1</v>
      </c>
      <c r="L92">
        <v>10.71</v>
      </c>
      <c r="N92" t="s">
        <v>47</v>
      </c>
      <c r="O92" s="1">
        <v>45081</v>
      </c>
      <c r="Q92">
        <v>1</v>
      </c>
      <c r="R92">
        <v>0</v>
      </c>
      <c r="S92" t="s">
        <v>43</v>
      </c>
      <c r="T92">
        <v>21</v>
      </c>
      <c r="U92">
        <v>174</v>
      </c>
      <c r="V92">
        <v>78</v>
      </c>
      <c r="W92" t="s">
        <v>62</v>
      </c>
      <c r="X92">
        <v>62.3</v>
      </c>
      <c r="Y92">
        <v>8.09</v>
      </c>
      <c r="Z92">
        <v>1.49</v>
      </c>
      <c r="AA92">
        <v>92.16</v>
      </c>
    </row>
    <row r="93" spans="1:27" x14ac:dyDescent="0.3">
      <c r="A93" t="s">
        <v>239</v>
      </c>
      <c r="B93" t="s">
        <v>28</v>
      </c>
      <c r="C93" t="s">
        <v>38</v>
      </c>
      <c r="D93" t="s">
        <v>240</v>
      </c>
      <c r="E93" t="s">
        <v>56</v>
      </c>
      <c r="F93" t="s">
        <v>32</v>
      </c>
      <c r="G93">
        <v>24</v>
      </c>
      <c r="H93">
        <v>2</v>
      </c>
      <c r="I93">
        <v>6</v>
      </c>
      <c r="J93">
        <v>93.12</v>
      </c>
      <c r="K93">
        <v>19.399999999999999</v>
      </c>
      <c r="L93">
        <v>5.18</v>
      </c>
      <c r="N93" t="s">
        <v>43</v>
      </c>
      <c r="O93" s="1">
        <v>45226</v>
      </c>
      <c r="Q93">
        <v>1</v>
      </c>
      <c r="R93">
        <v>0</v>
      </c>
      <c r="S93" t="s">
        <v>52</v>
      </c>
      <c r="T93">
        <v>20</v>
      </c>
      <c r="U93">
        <v>178</v>
      </c>
      <c r="V93">
        <v>84</v>
      </c>
      <c r="W93" t="s">
        <v>44</v>
      </c>
      <c r="X93">
        <v>55.2</v>
      </c>
      <c r="Y93">
        <v>7.2</v>
      </c>
      <c r="Z93">
        <v>0.54</v>
      </c>
      <c r="AA93">
        <v>70.41</v>
      </c>
    </row>
    <row r="94" spans="1:27" x14ac:dyDescent="0.3">
      <c r="A94" t="s">
        <v>241</v>
      </c>
      <c r="B94" t="s">
        <v>64</v>
      </c>
      <c r="C94" t="s">
        <v>65</v>
      </c>
      <c r="D94" t="s">
        <v>242</v>
      </c>
      <c r="E94" t="s">
        <v>56</v>
      </c>
      <c r="F94" t="s">
        <v>32</v>
      </c>
      <c r="G94">
        <v>60</v>
      </c>
      <c r="H94">
        <v>2</v>
      </c>
      <c r="I94">
        <v>1</v>
      </c>
      <c r="J94">
        <v>59.73</v>
      </c>
      <c r="K94">
        <v>8.1999999999999993</v>
      </c>
      <c r="L94">
        <v>9.82</v>
      </c>
      <c r="N94" t="s">
        <v>42</v>
      </c>
      <c r="P94">
        <v>81</v>
      </c>
      <c r="Q94">
        <v>0</v>
      </c>
      <c r="R94">
        <v>3</v>
      </c>
      <c r="S94" t="s">
        <v>34</v>
      </c>
      <c r="T94">
        <v>26</v>
      </c>
      <c r="U94">
        <v>166</v>
      </c>
      <c r="V94">
        <v>80</v>
      </c>
      <c r="W94" t="s">
        <v>48</v>
      </c>
      <c r="X94">
        <v>59</v>
      </c>
      <c r="Y94">
        <v>6.31</v>
      </c>
      <c r="Z94">
        <v>1.26</v>
      </c>
      <c r="AA94">
        <v>77.45</v>
      </c>
    </row>
    <row r="95" spans="1:27" x14ac:dyDescent="0.3">
      <c r="A95" t="s">
        <v>243</v>
      </c>
      <c r="B95" t="s">
        <v>37</v>
      </c>
      <c r="C95" t="s">
        <v>38</v>
      </c>
      <c r="D95" t="s">
        <v>244</v>
      </c>
      <c r="E95" t="s">
        <v>75</v>
      </c>
      <c r="F95" t="s">
        <v>32</v>
      </c>
      <c r="G95">
        <v>47</v>
      </c>
      <c r="H95">
        <v>2</v>
      </c>
      <c r="I95">
        <v>0</v>
      </c>
      <c r="J95">
        <v>53.9</v>
      </c>
      <c r="K95">
        <v>6.3</v>
      </c>
      <c r="L95">
        <v>7.1</v>
      </c>
      <c r="N95" t="s">
        <v>47</v>
      </c>
      <c r="Q95">
        <v>0</v>
      </c>
      <c r="R95">
        <v>0</v>
      </c>
      <c r="S95" t="s">
        <v>34</v>
      </c>
      <c r="T95">
        <v>25</v>
      </c>
      <c r="U95">
        <v>187</v>
      </c>
      <c r="V95">
        <v>71</v>
      </c>
      <c r="W95" t="s">
        <v>53</v>
      </c>
      <c r="X95">
        <v>42.1</v>
      </c>
      <c r="Y95">
        <v>8</v>
      </c>
      <c r="Z95">
        <v>0.87</v>
      </c>
      <c r="AA95">
        <v>76.430000000000007</v>
      </c>
    </row>
    <row r="96" spans="1:27" x14ac:dyDescent="0.3">
      <c r="A96" t="s">
        <v>245</v>
      </c>
      <c r="B96" t="s">
        <v>28</v>
      </c>
      <c r="C96" t="s">
        <v>38</v>
      </c>
      <c r="D96" t="s">
        <v>246</v>
      </c>
      <c r="E96" t="s">
        <v>94</v>
      </c>
      <c r="F96" t="s">
        <v>41</v>
      </c>
      <c r="G96">
        <v>26</v>
      </c>
      <c r="H96">
        <v>4</v>
      </c>
      <c r="I96">
        <v>3</v>
      </c>
      <c r="J96">
        <v>72.239999999999995</v>
      </c>
      <c r="K96">
        <v>12.9</v>
      </c>
      <c r="L96">
        <v>8.4600000000000009</v>
      </c>
      <c r="M96" s="1">
        <v>45263</v>
      </c>
      <c r="N96" t="s">
        <v>43</v>
      </c>
      <c r="P96">
        <v>87</v>
      </c>
      <c r="Q96">
        <v>0</v>
      </c>
      <c r="R96">
        <v>0</v>
      </c>
      <c r="S96" t="s">
        <v>43</v>
      </c>
      <c r="T96">
        <v>18</v>
      </c>
      <c r="U96">
        <v>164</v>
      </c>
      <c r="V96">
        <v>92</v>
      </c>
      <c r="W96" t="s">
        <v>35</v>
      </c>
      <c r="X96">
        <v>47.6</v>
      </c>
      <c r="Y96">
        <v>9.18</v>
      </c>
      <c r="Z96">
        <v>0.89</v>
      </c>
      <c r="AA96">
        <v>78.12</v>
      </c>
    </row>
    <row r="97" spans="1:27" x14ac:dyDescent="0.3">
      <c r="A97" t="s">
        <v>247</v>
      </c>
      <c r="B97" t="s">
        <v>37</v>
      </c>
      <c r="C97" t="s">
        <v>38</v>
      </c>
      <c r="D97" t="s">
        <v>248</v>
      </c>
      <c r="E97" t="s">
        <v>31</v>
      </c>
      <c r="F97" t="s">
        <v>32</v>
      </c>
      <c r="G97">
        <v>92</v>
      </c>
      <c r="H97">
        <v>1</v>
      </c>
      <c r="I97">
        <v>6</v>
      </c>
      <c r="J97">
        <v>93.08</v>
      </c>
      <c r="K97">
        <v>19.399999999999999</v>
      </c>
      <c r="L97">
        <v>12.76</v>
      </c>
      <c r="N97" t="s">
        <v>33</v>
      </c>
      <c r="Q97">
        <v>0</v>
      </c>
      <c r="R97">
        <v>3</v>
      </c>
      <c r="S97" t="s">
        <v>34</v>
      </c>
      <c r="T97">
        <v>23</v>
      </c>
      <c r="U97">
        <v>164</v>
      </c>
      <c r="V97">
        <v>63</v>
      </c>
      <c r="W97" t="s">
        <v>62</v>
      </c>
      <c r="X97">
        <v>50.9</v>
      </c>
      <c r="Y97">
        <v>8.83</v>
      </c>
      <c r="Z97">
        <v>1.25</v>
      </c>
      <c r="AA97">
        <v>77.430000000000007</v>
      </c>
    </row>
    <row r="98" spans="1:27" x14ac:dyDescent="0.3">
      <c r="A98" t="s">
        <v>249</v>
      </c>
      <c r="B98" t="s">
        <v>68</v>
      </c>
      <c r="C98" t="s">
        <v>65</v>
      </c>
      <c r="D98" t="s">
        <v>250</v>
      </c>
      <c r="E98" t="s">
        <v>94</v>
      </c>
      <c r="F98" t="s">
        <v>41</v>
      </c>
      <c r="G98">
        <v>91</v>
      </c>
      <c r="H98">
        <v>4</v>
      </c>
      <c r="I98">
        <v>1</v>
      </c>
      <c r="J98">
        <v>58.69</v>
      </c>
      <c r="K98">
        <v>7.9</v>
      </c>
      <c r="L98">
        <v>14.41</v>
      </c>
      <c r="N98" t="s">
        <v>42</v>
      </c>
      <c r="O98" s="1">
        <v>45183</v>
      </c>
      <c r="Q98">
        <v>1</v>
      </c>
      <c r="R98">
        <v>2</v>
      </c>
      <c r="S98" t="s">
        <v>34</v>
      </c>
      <c r="T98">
        <v>26</v>
      </c>
      <c r="U98">
        <v>189</v>
      </c>
      <c r="V98">
        <v>66</v>
      </c>
      <c r="W98" t="s">
        <v>53</v>
      </c>
      <c r="X98">
        <v>54.2</v>
      </c>
      <c r="Y98">
        <v>6.2</v>
      </c>
      <c r="Z98">
        <v>1.42</v>
      </c>
      <c r="AA98">
        <v>71.88</v>
      </c>
    </row>
    <row r="99" spans="1:27" x14ac:dyDescent="0.3">
      <c r="A99" t="s">
        <v>251</v>
      </c>
      <c r="B99" t="s">
        <v>28</v>
      </c>
      <c r="C99" t="s">
        <v>38</v>
      </c>
      <c r="D99" t="s">
        <v>252</v>
      </c>
      <c r="E99" t="s">
        <v>56</v>
      </c>
      <c r="F99" t="s">
        <v>41</v>
      </c>
      <c r="G99">
        <v>31</v>
      </c>
      <c r="H99">
        <v>1</v>
      </c>
      <c r="I99">
        <v>0</v>
      </c>
      <c r="J99">
        <v>53.78</v>
      </c>
      <c r="K99">
        <v>6.3</v>
      </c>
      <c r="L99">
        <v>5.72</v>
      </c>
      <c r="N99" t="s">
        <v>47</v>
      </c>
      <c r="Q99">
        <v>0</v>
      </c>
      <c r="R99">
        <v>2</v>
      </c>
      <c r="S99" t="s">
        <v>43</v>
      </c>
      <c r="T99">
        <v>24</v>
      </c>
      <c r="U99">
        <v>191</v>
      </c>
      <c r="V99">
        <v>81</v>
      </c>
      <c r="W99" t="s">
        <v>53</v>
      </c>
      <c r="X99">
        <v>41.4</v>
      </c>
      <c r="Y99">
        <v>6.29</v>
      </c>
      <c r="Z99">
        <v>1.45</v>
      </c>
      <c r="AA99">
        <v>83.77</v>
      </c>
    </row>
    <row r="100" spans="1:27" x14ac:dyDescent="0.3">
      <c r="A100" t="s">
        <v>253</v>
      </c>
      <c r="B100" t="s">
        <v>68</v>
      </c>
      <c r="C100" t="s">
        <v>29</v>
      </c>
      <c r="D100" t="s">
        <v>254</v>
      </c>
      <c r="E100" t="s">
        <v>80</v>
      </c>
      <c r="F100" t="s">
        <v>41</v>
      </c>
      <c r="G100">
        <v>53</v>
      </c>
      <c r="H100">
        <v>2</v>
      </c>
      <c r="I100">
        <v>5</v>
      </c>
      <c r="J100">
        <v>86.03</v>
      </c>
      <c r="K100">
        <v>17.2</v>
      </c>
      <c r="L100">
        <v>10.34</v>
      </c>
      <c r="M100" s="1">
        <v>45038</v>
      </c>
      <c r="N100" t="s">
        <v>43</v>
      </c>
      <c r="Q100">
        <v>0</v>
      </c>
      <c r="R100">
        <v>1</v>
      </c>
      <c r="S100" t="s">
        <v>43</v>
      </c>
      <c r="T100">
        <v>21</v>
      </c>
      <c r="U100">
        <v>167</v>
      </c>
      <c r="V100">
        <v>92</v>
      </c>
      <c r="W100" t="s">
        <v>35</v>
      </c>
      <c r="X100">
        <v>44.2</v>
      </c>
      <c r="Y100">
        <v>7.61</v>
      </c>
      <c r="Z100">
        <v>1.08</v>
      </c>
      <c r="AA100">
        <v>91.98</v>
      </c>
    </row>
    <row r="101" spans="1:27" x14ac:dyDescent="0.3">
      <c r="A101" t="s">
        <v>255</v>
      </c>
      <c r="B101" t="s">
        <v>68</v>
      </c>
      <c r="C101" t="s">
        <v>29</v>
      </c>
      <c r="D101" t="s">
        <v>256</v>
      </c>
      <c r="E101" t="s">
        <v>75</v>
      </c>
      <c r="F101" t="s">
        <v>32</v>
      </c>
      <c r="G101">
        <v>52</v>
      </c>
      <c r="H101">
        <v>2</v>
      </c>
      <c r="I101">
        <v>2</v>
      </c>
      <c r="J101">
        <v>67.599999999999994</v>
      </c>
      <c r="K101">
        <v>10.8</v>
      </c>
      <c r="L101">
        <v>13.83</v>
      </c>
      <c r="M101" s="1">
        <v>45161</v>
      </c>
      <c r="N101" t="s">
        <v>33</v>
      </c>
      <c r="O101" s="1">
        <v>45147</v>
      </c>
      <c r="P101">
        <v>83</v>
      </c>
      <c r="Q101">
        <v>1</v>
      </c>
      <c r="R101">
        <v>0</v>
      </c>
      <c r="S101" t="s">
        <v>61</v>
      </c>
      <c r="T101">
        <v>30</v>
      </c>
      <c r="U101">
        <v>169</v>
      </c>
      <c r="V101">
        <v>76</v>
      </c>
      <c r="W101" t="s">
        <v>35</v>
      </c>
      <c r="X101">
        <v>48.3</v>
      </c>
      <c r="Y101">
        <v>7.18</v>
      </c>
      <c r="Z101">
        <v>0.86</v>
      </c>
      <c r="AA101">
        <v>88.2</v>
      </c>
    </row>
    <row r="102" spans="1:27" x14ac:dyDescent="0.3">
      <c r="A102" t="s">
        <v>257</v>
      </c>
      <c r="B102" t="s">
        <v>68</v>
      </c>
      <c r="C102" t="s">
        <v>38</v>
      </c>
      <c r="D102" t="s">
        <v>258</v>
      </c>
      <c r="E102" t="s">
        <v>80</v>
      </c>
      <c r="F102" t="s">
        <v>32</v>
      </c>
      <c r="G102">
        <v>67</v>
      </c>
      <c r="H102">
        <v>4</v>
      </c>
      <c r="I102">
        <v>4</v>
      </c>
      <c r="J102">
        <v>79</v>
      </c>
      <c r="K102">
        <v>14.9</v>
      </c>
      <c r="L102">
        <v>5.83</v>
      </c>
      <c r="N102" t="s">
        <v>33</v>
      </c>
      <c r="P102">
        <v>75</v>
      </c>
      <c r="Q102">
        <v>1</v>
      </c>
      <c r="R102">
        <v>3</v>
      </c>
      <c r="S102" t="s">
        <v>52</v>
      </c>
      <c r="T102">
        <v>34</v>
      </c>
      <c r="U102">
        <v>197</v>
      </c>
      <c r="V102">
        <v>83</v>
      </c>
      <c r="W102" t="s">
        <v>62</v>
      </c>
      <c r="X102">
        <v>69.099999999999994</v>
      </c>
      <c r="Y102">
        <v>6.93</v>
      </c>
      <c r="Z102">
        <v>1.29</v>
      </c>
      <c r="AA102">
        <v>90.19</v>
      </c>
    </row>
    <row r="103" spans="1:27" x14ac:dyDescent="0.3">
      <c r="A103" t="s">
        <v>259</v>
      </c>
      <c r="B103" t="s">
        <v>68</v>
      </c>
      <c r="C103" t="s">
        <v>38</v>
      </c>
      <c r="D103" t="s">
        <v>260</v>
      </c>
      <c r="E103" t="s">
        <v>80</v>
      </c>
      <c r="F103" t="s">
        <v>32</v>
      </c>
      <c r="G103">
        <v>42</v>
      </c>
      <c r="H103">
        <v>4</v>
      </c>
      <c r="I103">
        <v>5</v>
      </c>
      <c r="J103">
        <v>85.91</v>
      </c>
      <c r="K103">
        <v>17.2</v>
      </c>
      <c r="L103">
        <v>13.25</v>
      </c>
      <c r="N103" t="s">
        <v>43</v>
      </c>
      <c r="P103">
        <v>55</v>
      </c>
      <c r="Q103">
        <v>1</v>
      </c>
      <c r="R103">
        <v>0</v>
      </c>
      <c r="S103" t="s">
        <v>52</v>
      </c>
      <c r="T103">
        <v>19</v>
      </c>
      <c r="U103">
        <v>191</v>
      </c>
      <c r="V103">
        <v>93</v>
      </c>
      <c r="W103" t="s">
        <v>35</v>
      </c>
      <c r="X103">
        <v>49.9</v>
      </c>
      <c r="Y103">
        <v>7.12</v>
      </c>
      <c r="Z103">
        <v>0.75</v>
      </c>
      <c r="AA103">
        <v>72.430000000000007</v>
      </c>
    </row>
    <row r="104" spans="1:27" x14ac:dyDescent="0.3">
      <c r="A104" t="s">
        <v>261</v>
      </c>
      <c r="B104" t="s">
        <v>64</v>
      </c>
      <c r="C104" t="s">
        <v>65</v>
      </c>
      <c r="D104" t="s">
        <v>262</v>
      </c>
      <c r="E104" t="s">
        <v>31</v>
      </c>
      <c r="F104" t="s">
        <v>41</v>
      </c>
      <c r="G104">
        <v>81</v>
      </c>
      <c r="H104">
        <v>1</v>
      </c>
      <c r="I104">
        <v>0</v>
      </c>
      <c r="J104">
        <v>53.5</v>
      </c>
      <c r="K104">
        <v>6.2</v>
      </c>
      <c r="L104">
        <v>8.58</v>
      </c>
      <c r="N104" t="s">
        <v>47</v>
      </c>
      <c r="Q104">
        <v>0</v>
      </c>
      <c r="R104">
        <v>4</v>
      </c>
      <c r="S104" t="s">
        <v>34</v>
      </c>
      <c r="T104">
        <v>22</v>
      </c>
      <c r="U104">
        <v>187</v>
      </c>
      <c r="V104">
        <v>87</v>
      </c>
      <c r="W104" t="s">
        <v>35</v>
      </c>
      <c r="X104">
        <v>54.5</v>
      </c>
      <c r="Y104">
        <v>9.2100000000000009</v>
      </c>
      <c r="Z104">
        <v>1.06</v>
      </c>
      <c r="AA104">
        <v>98.54</v>
      </c>
    </row>
    <row r="105" spans="1:27" x14ac:dyDescent="0.3">
      <c r="A105" t="s">
        <v>263</v>
      </c>
      <c r="B105" t="s">
        <v>64</v>
      </c>
      <c r="C105" t="s">
        <v>38</v>
      </c>
      <c r="D105" t="s">
        <v>264</v>
      </c>
      <c r="E105" t="s">
        <v>51</v>
      </c>
      <c r="F105" t="s">
        <v>32</v>
      </c>
      <c r="G105">
        <v>56</v>
      </c>
      <c r="H105">
        <v>3</v>
      </c>
      <c r="I105">
        <v>5</v>
      </c>
      <c r="J105">
        <v>85.79</v>
      </c>
      <c r="K105">
        <v>17.2</v>
      </c>
      <c r="L105">
        <v>8.2200000000000006</v>
      </c>
      <c r="N105" t="s">
        <v>43</v>
      </c>
      <c r="Q105">
        <v>0</v>
      </c>
      <c r="R105">
        <v>0</v>
      </c>
      <c r="S105" t="s">
        <v>34</v>
      </c>
      <c r="T105">
        <v>29</v>
      </c>
      <c r="U105">
        <v>176</v>
      </c>
      <c r="V105">
        <v>98</v>
      </c>
      <c r="W105" t="s">
        <v>48</v>
      </c>
      <c r="X105">
        <v>45.9</v>
      </c>
      <c r="Y105">
        <v>9.7200000000000006</v>
      </c>
      <c r="Z105">
        <v>0.86</v>
      </c>
      <c r="AA105">
        <v>95.15</v>
      </c>
    </row>
    <row r="106" spans="1:27" x14ac:dyDescent="0.3">
      <c r="A106" t="s">
        <v>265</v>
      </c>
      <c r="B106" t="s">
        <v>68</v>
      </c>
      <c r="C106" t="s">
        <v>29</v>
      </c>
      <c r="D106" t="s">
        <v>266</v>
      </c>
      <c r="E106" t="s">
        <v>31</v>
      </c>
      <c r="F106" t="s">
        <v>41</v>
      </c>
      <c r="G106">
        <v>63</v>
      </c>
      <c r="H106">
        <v>1</v>
      </c>
      <c r="I106">
        <v>2</v>
      </c>
      <c r="J106">
        <v>67.28</v>
      </c>
      <c r="K106">
        <v>10.6</v>
      </c>
      <c r="L106">
        <v>14.77</v>
      </c>
      <c r="N106" t="s">
        <v>43</v>
      </c>
      <c r="O106" s="1">
        <v>44974</v>
      </c>
      <c r="P106">
        <v>18</v>
      </c>
      <c r="Q106">
        <v>0</v>
      </c>
      <c r="R106">
        <v>0</v>
      </c>
      <c r="S106" t="s">
        <v>61</v>
      </c>
      <c r="T106">
        <v>38</v>
      </c>
      <c r="U106">
        <v>190</v>
      </c>
      <c r="V106">
        <v>81</v>
      </c>
      <c r="W106" t="s">
        <v>62</v>
      </c>
      <c r="X106">
        <v>58.3</v>
      </c>
      <c r="Y106">
        <v>7.62</v>
      </c>
      <c r="Z106">
        <v>1.1599999999999999</v>
      </c>
      <c r="AA106">
        <v>94.15</v>
      </c>
    </row>
    <row r="107" spans="1:27" x14ac:dyDescent="0.3">
      <c r="A107" t="s">
        <v>267</v>
      </c>
      <c r="B107" t="s">
        <v>64</v>
      </c>
      <c r="C107" t="s">
        <v>38</v>
      </c>
      <c r="D107" t="s">
        <v>268</v>
      </c>
      <c r="E107" t="s">
        <v>40</v>
      </c>
      <c r="F107" t="s">
        <v>41</v>
      </c>
      <c r="G107">
        <v>54</v>
      </c>
      <c r="H107">
        <v>4</v>
      </c>
      <c r="I107">
        <v>6</v>
      </c>
      <c r="J107">
        <v>93.04</v>
      </c>
      <c r="K107">
        <v>19.399999999999999</v>
      </c>
      <c r="L107">
        <v>7.01</v>
      </c>
      <c r="M107" s="1">
        <v>45213</v>
      </c>
      <c r="N107" t="s">
        <v>43</v>
      </c>
      <c r="P107">
        <v>12</v>
      </c>
      <c r="Q107">
        <v>0</v>
      </c>
      <c r="R107">
        <v>2</v>
      </c>
      <c r="S107" t="s">
        <v>52</v>
      </c>
      <c r="T107">
        <v>25</v>
      </c>
      <c r="U107">
        <v>167</v>
      </c>
      <c r="V107">
        <v>76</v>
      </c>
      <c r="W107" t="s">
        <v>70</v>
      </c>
      <c r="X107">
        <v>48.4</v>
      </c>
      <c r="Y107">
        <v>9.6199999999999992</v>
      </c>
      <c r="Z107">
        <v>0.74</v>
      </c>
      <c r="AA107">
        <v>94.69</v>
      </c>
    </row>
    <row r="108" spans="1:27" x14ac:dyDescent="0.3">
      <c r="A108" t="s">
        <v>269</v>
      </c>
      <c r="B108" t="s">
        <v>68</v>
      </c>
      <c r="C108" t="s">
        <v>82</v>
      </c>
      <c r="D108" t="s">
        <v>270</v>
      </c>
      <c r="E108" t="s">
        <v>75</v>
      </c>
      <c r="F108" t="s">
        <v>41</v>
      </c>
      <c r="G108">
        <v>84</v>
      </c>
      <c r="H108">
        <v>0</v>
      </c>
      <c r="I108">
        <v>0</v>
      </c>
      <c r="J108">
        <v>53.42</v>
      </c>
      <c r="K108">
        <v>6.2</v>
      </c>
      <c r="L108">
        <v>11.93</v>
      </c>
      <c r="N108" t="s">
        <v>43</v>
      </c>
      <c r="Q108">
        <v>0</v>
      </c>
      <c r="R108">
        <v>3</v>
      </c>
      <c r="S108" t="s">
        <v>34</v>
      </c>
      <c r="T108">
        <v>23</v>
      </c>
      <c r="U108">
        <v>199</v>
      </c>
      <c r="V108">
        <v>93</v>
      </c>
      <c r="W108" t="s">
        <v>70</v>
      </c>
      <c r="X108">
        <v>46.2</v>
      </c>
      <c r="Y108">
        <v>7.29</v>
      </c>
      <c r="Z108">
        <v>0.69</v>
      </c>
      <c r="AA108">
        <v>97.98</v>
      </c>
    </row>
    <row r="109" spans="1:27" x14ac:dyDescent="0.3">
      <c r="A109" t="s">
        <v>271</v>
      </c>
      <c r="B109" t="s">
        <v>37</v>
      </c>
      <c r="C109" t="s">
        <v>29</v>
      </c>
      <c r="D109" t="s">
        <v>272</v>
      </c>
      <c r="E109" t="s">
        <v>94</v>
      </c>
      <c r="F109" t="s">
        <v>32</v>
      </c>
      <c r="G109">
        <v>66</v>
      </c>
      <c r="H109">
        <v>0</v>
      </c>
      <c r="I109">
        <v>5</v>
      </c>
      <c r="J109">
        <v>85.55</v>
      </c>
      <c r="K109">
        <v>17.100000000000001</v>
      </c>
      <c r="L109">
        <v>13.21</v>
      </c>
      <c r="M109" s="1">
        <v>45223</v>
      </c>
      <c r="N109" t="s">
        <v>47</v>
      </c>
      <c r="Q109">
        <v>0</v>
      </c>
      <c r="R109">
        <v>0</v>
      </c>
      <c r="S109" t="s">
        <v>61</v>
      </c>
      <c r="T109">
        <v>25</v>
      </c>
      <c r="U109">
        <v>184</v>
      </c>
      <c r="V109">
        <v>65</v>
      </c>
      <c r="W109" t="s">
        <v>62</v>
      </c>
      <c r="X109">
        <v>55.5</v>
      </c>
      <c r="Y109">
        <v>7.91</v>
      </c>
      <c r="Z109">
        <v>1.42</v>
      </c>
      <c r="AA109">
        <v>86.33</v>
      </c>
    </row>
    <row r="110" spans="1:27" x14ac:dyDescent="0.3">
      <c r="A110" t="s">
        <v>273</v>
      </c>
      <c r="B110" t="s">
        <v>64</v>
      </c>
      <c r="C110" t="s">
        <v>38</v>
      </c>
      <c r="D110" t="s">
        <v>274</v>
      </c>
      <c r="E110" t="s">
        <v>94</v>
      </c>
      <c r="F110" t="s">
        <v>32</v>
      </c>
      <c r="G110">
        <v>22</v>
      </c>
      <c r="H110">
        <v>4</v>
      </c>
      <c r="I110">
        <v>4</v>
      </c>
      <c r="J110">
        <v>78.75</v>
      </c>
      <c r="K110">
        <v>14.9</v>
      </c>
      <c r="L110">
        <v>5.41</v>
      </c>
      <c r="N110" t="s">
        <v>33</v>
      </c>
      <c r="O110" s="1">
        <v>45034</v>
      </c>
      <c r="Q110">
        <v>0</v>
      </c>
      <c r="R110">
        <v>2</v>
      </c>
      <c r="S110" t="s">
        <v>43</v>
      </c>
      <c r="T110">
        <v>35</v>
      </c>
      <c r="U110">
        <v>168</v>
      </c>
      <c r="V110">
        <v>65</v>
      </c>
      <c r="W110" t="s">
        <v>44</v>
      </c>
      <c r="X110">
        <v>40.200000000000003</v>
      </c>
      <c r="Y110">
        <v>6.9</v>
      </c>
      <c r="Z110">
        <v>0.6</v>
      </c>
      <c r="AA110">
        <v>76.010000000000005</v>
      </c>
    </row>
    <row r="111" spans="1:27" x14ac:dyDescent="0.3">
      <c r="A111" t="s">
        <v>275</v>
      </c>
      <c r="B111" t="s">
        <v>28</v>
      </c>
      <c r="C111" t="s">
        <v>65</v>
      </c>
      <c r="D111" t="s">
        <v>276</v>
      </c>
      <c r="E111" t="s">
        <v>31</v>
      </c>
      <c r="F111" t="s">
        <v>32</v>
      </c>
      <c r="G111">
        <v>20</v>
      </c>
      <c r="H111">
        <v>0</v>
      </c>
      <c r="I111">
        <v>4</v>
      </c>
      <c r="J111">
        <v>78.680000000000007</v>
      </c>
      <c r="K111">
        <v>14.7</v>
      </c>
      <c r="L111">
        <v>11.7</v>
      </c>
      <c r="M111" s="1">
        <v>45029</v>
      </c>
      <c r="N111" t="s">
        <v>43</v>
      </c>
      <c r="O111" s="1">
        <v>44927</v>
      </c>
      <c r="Q111">
        <v>0</v>
      </c>
      <c r="R111">
        <v>1</v>
      </c>
      <c r="S111" t="s">
        <v>43</v>
      </c>
      <c r="T111">
        <v>20</v>
      </c>
      <c r="U111">
        <v>161</v>
      </c>
      <c r="V111">
        <v>93</v>
      </c>
      <c r="W111" t="s">
        <v>70</v>
      </c>
      <c r="X111">
        <v>40.200000000000003</v>
      </c>
      <c r="Y111">
        <v>8.56</v>
      </c>
      <c r="Z111">
        <v>1.01</v>
      </c>
      <c r="AA111">
        <v>88.5</v>
      </c>
    </row>
    <row r="112" spans="1:27" x14ac:dyDescent="0.3">
      <c r="A112" t="s">
        <v>277</v>
      </c>
      <c r="B112" t="s">
        <v>68</v>
      </c>
      <c r="C112" t="s">
        <v>29</v>
      </c>
      <c r="D112" t="s">
        <v>278</v>
      </c>
      <c r="E112" t="s">
        <v>31</v>
      </c>
      <c r="F112" t="s">
        <v>41</v>
      </c>
      <c r="G112">
        <v>24</v>
      </c>
      <c r="H112">
        <v>3</v>
      </c>
      <c r="I112">
        <v>1</v>
      </c>
      <c r="J112">
        <v>58.67</v>
      </c>
      <c r="K112">
        <v>7.8</v>
      </c>
      <c r="L112">
        <v>14.52</v>
      </c>
      <c r="M112" s="1">
        <v>45275</v>
      </c>
      <c r="N112" t="s">
        <v>42</v>
      </c>
      <c r="Q112">
        <v>0</v>
      </c>
      <c r="R112">
        <v>2</v>
      </c>
      <c r="S112" t="s">
        <v>52</v>
      </c>
      <c r="T112">
        <v>39</v>
      </c>
      <c r="U112">
        <v>174</v>
      </c>
      <c r="V112">
        <v>60</v>
      </c>
      <c r="W112" t="s">
        <v>62</v>
      </c>
      <c r="X112">
        <v>46.6</v>
      </c>
      <c r="Y112">
        <v>9.92</v>
      </c>
      <c r="Z112">
        <v>0.72</v>
      </c>
      <c r="AA112">
        <v>92.29</v>
      </c>
    </row>
    <row r="113" spans="1:27" x14ac:dyDescent="0.3">
      <c r="A113" t="s">
        <v>279</v>
      </c>
      <c r="B113" t="s">
        <v>28</v>
      </c>
      <c r="C113" t="s">
        <v>38</v>
      </c>
      <c r="D113" t="s">
        <v>280</v>
      </c>
      <c r="E113" t="s">
        <v>40</v>
      </c>
      <c r="F113" t="s">
        <v>32</v>
      </c>
      <c r="G113">
        <v>33</v>
      </c>
      <c r="H113">
        <v>1</v>
      </c>
      <c r="I113">
        <v>5</v>
      </c>
      <c r="J113">
        <v>85.5</v>
      </c>
      <c r="K113">
        <v>17.100000000000001</v>
      </c>
      <c r="L113">
        <v>6.24</v>
      </c>
      <c r="N113" t="s">
        <v>42</v>
      </c>
      <c r="Q113">
        <v>0</v>
      </c>
      <c r="R113">
        <v>2</v>
      </c>
      <c r="S113" t="s">
        <v>34</v>
      </c>
      <c r="T113">
        <v>29</v>
      </c>
      <c r="U113">
        <v>162</v>
      </c>
      <c r="V113">
        <v>69</v>
      </c>
      <c r="W113" t="s">
        <v>44</v>
      </c>
      <c r="X113">
        <v>41.1</v>
      </c>
      <c r="Y113">
        <v>8.41</v>
      </c>
      <c r="Z113">
        <v>0.54</v>
      </c>
      <c r="AA113">
        <v>92.14</v>
      </c>
    </row>
    <row r="114" spans="1:27" x14ac:dyDescent="0.3">
      <c r="A114" t="s">
        <v>281</v>
      </c>
      <c r="B114" t="s">
        <v>37</v>
      </c>
      <c r="C114" t="s">
        <v>38</v>
      </c>
      <c r="D114" t="s">
        <v>282</v>
      </c>
      <c r="E114" t="s">
        <v>51</v>
      </c>
      <c r="F114" t="s">
        <v>41</v>
      </c>
      <c r="G114">
        <v>46</v>
      </c>
      <c r="H114">
        <v>1</v>
      </c>
      <c r="I114">
        <v>3</v>
      </c>
      <c r="J114">
        <v>72.099999999999994</v>
      </c>
      <c r="K114">
        <v>12.8</v>
      </c>
      <c r="L114">
        <v>13.96</v>
      </c>
      <c r="N114" t="s">
        <v>33</v>
      </c>
      <c r="Q114">
        <v>0</v>
      </c>
      <c r="R114">
        <v>2</v>
      </c>
      <c r="S114" t="s">
        <v>61</v>
      </c>
      <c r="T114">
        <v>20</v>
      </c>
      <c r="U114">
        <v>195</v>
      </c>
      <c r="V114">
        <v>80</v>
      </c>
      <c r="W114" t="s">
        <v>48</v>
      </c>
      <c r="X114">
        <v>43.2</v>
      </c>
      <c r="Y114">
        <v>7.43</v>
      </c>
      <c r="Z114">
        <v>0.54</v>
      </c>
      <c r="AA114">
        <v>85.64</v>
      </c>
    </row>
    <row r="115" spans="1:27" x14ac:dyDescent="0.3">
      <c r="A115" t="s">
        <v>283</v>
      </c>
      <c r="B115" t="s">
        <v>37</v>
      </c>
      <c r="C115" t="s">
        <v>29</v>
      </c>
      <c r="D115" t="s">
        <v>284</v>
      </c>
      <c r="E115" t="s">
        <v>51</v>
      </c>
      <c r="F115" t="s">
        <v>32</v>
      </c>
      <c r="G115">
        <v>28</v>
      </c>
      <c r="H115">
        <v>0</v>
      </c>
      <c r="I115">
        <v>5</v>
      </c>
      <c r="J115">
        <v>85.09</v>
      </c>
      <c r="K115">
        <v>17.100000000000001</v>
      </c>
      <c r="L115">
        <v>10.95</v>
      </c>
      <c r="M115" s="1">
        <v>44951</v>
      </c>
      <c r="N115" t="s">
        <v>43</v>
      </c>
      <c r="Q115">
        <v>0</v>
      </c>
      <c r="R115">
        <v>0</v>
      </c>
      <c r="S115" t="s">
        <v>43</v>
      </c>
      <c r="T115">
        <v>39</v>
      </c>
      <c r="U115">
        <v>163</v>
      </c>
      <c r="V115">
        <v>64</v>
      </c>
      <c r="W115" t="s">
        <v>44</v>
      </c>
      <c r="X115">
        <v>50.2</v>
      </c>
      <c r="Y115">
        <v>8.59</v>
      </c>
      <c r="Z115">
        <v>0.68</v>
      </c>
      <c r="AA115">
        <v>72.05</v>
      </c>
    </row>
    <row r="116" spans="1:27" x14ac:dyDescent="0.3">
      <c r="A116" t="s">
        <v>285</v>
      </c>
      <c r="B116" t="s">
        <v>64</v>
      </c>
      <c r="C116" t="s">
        <v>38</v>
      </c>
      <c r="D116" t="s">
        <v>286</v>
      </c>
      <c r="E116" t="s">
        <v>40</v>
      </c>
      <c r="F116" t="s">
        <v>41</v>
      </c>
      <c r="G116">
        <v>34</v>
      </c>
      <c r="H116">
        <v>1</v>
      </c>
      <c r="I116">
        <v>6</v>
      </c>
      <c r="J116">
        <v>92.99</v>
      </c>
      <c r="K116">
        <v>19.3</v>
      </c>
      <c r="L116">
        <v>11.17</v>
      </c>
      <c r="N116" t="s">
        <v>47</v>
      </c>
      <c r="Q116">
        <v>0</v>
      </c>
      <c r="R116">
        <v>0</v>
      </c>
      <c r="S116" t="s">
        <v>61</v>
      </c>
      <c r="T116">
        <v>23</v>
      </c>
      <c r="U116">
        <v>173</v>
      </c>
      <c r="V116">
        <v>61</v>
      </c>
      <c r="W116" t="s">
        <v>53</v>
      </c>
      <c r="X116">
        <v>64.099999999999994</v>
      </c>
      <c r="Y116">
        <v>6.49</v>
      </c>
      <c r="Z116">
        <v>1.37</v>
      </c>
      <c r="AA116">
        <v>81.13</v>
      </c>
    </row>
    <row r="117" spans="1:27" x14ac:dyDescent="0.3">
      <c r="A117" t="s">
        <v>287</v>
      </c>
      <c r="B117" t="s">
        <v>68</v>
      </c>
      <c r="C117" t="s">
        <v>38</v>
      </c>
      <c r="D117" t="s">
        <v>288</v>
      </c>
      <c r="E117" t="s">
        <v>75</v>
      </c>
      <c r="F117" t="s">
        <v>32</v>
      </c>
      <c r="G117">
        <v>61</v>
      </c>
      <c r="H117">
        <v>4</v>
      </c>
      <c r="I117">
        <v>0</v>
      </c>
      <c r="J117">
        <v>53.15</v>
      </c>
      <c r="K117">
        <v>6.2</v>
      </c>
      <c r="L117">
        <v>11.13</v>
      </c>
      <c r="M117" s="1">
        <v>45194</v>
      </c>
      <c r="N117" t="s">
        <v>43</v>
      </c>
      <c r="P117">
        <v>35</v>
      </c>
      <c r="Q117">
        <v>0</v>
      </c>
      <c r="R117">
        <v>1</v>
      </c>
      <c r="S117" t="s">
        <v>61</v>
      </c>
      <c r="T117">
        <v>19</v>
      </c>
      <c r="U117">
        <v>184</v>
      </c>
      <c r="V117">
        <v>81</v>
      </c>
      <c r="W117" t="s">
        <v>44</v>
      </c>
      <c r="X117">
        <v>57.2</v>
      </c>
      <c r="Y117">
        <v>9.5500000000000007</v>
      </c>
      <c r="Z117">
        <v>0.78</v>
      </c>
      <c r="AA117">
        <v>97.62</v>
      </c>
    </row>
    <row r="118" spans="1:27" x14ac:dyDescent="0.3">
      <c r="A118" t="s">
        <v>289</v>
      </c>
      <c r="B118" t="s">
        <v>37</v>
      </c>
      <c r="C118" t="s">
        <v>65</v>
      </c>
      <c r="D118" t="s">
        <v>290</v>
      </c>
      <c r="E118" t="s">
        <v>94</v>
      </c>
      <c r="F118" t="s">
        <v>32</v>
      </c>
      <c r="G118">
        <v>70</v>
      </c>
      <c r="H118">
        <v>2</v>
      </c>
      <c r="I118">
        <v>0</v>
      </c>
      <c r="J118">
        <v>53.07</v>
      </c>
      <c r="K118">
        <v>6.1</v>
      </c>
      <c r="L118">
        <v>7.99</v>
      </c>
      <c r="N118" t="s">
        <v>43</v>
      </c>
      <c r="Q118">
        <v>0</v>
      </c>
      <c r="R118">
        <v>4</v>
      </c>
      <c r="S118" t="s">
        <v>43</v>
      </c>
      <c r="T118">
        <v>29</v>
      </c>
      <c r="U118">
        <v>169</v>
      </c>
      <c r="V118">
        <v>61</v>
      </c>
      <c r="W118" t="s">
        <v>48</v>
      </c>
      <c r="X118">
        <v>55.4</v>
      </c>
      <c r="Y118">
        <v>8.01</v>
      </c>
      <c r="Z118">
        <v>1.45</v>
      </c>
      <c r="AA118">
        <v>87.53</v>
      </c>
    </row>
    <row r="119" spans="1:27" x14ac:dyDescent="0.3">
      <c r="A119" t="s">
        <v>291</v>
      </c>
      <c r="B119" t="s">
        <v>68</v>
      </c>
      <c r="C119" t="s">
        <v>38</v>
      </c>
      <c r="D119" t="s">
        <v>292</v>
      </c>
      <c r="E119" t="s">
        <v>75</v>
      </c>
      <c r="F119" t="s">
        <v>32</v>
      </c>
      <c r="G119">
        <v>82</v>
      </c>
      <c r="H119">
        <v>0</v>
      </c>
      <c r="I119">
        <v>6</v>
      </c>
      <c r="J119">
        <v>92.93</v>
      </c>
      <c r="K119">
        <v>19.3</v>
      </c>
      <c r="L119">
        <v>14.35</v>
      </c>
      <c r="N119" t="s">
        <v>33</v>
      </c>
      <c r="P119">
        <v>81</v>
      </c>
      <c r="Q119">
        <v>0</v>
      </c>
      <c r="R119">
        <v>4</v>
      </c>
      <c r="S119" t="s">
        <v>61</v>
      </c>
      <c r="T119">
        <v>19</v>
      </c>
      <c r="U119">
        <v>180</v>
      </c>
      <c r="V119">
        <v>69</v>
      </c>
      <c r="W119" t="s">
        <v>35</v>
      </c>
      <c r="X119">
        <v>48.8</v>
      </c>
      <c r="Y119">
        <v>7.8</v>
      </c>
      <c r="Z119">
        <v>1.08</v>
      </c>
      <c r="AA119">
        <v>86.15</v>
      </c>
    </row>
    <row r="120" spans="1:27" x14ac:dyDescent="0.3">
      <c r="A120" t="s">
        <v>293</v>
      </c>
      <c r="B120" t="s">
        <v>64</v>
      </c>
      <c r="C120" t="s">
        <v>29</v>
      </c>
      <c r="D120" t="s">
        <v>294</v>
      </c>
      <c r="E120" t="s">
        <v>94</v>
      </c>
      <c r="F120" t="s">
        <v>32</v>
      </c>
      <c r="G120">
        <v>71</v>
      </c>
      <c r="H120">
        <v>1</v>
      </c>
      <c r="I120">
        <v>5</v>
      </c>
      <c r="J120">
        <v>84.82</v>
      </c>
      <c r="K120">
        <v>17</v>
      </c>
      <c r="L120">
        <v>14.47</v>
      </c>
      <c r="N120" t="s">
        <v>33</v>
      </c>
      <c r="O120" s="1">
        <v>44931</v>
      </c>
      <c r="Q120">
        <v>1</v>
      </c>
      <c r="R120">
        <v>4</v>
      </c>
      <c r="S120" t="s">
        <v>61</v>
      </c>
      <c r="T120">
        <v>23</v>
      </c>
      <c r="U120">
        <v>195</v>
      </c>
      <c r="V120">
        <v>93</v>
      </c>
      <c r="W120" t="s">
        <v>70</v>
      </c>
      <c r="X120">
        <v>68</v>
      </c>
      <c r="Y120">
        <v>8.34</v>
      </c>
      <c r="Z120">
        <v>0.94</v>
      </c>
      <c r="AA120">
        <v>78.069999999999993</v>
      </c>
    </row>
    <row r="121" spans="1:27" x14ac:dyDescent="0.3">
      <c r="A121" t="s">
        <v>295</v>
      </c>
      <c r="B121" t="s">
        <v>64</v>
      </c>
      <c r="C121" t="s">
        <v>38</v>
      </c>
      <c r="D121" t="s">
        <v>296</v>
      </c>
      <c r="E121" t="s">
        <v>75</v>
      </c>
      <c r="F121" t="s">
        <v>41</v>
      </c>
      <c r="G121">
        <v>23</v>
      </c>
      <c r="H121">
        <v>0</v>
      </c>
      <c r="I121">
        <v>6</v>
      </c>
      <c r="J121">
        <v>92.72</v>
      </c>
      <c r="K121">
        <v>19.3</v>
      </c>
      <c r="L121">
        <v>11.25</v>
      </c>
      <c r="M121" s="1">
        <v>45034</v>
      </c>
      <c r="N121" t="s">
        <v>43</v>
      </c>
      <c r="O121" s="1">
        <v>44986</v>
      </c>
      <c r="Q121">
        <v>0</v>
      </c>
      <c r="R121">
        <v>1</v>
      </c>
      <c r="S121" t="s">
        <v>43</v>
      </c>
      <c r="T121">
        <v>34</v>
      </c>
      <c r="U121">
        <v>171</v>
      </c>
      <c r="V121">
        <v>75</v>
      </c>
      <c r="W121" t="s">
        <v>48</v>
      </c>
      <c r="X121">
        <v>51.9</v>
      </c>
      <c r="Y121">
        <v>8.5</v>
      </c>
      <c r="Z121">
        <v>1.08</v>
      </c>
      <c r="AA121">
        <v>81.05</v>
      </c>
    </row>
    <row r="122" spans="1:27" x14ac:dyDescent="0.3">
      <c r="A122" t="s">
        <v>297</v>
      </c>
      <c r="B122" t="s">
        <v>64</v>
      </c>
      <c r="C122" t="s">
        <v>38</v>
      </c>
      <c r="D122" t="s">
        <v>298</v>
      </c>
      <c r="E122" t="s">
        <v>40</v>
      </c>
      <c r="F122" t="s">
        <v>41</v>
      </c>
      <c r="G122">
        <v>42</v>
      </c>
      <c r="H122">
        <v>0</v>
      </c>
      <c r="I122">
        <v>2</v>
      </c>
      <c r="J122">
        <v>67.28</v>
      </c>
      <c r="K122">
        <v>10.6</v>
      </c>
      <c r="L122">
        <v>12.83</v>
      </c>
      <c r="N122" t="s">
        <v>42</v>
      </c>
      <c r="Q122">
        <v>0</v>
      </c>
      <c r="R122">
        <v>4</v>
      </c>
      <c r="S122" t="s">
        <v>61</v>
      </c>
      <c r="T122">
        <v>20</v>
      </c>
      <c r="U122">
        <v>186</v>
      </c>
      <c r="V122">
        <v>98</v>
      </c>
      <c r="W122" t="s">
        <v>44</v>
      </c>
      <c r="X122">
        <v>42.6</v>
      </c>
      <c r="Y122">
        <v>6.29</v>
      </c>
      <c r="Z122">
        <v>1.02</v>
      </c>
      <c r="AA122">
        <v>96.86</v>
      </c>
    </row>
    <row r="123" spans="1:27" x14ac:dyDescent="0.3">
      <c r="A123" t="s">
        <v>299</v>
      </c>
      <c r="B123" t="s">
        <v>64</v>
      </c>
      <c r="C123" t="s">
        <v>38</v>
      </c>
      <c r="D123" t="s">
        <v>300</v>
      </c>
      <c r="E123" t="s">
        <v>40</v>
      </c>
      <c r="F123" t="s">
        <v>41</v>
      </c>
      <c r="G123">
        <v>34</v>
      </c>
      <c r="H123">
        <v>2</v>
      </c>
      <c r="I123">
        <v>6</v>
      </c>
      <c r="J123">
        <v>91.97</v>
      </c>
      <c r="K123">
        <v>19.3</v>
      </c>
      <c r="L123">
        <v>11.12</v>
      </c>
      <c r="N123" t="s">
        <v>42</v>
      </c>
      <c r="Q123">
        <v>0</v>
      </c>
      <c r="R123">
        <v>4</v>
      </c>
      <c r="S123" t="s">
        <v>61</v>
      </c>
      <c r="T123">
        <v>19</v>
      </c>
      <c r="U123">
        <v>199</v>
      </c>
      <c r="V123">
        <v>81</v>
      </c>
      <c r="W123" t="s">
        <v>53</v>
      </c>
      <c r="X123">
        <v>58.5</v>
      </c>
      <c r="Y123">
        <v>8.73</v>
      </c>
      <c r="Z123">
        <v>1.26</v>
      </c>
      <c r="AA123">
        <v>89.99</v>
      </c>
    </row>
    <row r="124" spans="1:27" x14ac:dyDescent="0.3">
      <c r="A124" t="s">
        <v>301</v>
      </c>
      <c r="B124" t="s">
        <v>37</v>
      </c>
      <c r="C124" t="s">
        <v>38</v>
      </c>
      <c r="D124" t="s">
        <v>302</v>
      </c>
      <c r="E124" t="s">
        <v>75</v>
      </c>
      <c r="F124" t="s">
        <v>32</v>
      </c>
      <c r="G124">
        <v>62</v>
      </c>
      <c r="H124">
        <v>4</v>
      </c>
      <c r="I124">
        <v>4</v>
      </c>
      <c r="J124">
        <v>78.489999999999995</v>
      </c>
      <c r="K124">
        <v>14.7</v>
      </c>
      <c r="L124">
        <v>9.84</v>
      </c>
      <c r="N124" t="s">
        <v>42</v>
      </c>
      <c r="Q124">
        <v>1</v>
      </c>
      <c r="R124">
        <v>2</v>
      </c>
      <c r="S124" t="s">
        <v>34</v>
      </c>
      <c r="T124">
        <v>37</v>
      </c>
      <c r="U124">
        <v>161</v>
      </c>
      <c r="V124">
        <v>71</v>
      </c>
      <c r="W124" t="s">
        <v>62</v>
      </c>
      <c r="X124">
        <v>43.4</v>
      </c>
      <c r="Y124">
        <v>6.97</v>
      </c>
      <c r="Z124">
        <v>0.78</v>
      </c>
      <c r="AA124">
        <v>93.62</v>
      </c>
    </row>
    <row r="125" spans="1:27" x14ac:dyDescent="0.3">
      <c r="A125" t="s">
        <v>303</v>
      </c>
      <c r="B125" t="s">
        <v>28</v>
      </c>
      <c r="C125" t="s">
        <v>38</v>
      </c>
      <c r="D125" t="s">
        <v>304</v>
      </c>
      <c r="E125" t="s">
        <v>31</v>
      </c>
      <c r="F125" t="s">
        <v>32</v>
      </c>
      <c r="G125">
        <v>48</v>
      </c>
      <c r="H125">
        <v>0</v>
      </c>
      <c r="I125">
        <v>6</v>
      </c>
      <c r="J125">
        <v>91.92</v>
      </c>
      <c r="K125">
        <v>19.3</v>
      </c>
      <c r="L125">
        <v>11.61</v>
      </c>
      <c r="N125" t="s">
        <v>42</v>
      </c>
      <c r="P125">
        <v>57</v>
      </c>
      <c r="Q125">
        <v>0</v>
      </c>
      <c r="R125">
        <v>0</v>
      </c>
      <c r="S125" t="s">
        <v>34</v>
      </c>
      <c r="T125">
        <v>25</v>
      </c>
      <c r="U125">
        <v>172</v>
      </c>
      <c r="V125">
        <v>83</v>
      </c>
      <c r="W125" t="s">
        <v>35</v>
      </c>
      <c r="X125">
        <v>50.4</v>
      </c>
      <c r="Y125">
        <v>8.86</v>
      </c>
      <c r="Z125">
        <v>0.85</v>
      </c>
      <c r="AA125">
        <v>83.63</v>
      </c>
    </row>
    <row r="126" spans="1:27" x14ac:dyDescent="0.3">
      <c r="A126" t="s">
        <v>305</v>
      </c>
      <c r="B126" t="s">
        <v>64</v>
      </c>
      <c r="C126" t="s">
        <v>38</v>
      </c>
      <c r="D126" t="s">
        <v>306</v>
      </c>
      <c r="E126" t="s">
        <v>80</v>
      </c>
      <c r="F126" t="s">
        <v>41</v>
      </c>
      <c r="G126">
        <v>55</v>
      </c>
      <c r="H126">
        <v>1</v>
      </c>
      <c r="I126">
        <v>0</v>
      </c>
      <c r="J126">
        <v>53.02</v>
      </c>
      <c r="K126">
        <v>6.1</v>
      </c>
      <c r="L126">
        <v>10.53</v>
      </c>
      <c r="N126" t="s">
        <v>47</v>
      </c>
      <c r="O126" s="1">
        <v>45051</v>
      </c>
      <c r="Q126">
        <v>0</v>
      </c>
      <c r="R126">
        <v>0</v>
      </c>
      <c r="S126" t="s">
        <v>61</v>
      </c>
      <c r="T126">
        <v>39</v>
      </c>
      <c r="U126">
        <v>191</v>
      </c>
      <c r="V126">
        <v>99</v>
      </c>
      <c r="W126" t="s">
        <v>35</v>
      </c>
      <c r="X126">
        <v>55.2</v>
      </c>
      <c r="Y126">
        <v>9.2899999999999991</v>
      </c>
      <c r="Z126">
        <v>1.39</v>
      </c>
      <c r="AA126">
        <v>88.91</v>
      </c>
    </row>
    <row r="127" spans="1:27" x14ac:dyDescent="0.3">
      <c r="A127" t="s">
        <v>307</v>
      </c>
      <c r="B127" t="s">
        <v>64</v>
      </c>
      <c r="C127" t="s">
        <v>38</v>
      </c>
      <c r="D127" t="s">
        <v>308</v>
      </c>
      <c r="E127" t="s">
        <v>80</v>
      </c>
      <c r="F127" t="s">
        <v>32</v>
      </c>
      <c r="G127">
        <v>32</v>
      </c>
      <c r="H127">
        <v>3</v>
      </c>
      <c r="I127">
        <v>4</v>
      </c>
      <c r="J127">
        <v>78.34</v>
      </c>
      <c r="K127">
        <v>14.6</v>
      </c>
      <c r="L127">
        <v>10.97</v>
      </c>
      <c r="N127" t="s">
        <v>33</v>
      </c>
      <c r="P127">
        <v>75</v>
      </c>
      <c r="Q127">
        <v>1</v>
      </c>
      <c r="R127">
        <v>2</v>
      </c>
      <c r="S127" t="s">
        <v>61</v>
      </c>
      <c r="T127">
        <v>29</v>
      </c>
      <c r="U127">
        <v>190</v>
      </c>
      <c r="V127">
        <v>97</v>
      </c>
      <c r="W127" t="s">
        <v>44</v>
      </c>
      <c r="X127">
        <v>66.2</v>
      </c>
      <c r="Y127">
        <v>9.2200000000000006</v>
      </c>
      <c r="Z127">
        <v>1.45</v>
      </c>
      <c r="AA127">
        <v>77.45</v>
      </c>
    </row>
    <row r="128" spans="1:27" x14ac:dyDescent="0.3">
      <c r="A128" t="s">
        <v>309</v>
      </c>
      <c r="B128" t="s">
        <v>68</v>
      </c>
      <c r="C128" t="s">
        <v>38</v>
      </c>
      <c r="D128" t="s">
        <v>310</v>
      </c>
      <c r="E128" t="s">
        <v>51</v>
      </c>
      <c r="F128" t="s">
        <v>32</v>
      </c>
      <c r="G128">
        <v>51</v>
      </c>
      <c r="H128">
        <v>0</v>
      </c>
      <c r="I128">
        <v>0</v>
      </c>
      <c r="J128">
        <v>52.92</v>
      </c>
      <c r="K128">
        <v>6.1</v>
      </c>
      <c r="L128">
        <v>12.84</v>
      </c>
      <c r="N128" t="s">
        <v>42</v>
      </c>
      <c r="P128">
        <v>79</v>
      </c>
      <c r="Q128">
        <v>0</v>
      </c>
      <c r="R128">
        <v>2</v>
      </c>
      <c r="S128" t="s">
        <v>43</v>
      </c>
      <c r="T128">
        <v>21</v>
      </c>
      <c r="U128">
        <v>175</v>
      </c>
      <c r="V128">
        <v>69</v>
      </c>
      <c r="W128" t="s">
        <v>53</v>
      </c>
      <c r="X128">
        <v>54.8</v>
      </c>
      <c r="Y128">
        <v>8.2100000000000009</v>
      </c>
      <c r="Z128">
        <v>1.39</v>
      </c>
      <c r="AA128">
        <v>91.16</v>
      </c>
    </row>
    <row r="129" spans="1:27" x14ac:dyDescent="0.3">
      <c r="A129" t="s">
        <v>311</v>
      </c>
      <c r="B129" t="s">
        <v>28</v>
      </c>
      <c r="C129" t="s">
        <v>29</v>
      </c>
      <c r="D129" t="s">
        <v>312</v>
      </c>
      <c r="E129" t="s">
        <v>80</v>
      </c>
      <c r="F129" t="s">
        <v>32</v>
      </c>
      <c r="G129">
        <v>90</v>
      </c>
      <c r="H129">
        <v>0</v>
      </c>
      <c r="I129">
        <v>1</v>
      </c>
      <c r="J129">
        <v>58.51</v>
      </c>
      <c r="K129">
        <v>7.7</v>
      </c>
      <c r="L129">
        <v>9.81</v>
      </c>
      <c r="N129" t="s">
        <v>47</v>
      </c>
      <c r="Q129">
        <v>0</v>
      </c>
      <c r="R129">
        <v>2</v>
      </c>
      <c r="S129" t="s">
        <v>43</v>
      </c>
      <c r="T129">
        <v>22</v>
      </c>
      <c r="U129">
        <v>191</v>
      </c>
      <c r="V129">
        <v>94</v>
      </c>
      <c r="W129" t="s">
        <v>44</v>
      </c>
      <c r="X129">
        <v>61.1</v>
      </c>
      <c r="Y129">
        <v>8.08</v>
      </c>
      <c r="Z129">
        <v>0.92</v>
      </c>
      <c r="AA129">
        <v>82.83</v>
      </c>
    </row>
    <row r="130" spans="1:27" x14ac:dyDescent="0.3">
      <c r="A130" t="s">
        <v>313</v>
      </c>
      <c r="B130" t="s">
        <v>68</v>
      </c>
      <c r="C130" t="s">
        <v>38</v>
      </c>
      <c r="D130" t="s">
        <v>314</v>
      </c>
      <c r="E130" t="s">
        <v>51</v>
      </c>
      <c r="F130" t="s">
        <v>41</v>
      </c>
      <c r="G130">
        <v>78</v>
      </c>
      <c r="H130">
        <v>2</v>
      </c>
      <c r="I130">
        <v>3</v>
      </c>
      <c r="J130">
        <v>71.819999999999993</v>
      </c>
      <c r="K130">
        <v>12.8</v>
      </c>
      <c r="L130">
        <v>5.41</v>
      </c>
      <c r="N130" t="s">
        <v>43</v>
      </c>
      <c r="O130" s="1">
        <v>45133</v>
      </c>
      <c r="P130">
        <v>37</v>
      </c>
      <c r="Q130">
        <v>0</v>
      </c>
      <c r="R130">
        <v>0</v>
      </c>
      <c r="S130" t="s">
        <v>61</v>
      </c>
      <c r="T130">
        <v>30</v>
      </c>
      <c r="U130">
        <v>191</v>
      </c>
      <c r="V130">
        <v>91</v>
      </c>
      <c r="W130" t="s">
        <v>62</v>
      </c>
      <c r="X130">
        <v>69.8</v>
      </c>
      <c r="Y130">
        <v>6.57</v>
      </c>
      <c r="Z130">
        <v>1.28</v>
      </c>
      <c r="AA130">
        <v>83.28</v>
      </c>
    </row>
    <row r="131" spans="1:27" x14ac:dyDescent="0.3">
      <c r="A131" t="s">
        <v>315</v>
      </c>
      <c r="B131" t="s">
        <v>64</v>
      </c>
      <c r="C131" t="s">
        <v>65</v>
      </c>
      <c r="D131" t="s">
        <v>316</v>
      </c>
      <c r="E131" t="s">
        <v>40</v>
      </c>
      <c r="F131" t="s">
        <v>32</v>
      </c>
      <c r="G131">
        <v>47</v>
      </c>
      <c r="H131">
        <v>4</v>
      </c>
      <c r="I131">
        <v>0</v>
      </c>
      <c r="J131">
        <v>52.77</v>
      </c>
      <c r="K131">
        <v>6.1</v>
      </c>
      <c r="L131">
        <v>6.64</v>
      </c>
      <c r="M131" s="1">
        <v>45121</v>
      </c>
      <c r="N131" t="s">
        <v>33</v>
      </c>
      <c r="P131">
        <v>35</v>
      </c>
      <c r="Q131">
        <v>0</v>
      </c>
      <c r="R131">
        <v>4</v>
      </c>
      <c r="S131" t="s">
        <v>43</v>
      </c>
      <c r="T131">
        <v>32</v>
      </c>
      <c r="U131">
        <v>193</v>
      </c>
      <c r="V131">
        <v>66</v>
      </c>
      <c r="W131" t="s">
        <v>70</v>
      </c>
      <c r="X131">
        <v>43.9</v>
      </c>
      <c r="Y131">
        <v>9.1</v>
      </c>
      <c r="Z131">
        <v>0.98</v>
      </c>
      <c r="AA131">
        <v>89.48</v>
      </c>
    </row>
    <row r="132" spans="1:27" x14ac:dyDescent="0.3">
      <c r="A132" t="s">
        <v>317</v>
      </c>
      <c r="B132" t="s">
        <v>28</v>
      </c>
      <c r="C132" t="s">
        <v>38</v>
      </c>
      <c r="D132" t="s">
        <v>318</v>
      </c>
      <c r="E132" t="s">
        <v>80</v>
      </c>
      <c r="F132" t="s">
        <v>41</v>
      </c>
      <c r="G132">
        <v>85</v>
      </c>
      <c r="H132">
        <v>3</v>
      </c>
      <c r="I132">
        <v>4</v>
      </c>
      <c r="J132">
        <v>78.05</v>
      </c>
      <c r="K132">
        <v>14.6</v>
      </c>
      <c r="L132">
        <v>9.39</v>
      </c>
      <c r="N132" t="s">
        <v>33</v>
      </c>
      <c r="Q132">
        <v>0</v>
      </c>
      <c r="R132">
        <v>2</v>
      </c>
      <c r="S132" t="s">
        <v>52</v>
      </c>
      <c r="T132">
        <v>33</v>
      </c>
      <c r="U132">
        <v>170</v>
      </c>
      <c r="V132">
        <v>80</v>
      </c>
      <c r="W132" t="s">
        <v>48</v>
      </c>
      <c r="X132">
        <v>48.2</v>
      </c>
      <c r="Y132">
        <v>7.09</v>
      </c>
      <c r="Z132">
        <v>1</v>
      </c>
      <c r="AA132">
        <v>98.09</v>
      </c>
    </row>
    <row r="133" spans="1:27" x14ac:dyDescent="0.3">
      <c r="A133" t="s">
        <v>319</v>
      </c>
      <c r="B133" t="s">
        <v>68</v>
      </c>
      <c r="C133" t="s">
        <v>29</v>
      </c>
      <c r="D133" t="s">
        <v>320</v>
      </c>
      <c r="E133" t="s">
        <v>56</v>
      </c>
      <c r="F133" t="s">
        <v>32</v>
      </c>
      <c r="G133">
        <v>61</v>
      </c>
      <c r="H133">
        <v>1</v>
      </c>
      <c r="I133">
        <v>1</v>
      </c>
      <c r="J133">
        <v>58.35</v>
      </c>
      <c r="K133">
        <v>7.6</v>
      </c>
      <c r="L133">
        <v>12.25</v>
      </c>
      <c r="M133" s="1">
        <v>44975</v>
      </c>
      <c r="N133" t="s">
        <v>47</v>
      </c>
      <c r="P133">
        <v>34</v>
      </c>
      <c r="Q133">
        <v>0</v>
      </c>
      <c r="R133">
        <v>1</v>
      </c>
      <c r="S133" t="s">
        <v>61</v>
      </c>
      <c r="T133">
        <v>27</v>
      </c>
      <c r="U133">
        <v>169</v>
      </c>
      <c r="V133">
        <v>79</v>
      </c>
      <c r="W133" t="s">
        <v>44</v>
      </c>
      <c r="X133">
        <v>51.8</v>
      </c>
      <c r="Y133">
        <v>7.99</v>
      </c>
      <c r="Z133">
        <v>0.7</v>
      </c>
      <c r="AA133">
        <v>71.92</v>
      </c>
    </row>
    <row r="134" spans="1:27" x14ac:dyDescent="0.3">
      <c r="A134" t="s">
        <v>321</v>
      </c>
      <c r="B134" t="s">
        <v>28</v>
      </c>
      <c r="C134" t="s">
        <v>65</v>
      </c>
      <c r="D134" t="s">
        <v>322</v>
      </c>
      <c r="E134" t="s">
        <v>80</v>
      </c>
      <c r="F134" t="s">
        <v>41</v>
      </c>
      <c r="G134">
        <v>64</v>
      </c>
      <c r="H134">
        <v>3</v>
      </c>
      <c r="I134">
        <v>0</v>
      </c>
      <c r="J134">
        <v>52.47</v>
      </c>
      <c r="K134">
        <v>6</v>
      </c>
      <c r="L134">
        <v>10.93</v>
      </c>
      <c r="N134" t="s">
        <v>47</v>
      </c>
      <c r="O134" s="1">
        <v>45074</v>
      </c>
      <c r="P134">
        <v>21</v>
      </c>
      <c r="Q134">
        <v>1</v>
      </c>
      <c r="R134">
        <v>2</v>
      </c>
      <c r="S134" t="s">
        <v>43</v>
      </c>
      <c r="T134">
        <v>33</v>
      </c>
      <c r="U134">
        <v>174</v>
      </c>
      <c r="V134">
        <v>85</v>
      </c>
      <c r="W134" t="s">
        <v>48</v>
      </c>
      <c r="X134">
        <v>52.7</v>
      </c>
      <c r="Y134">
        <v>7.14</v>
      </c>
      <c r="Z134">
        <v>1.0900000000000001</v>
      </c>
      <c r="AA134">
        <v>94.74</v>
      </c>
    </row>
    <row r="135" spans="1:27" x14ac:dyDescent="0.3">
      <c r="A135" t="s">
        <v>323</v>
      </c>
      <c r="B135" t="s">
        <v>64</v>
      </c>
      <c r="C135" t="s">
        <v>65</v>
      </c>
      <c r="D135" t="s">
        <v>324</v>
      </c>
      <c r="E135" t="s">
        <v>94</v>
      </c>
      <c r="F135" t="s">
        <v>41</v>
      </c>
      <c r="G135">
        <v>81</v>
      </c>
      <c r="H135">
        <v>1</v>
      </c>
      <c r="I135">
        <v>2</v>
      </c>
      <c r="J135">
        <v>66.95</v>
      </c>
      <c r="K135">
        <v>10.6</v>
      </c>
      <c r="L135">
        <v>11.5</v>
      </c>
      <c r="N135" t="s">
        <v>42</v>
      </c>
      <c r="Q135">
        <v>1</v>
      </c>
      <c r="R135">
        <v>3</v>
      </c>
      <c r="S135" t="s">
        <v>43</v>
      </c>
      <c r="T135">
        <v>29</v>
      </c>
      <c r="U135">
        <v>176</v>
      </c>
      <c r="V135">
        <v>63</v>
      </c>
      <c r="W135" t="s">
        <v>35</v>
      </c>
      <c r="X135">
        <v>52.3</v>
      </c>
      <c r="Y135">
        <v>6.54</v>
      </c>
      <c r="Z135">
        <v>0.69</v>
      </c>
      <c r="AA135">
        <v>78.77</v>
      </c>
    </row>
    <row r="136" spans="1:27" x14ac:dyDescent="0.3">
      <c r="A136" t="s">
        <v>325</v>
      </c>
      <c r="B136" t="s">
        <v>37</v>
      </c>
      <c r="C136" t="s">
        <v>38</v>
      </c>
      <c r="D136" t="s">
        <v>326</v>
      </c>
      <c r="E136" t="s">
        <v>94</v>
      </c>
      <c r="F136" t="s">
        <v>41</v>
      </c>
      <c r="G136">
        <v>76</v>
      </c>
      <c r="H136">
        <v>4</v>
      </c>
      <c r="I136">
        <v>6</v>
      </c>
      <c r="J136">
        <v>91.85</v>
      </c>
      <c r="K136">
        <v>19.2</v>
      </c>
      <c r="L136">
        <v>9.7899999999999991</v>
      </c>
      <c r="N136" t="s">
        <v>42</v>
      </c>
      <c r="Q136">
        <v>0</v>
      </c>
      <c r="R136">
        <v>2</v>
      </c>
      <c r="S136" t="s">
        <v>34</v>
      </c>
      <c r="T136">
        <v>34</v>
      </c>
      <c r="U136">
        <v>199</v>
      </c>
      <c r="V136">
        <v>81</v>
      </c>
      <c r="W136" t="s">
        <v>70</v>
      </c>
      <c r="X136">
        <v>67.2</v>
      </c>
      <c r="Y136">
        <v>8.52</v>
      </c>
      <c r="Z136">
        <v>0.83</v>
      </c>
      <c r="AA136">
        <v>83.32</v>
      </c>
    </row>
    <row r="137" spans="1:27" x14ac:dyDescent="0.3">
      <c r="A137" t="s">
        <v>327</v>
      </c>
      <c r="B137" t="s">
        <v>28</v>
      </c>
      <c r="C137" t="s">
        <v>65</v>
      </c>
      <c r="D137" t="s">
        <v>328</v>
      </c>
      <c r="E137" t="s">
        <v>75</v>
      </c>
      <c r="F137" t="s">
        <v>32</v>
      </c>
      <c r="G137">
        <v>25</v>
      </c>
      <c r="H137">
        <v>1</v>
      </c>
      <c r="I137">
        <v>3</v>
      </c>
      <c r="J137">
        <v>71.77</v>
      </c>
      <c r="K137">
        <v>12.8</v>
      </c>
      <c r="L137">
        <v>11.16</v>
      </c>
      <c r="N137" t="s">
        <v>47</v>
      </c>
      <c r="P137">
        <v>14</v>
      </c>
      <c r="Q137">
        <v>0</v>
      </c>
      <c r="R137">
        <v>0</v>
      </c>
      <c r="S137" t="s">
        <v>61</v>
      </c>
      <c r="T137">
        <v>33</v>
      </c>
      <c r="U137">
        <v>177</v>
      </c>
      <c r="V137">
        <v>74</v>
      </c>
      <c r="W137" t="s">
        <v>62</v>
      </c>
      <c r="X137">
        <v>61.4</v>
      </c>
      <c r="Y137">
        <v>6.22</v>
      </c>
      <c r="Z137">
        <v>1.36</v>
      </c>
      <c r="AA137">
        <v>70.66</v>
      </c>
    </row>
    <row r="138" spans="1:27" x14ac:dyDescent="0.3">
      <c r="A138" t="s">
        <v>329</v>
      </c>
      <c r="B138" t="s">
        <v>28</v>
      </c>
      <c r="C138" t="s">
        <v>29</v>
      </c>
      <c r="D138" t="s">
        <v>330</v>
      </c>
      <c r="E138" t="s">
        <v>75</v>
      </c>
      <c r="F138" t="s">
        <v>32</v>
      </c>
      <c r="G138">
        <v>47</v>
      </c>
      <c r="H138">
        <v>2</v>
      </c>
      <c r="I138">
        <v>0</v>
      </c>
      <c r="J138">
        <v>52.37</v>
      </c>
      <c r="K138">
        <v>5.9</v>
      </c>
      <c r="L138">
        <v>8.2899999999999991</v>
      </c>
      <c r="N138" t="s">
        <v>47</v>
      </c>
      <c r="O138" s="1">
        <v>45186</v>
      </c>
      <c r="Q138">
        <v>0</v>
      </c>
      <c r="R138">
        <v>2</v>
      </c>
      <c r="S138" t="s">
        <v>52</v>
      </c>
      <c r="T138">
        <v>29</v>
      </c>
      <c r="U138">
        <v>168</v>
      </c>
      <c r="V138">
        <v>99</v>
      </c>
      <c r="W138" t="s">
        <v>35</v>
      </c>
      <c r="X138">
        <v>58.2</v>
      </c>
      <c r="Y138">
        <v>8.99</v>
      </c>
      <c r="Z138">
        <v>0.71</v>
      </c>
      <c r="AA138">
        <v>79.03</v>
      </c>
    </row>
    <row r="139" spans="1:27" x14ac:dyDescent="0.3">
      <c r="A139" t="s">
        <v>331</v>
      </c>
      <c r="B139" t="s">
        <v>37</v>
      </c>
      <c r="C139" t="s">
        <v>29</v>
      </c>
      <c r="D139" t="s">
        <v>332</v>
      </c>
      <c r="E139" t="s">
        <v>56</v>
      </c>
      <c r="F139" t="s">
        <v>41</v>
      </c>
      <c r="G139">
        <v>47</v>
      </c>
      <c r="H139">
        <v>2</v>
      </c>
      <c r="I139">
        <v>1</v>
      </c>
      <c r="J139">
        <v>58.3</v>
      </c>
      <c r="K139">
        <v>7.6</v>
      </c>
      <c r="L139">
        <v>9.6999999999999993</v>
      </c>
      <c r="N139" t="s">
        <v>33</v>
      </c>
      <c r="Q139">
        <v>1</v>
      </c>
      <c r="R139">
        <v>3</v>
      </c>
      <c r="S139" t="s">
        <v>52</v>
      </c>
      <c r="T139">
        <v>25</v>
      </c>
      <c r="U139">
        <v>184</v>
      </c>
      <c r="V139">
        <v>80</v>
      </c>
      <c r="W139" t="s">
        <v>53</v>
      </c>
      <c r="X139">
        <v>49.3</v>
      </c>
      <c r="Y139">
        <v>7.27</v>
      </c>
      <c r="Z139">
        <v>0.56999999999999995</v>
      </c>
      <c r="AA139">
        <v>85.08</v>
      </c>
    </row>
    <row r="140" spans="1:27" x14ac:dyDescent="0.3">
      <c r="A140" t="s">
        <v>333</v>
      </c>
      <c r="B140" t="s">
        <v>37</v>
      </c>
      <c r="C140" t="s">
        <v>38</v>
      </c>
      <c r="D140" t="s">
        <v>334</v>
      </c>
      <c r="E140" t="s">
        <v>75</v>
      </c>
      <c r="F140" t="s">
        <v>41</v>
      </c>
      <c r="G140">
        <v>63</v>
      </c>
      <c r="H140">
        <v>2</v>
      </c>
      <c r="I140">
        <v>2</v>
      </c>
      <c r="J140">
        <v>66.41</v>
      </c>
      <c r="K140">
        <v>10.6</v>
      </c>
      <c r="L140">
        <v>12.44</v>
      </c>
      <c r="N140" t="s">
        <v>47</v>
      </c>
      <c r="Q140">
        <v>1</v>
      </c>
      <c r="R140">
        <v>1</v>
      </c>
      <c r="S140" t="s">
        <v>52</v>
      </c>
      <c r="T140">
        <v>37</v>
      </c>
      <c r="U140">
        <v>199</v>
      </c>
      <c r="V140">
        <v>74</v>
      </c>
      <c r="W140" t="s">
        <v>44</v>
      </c>
      <c r="X140">
        <v>64.7</v>
      </c>
      <c r="Y140">
        <v>6</v>
      </c>
      <c r="Z140">
        <v>0.56999999999999995</v>
      </c>
      <c r="AA140">
        <v>71.69</v>
      </c>
    </row>
    <row r="141" spans="1:27" x14ac:dyDescent="0.3">
      <c r="A141" t="s">
        <v>335</v>
      </c>
      <c r="B141" t="s">
        <v>68</v>
      </c>
      <c r="C141" t="s">
        <v>29</v>
      </c>
      <c r="D141" t="s">
        <v>336</v>
      </c>
      <c r="E141" t="s">
        <v>51</v>
      </c>
      <c r="F141" t="s">
        <v>41</v>
      </c>
      <c r="G141">
        <v>49</v>
      </c>
      <c r="H141">
        <v>2</v>
      </c>
      <c r="I141">
        <v>5</v>
      </c>
      <c r="J141">
        <v>84.69</v>
      </c>
      <c r="K141">
        <v>16.899999999999999</v>
      </c>
      <c r="L141">
        <v>13.72</v>
      </c>
      <c r="N141" t="s">
        <v>47</v>
      </c>
      <c r="P141">
        <v>57</v>
      </c>
      <c r="Q141">
        <v>0</v>
      </c>
      <c r="R141">
        <v>4</v>
      </c>
      <c r="S141" t="s">
        <v>43</v>
      </c>
      <c r="T141">
        <v>20</v>
      </c>
      <c r="U141">
        <v>173</v>
      </c>
      <c r="V141">
        <v>81</v>
      </c>
      <c r="W141" t="s">
        <v>35</v>
      </c>
      <c r="X141">
        <v>68.7</v>
      </c>
      <c r="Y141">
        <v>8.0399999999999991</v>
      </c>
      <c r="Z141">
        <v>1.44</v>
      </c>
      <c r="AA141">
        <v>84.73</v>
      </c>
    </row>
    <row r="142" spans="1:27" x14ac:dyDescent="0.3">
      <c r="A142" t="s">
        <v>337</v>
      </c>
      <c r="B142" t="s">
        <v>64</v>
      </c>
      <c r="C142" t="s">
        <v>82</v>
      </c>
      <c r="D142" t="s">
        <v>338</v>
      </c>
      <c r="E142" t="s">
        <v>51</v>
      </c>
      <c r="F142" t="s">
        <v>32</v>
      </c>
      <c r="G142">
        <v>81</v>
      </c>
      <c r="H142">
        <v>1</v>
      </c>
      <c r="I142">
        <v>1</v>
      </c>
      <c r="J142">
        <v>58.19</v>
      </c>
      <c r="K142">
        <v>7.5</v>
      </c>
      <c r="L142">
        <v>9.34</v>
      </c>
      <c r="M142" s="1">
        <v>45145</v>
      </c>
      <c r="N142" t="s">
        <v>42</v>
      </c>
      <c r="P142">
        <v>46</v>
      </c>
      <c r="Q142">
        <v>1</v>
      </c>
      <c r="R142">
        <v>2</v>
      </c>
      <c r="S142" t="s">
        <v>34</v>
      </c>
      <c r="T142">
        <v>33</v>
      </c>
      <c r="U142">
        <v>184</v>
      </c>
      <c r="V142">
        <v>87</v>
      </c>
      <c r="W142" t="s">
        <v>48</v>
      </c>
      <c r="X142">
        <v>64.599999999999994</v>
      </c>
      <c r="Y142">
        <v>6.19</v>
      </c>
      <c r="Z142">
        <v>1.01</v>
      </c>
      <c r="AA142">
        <v>97.81</v>
      </c>
    </row>
    <row r="143" spans="1:27" x14ac:dyDescent="0.3">
      <c r="A143" t="s">
        <v>339</v>
      </c>
      <c r="B143" t="s">
        <v>68</v>
      </c>
      <c r="C143" t="s">
        <v>38</v>
      </c>
      <c r="D143" t="s">
        <v>340</v>
      </c>
      <c r="E143" t="s">
        <v>80</v>
      </c>
      <c r="F143" t="s">
        <v>41</v>
      </c>
      <c r="G143">
        <v>94</v>
      </c>
      <c r="H143">
        <v>4</v>
      </c>
      <c r="I143">
        <v>6</v>
      </c>
      <c r="J143">
        <v>91.2</v>
      </c>
      <c r="K143">
        <v>19.2</v>
      </c>
      <c r="L143">
        <v>5.44</v>
      </c>
      <c r="M143" s="1">
        <v>45095</v>
      </c>
      <c r="N143" t="s">
        <v>33</v>
      </c>
      <c r="O143" s="1">
        <v>45237</v>
      </c>
      <c r="Q143">
        <v>0</v>
      </c>
      <c r="R143">
        <v>3</v>
      </c>
      <c r="S143" t="s">
        <v>61</v>
      </c>
      <c r="T143">
        <v>30</v>
      </c>
      <c r="U143">
        <v>181</v>
      </c>
      <c r="V143">
        <v>73</v>
      </c>
      <c r="W143" t="s">
        <v>70</v>
      </c>
      <c r="X143">
        <v>40</v>
      </c>
      <c r="Y143">
        <v>7.1</v>
      </c>
      <c r="Z143">
        <v>0.91</v>
      </c>
      <c r="AA143">
        <v>73.16</v>
      </c>
    </row>
    <row r="144" spans="1:27" x14ac:dyDescent="0.3">
      <c r="A144" t="s">
        <v>341</v>
      </c>
      <c r="B144" t="s">
        <v>64</v>
      </c>
      <c r="C144" t="s">
        <v>65</v>
      </c>
      <c r="D144" t="s">
        <v>342</v>
      </c>
      <c r="E144" t="s">
        <v>31</v>
      </c>
      <c r="F144" t="s">
        <v>41</v>
      </c>
      <c r="G144">
        <v>81</v>
      </c>
      <c r="H144">
        <v>1</v>
      </c>
      <c r="I144">
        <v>1</v>
      </c>
      <c r="J144">
        <v>58.08</v>
      </c>
      <c r="K144">
        <v>7.4</v>
      </c>
      <c r="L144">
        <v>6.62</v>
      </c>
      <c r="M144" s="1">
        <v>45047</v>
      </c>
      <c r="N144" t="s">
        <v>47</v>
      </c>
      <c r="O144" s="1">
        <v>44973</v>
      </c>
      <c r="Q144">
        <v>0</v>
      </c>
      <c r="R144">
        <v>3</v>
      </c>
      <c r="S144" t="s">
        <v>43</v>
      </c>
      <c r="T144">
        <v>36</v>
      </c>
      <c r="U144">
        <v>189</v>
      </c>
      <c r="V144">
        <v>86</v>
      </c>
      <c r="W144" t="s">
        <v>35</v>
      </c>
      <c r="X144">
        <v>59.1</v>
      </c>
      <c r="Y144">
        <v>8.83</v>
      </c>
      <c r="Z144">
        <v>1.31</v>
      </c>
      <c r="AA144">
        <v>92.93</v>
      </c>
    </row>
    <row r="145" spans="1:27" x14ac:dyDescent="0.3">
      <c r="A145" t="s">
        <v>343</v>
      </c>
      <c r="B145" t="s">
        <v>68</v>
      </c>
      <c r="C145" t="s">
        <v>38</v>
      </c>
      <c r="D145" t="s">
        <v>344</v>
      </c>
      <c r="E145" t="s">
        <v>31</v>
      </c>
      <c r="F145" t="s">
        <v>32</v>
      </c>
      <c r="G145">
        <v>20</v>
      </c>
      <c r="H145">
        <v>1</v>
      </c>
      <c r="I145">
        <v>2</v>
      </c>
      <c r="J145">
        <v>66.34</v>
      </c>
      <c r="K145">
        <v>10.6</v>
      </c>
      <c r="L145">
        <v>5.21</v>
      </c>
      <c r="N145" t="s">
        <v>42</v>
      </c>
      <c r="Q145">
        <v>0</v>
      </c>
      <c r="R145">
        <v>1</v>
      </c>
      <c r="S145" t="s">
        <v>61</v>
      </c>
      <c r="T145">
        <v>25</v>
      </c>
      <c r="U145">
        <v>179</v>
      </c>
      <c r="V145">
        <v>99</v>
      </c>
      <c r="W145" t="s">
        <v>53</v>
      </c>
      <c r="X145">
        <v>41.5</v>
      </c>
      <c r="Y145">
        <v>6.25</v>
      </c>
      <c r="Z145">
        <v>1.34</v>
      </c>
      <c r="AA145">
        <v>82.29</v>
      </c>
    </row>
    <row r="146" spans="1:27" x14ac:dyDescent="0.3">
      <c r="A146" t="s">
        <v>345</v>
      </c>
      <c r="B146" t="s">
        <v>37</v>
      </c>
      <c r="C146" t="s">
        <v>65</v>
      </c>
      <c r="D146" t="s">
        <v>346</v>
      </c>
      <c r="E146" t="s">
        <v>40</v>
      </c>
      <c r="F146" t="s">
        <v>32</v>
      </c>
      <c r="G146">
        <v>46</v>
      </c>
      <c r="H146">
        <v>2</v>
      </c>
      <c r="I146">
        <v>1</v>
      </c>
      <c r="J146">
        <v>57.82</v>
      </c>
      <c r="K146">
        <v>7.4</v>
      </c>
      <c r="L146">
        <v>11.53</v>
      </c>
      <c r="N146" t="s">
        <v>42</v>
      </c>
      <c r="O146" s="1">
        <v>45164</v>
      </c>
      <c r="P146">
        <v>88</v>
      </c>
      <c r="Q146">
        <v>0</v>
      </c>
      <c r="R146">
        <v>0</v>
      </c>
      <c r="S146" t="s">
        <v>43</v>
      </c>
      <c r="T146">
        <v>39</v>
      </c>
      <c r="U146">
        <v>180</v>
      </c>
      <c r="V146">
        <v>87</v>
      </c>
      <c r="W146" t="s">
        <v>53</v>
      </c>
      <c r="X146">
        <v>47.7</v>
      </c>
      <c r="Y146">
        <v>9.36</v>
      </c>
      <c r="Z146">
        <v>0.83</v>
      </c>
      <c r="AA146">
        <v>89.66</v>
      </c>
    </row>
    <row r="147" spans="1:27" x14ac:dyDescent="0.3">
      <c r="A147" t="s">
        <v>347</v>
      </c>
      <c r="B147" t="s">
        <v>64</v>
      </c>
      <c r="C147" t="s">
        <v>29</v>
      </c>
      <c r="D147" t="s">
        <v>348</v>
      </c>
      <c r="E147" t="s">
        <v>51</v>
      </c>
      <c r="F147" t="s">
        <v>32</v>
      </c>
      <c r="G147">
        <v>81</v>
      </c>
      <c r="H147">
        <v>2</v>
      </c>
      <c r="I147">
        <v>2</v>
      </c>
      <c r="J147">
        <v>66.319999999999993</v>
      </c>
      <c r="K147">
        <v>10.6</v>
      </c>
      <c r="L147">
        <v>8.32</v>
      </c>
      <c r="N147" t="s">
        <v>42</v>
      </c>
      <c r="Q147">
        <v>0</v>
      </c>
      <c r="R147">
        <v>2</v>
      </c>
      <c r="S147" t="s">
        <v>52</v>
      </c>
      <c r="T147">
        <v>22</v>
      </c>
      <c r="U147">
        <v>191</v>
      </c>
      <c r="V147">
        <v>85</v>
      </c>
      <c r="W147" t="s">
        <v>35</v>
      </c>
      <c r="X147">
        <v>41.8</v>
      </c>
      <c r="Y147">
        <v>6.02</v>
      </c>
      <c r="Z147">
        <v>1.19</v>
      </c>
      <c r="AA147">
        <v>77.81</v>
      </c>
    </row>
    <row r="148" spans="1:27" x14ac:dyDescent="0.3">
      <c r="A148" t="s">
        <v>349</v>
      </c>
      <c r="B148" t="s">
        <v>28</v>
      </c>
      <c r="C148" t="s">
        <v>38</v>
      </c>
      <c r="D148" t="s">
        <v>350</v>
      </c>
      <c r="E148" t="s">
        <v>94</v>
      </c>
      <c r="F148" t="s">
        <v>32</v>
      </c>
      <c r="G148">
        <v>22</v>
      </c>
      <c r="H148">
        <v>0</v>
      </c>
      <c r="I148">
        <v>0</v>
      </c>
      <c r="J148">
        <v>52.32</v>
      </c>
      <c r="K148">
        <v>5.8</v>
      </c>
      <c r="L148">
        <v>10.42</v>
      </c>
      <c r="M148" s="1">
        <v>45205</v>
      </c>
      <c r="N148" t="s">
        <v>47</v>
      </c>
      <c r="Q148">
        <v>0</v>
      </c>
      <c r="R148">
        <v>3</v>
      </c>
      <c r="S148" t="s">
        <v>34</v>
      </c>
      <c r="T148">
        <v>37</v>
      </c>
      <c r="U148">
        <v>180</v>
      </c>
      <c r="V148">
        <v>61</v>
      </c>
      <c r="W148" t="s">
        <v>53</v>
      </c>
      <c r="X148">
        <v>58.1</v>
      </c>
      <c r="Y148">
        <v>6.99</v>
      </c>
      <c r="Z148">
        <v>1.27</v>
      </c>
      <c r="AA148">
        <v>74.78</v>
      </c>
    </row>
    <row r="149" spans="1:27" x14ac:dyDescent="0.3">
      <c r="A149" t="s">
        <v>351</v>
      </c>
      <c r="B149" t="s">
        <v>68</v>
      </c>
      <c r="C149" t="s">
        <v>38</v>
      </c>
      <c r="D149" t="s">
        <v>352</v>
      </c>
      <c r="E149" t="s">
        <v>51</v>
      </c>
      <c r="F149" t="s">
        <v>32</v>
      </c>
      <c r="G149">
        <v>89</v>
      </c>
      <c r="H149">
        <v>4</v>
      </c>
      <c r="I149">
        <v>2</v>
      </c>
      <c r="J149">
        <v>65.92</v>
      </c>
      <c r="K149">
        <v>10.6</v>
      </c>
      <c r="L149">
        <v>9.93</v>
      </c>
      <c r="N149" t="s">
        <v>42</v>
      </c>
      <c r="Q149">
        <v>0</v>
      </c>
      <c r="R149">
        <v>1</v>
      </c>
      <c r="S149" t="s">
        <v>43</v>
      </c>
      <c r="T149">
        <v>25</v>
      </c>
      <c r="U149">
        <v>194</v>
      </c>
      <c r="V149">
        <v>84</v>
      </c>
      <c r="W149" t="s">
        <v>62</v>
      </c>
      <c r="X149">
        <v>60.6</v>
      </c>
      <c r="Y149">
        <v>8.9600000000000009</v>
      </c>
      <c r="Z149">
        <v>1.1499999999999999</v>
      </c>
      <c r="AA149">
        <v>74.81</v>
      </c>
    </row>
    <row r="150" spans="1:27" x14ac:dyDescent="0.3">
      <c r="A150" t="s">
        <v>353</v>
      </c>
      <c r="B150" t="s">
        <v>64</v>
      </c>
      <c r="C150" t="s">
        <v>38</v>
      </c>
      <c r="D150" t="s">
        <v>354</v>
      </c>
      <c r="E150" t="s">
        <v>56</v>
      </c>
      <c r="F150" t="s">
        <v>41</v>
      </c>
      <c r="G150">
        <v>91</v>
      </c>
      <c r="H150">
        <v>3</v>
      </c>
      <c r="I150">
        <v>2</v>
      </c>
      <c r="J150">
        <v>65.819999999999993</v>
      </c>
      <c r="K150">
        <v>10.6</v>
      </c>
      <c r="L150">
        <v>5.82</v>
      </c>
      <c r="M150" s="1">
        <v>45078</v>
      </c>
      <c r="N150" t="s">
        <v>47</v>
      </c>
      <c r="Q150">
        <v>1</v>
      </c>
      <c r="R150">
        <v>4</v>
      </c>
      <c r="S150" t="s">
        <v>61</v>
      </c>
      <c r="T150">
        <v>29</v>
      </c>
      <c r="U150">
        <v>191</v>
      </c>
      <c r="V150">
        <v>62</v>
      </c>
      <c r="W150" t="s">
        <v>35</v>
      </c>
      <c r="X150">
        <v>43.4</v>
      </c>
      <c r="Y150">
        <v>7.27</v>
      </c>
      <c r="Z150">
        <v>0.65</v>
      </c>
      <c r="AA150">
        <v>72.11</v>
      </c>
    </row>
    <row r="151" spans="1:27" x14ac:dyDescent="0.3">
      <c r="A151" t="s">
        <v>355</v>
      </c>
      <c r="B151" t="s">
        <v>64</v>
      </c>
      <c r="C151" t="s">
        <v>38</v>
      </c>
      <c r="D151" t="s">
        <v>356</v>
      </c>
      <c r="E151" t="s">
        <v>40</v>
      </c>
      <c r="F151" t="s">
        <v>41</v>
      </c>
      <c r="G151">
        <v>46</v>
      </c>
      <c r="H151">
        <v>1</v>
      </c>
      <c r="I151">
        <v>3</v>
      </c>
      <c r="J151">
        <v>71.650000000000006</v>
      </c>
      <c r="K151">
        <v>12.7</v>
      </c>
      <c r="L151">
        <v>9.0299999999999994</v>
      </c>
      <c r="N151" t="s">
        <v>47</v>
      </c>
      <c r="Q151">
        <v>0</v>
      </c>
      <c r="R151">
        <v>3</v>
      </c>
      <c r="S151" t="s">
        <v>34</v>
      </c>
      <c r="T151">
        <v>18</v>
      </c>
      <c r="U151">
        <v>189</v>
      </c>
      <c r="V151">
        <v>67</v>
      </c>
      <c r="W151" t="s">
        <v>70</v>
      </c>
      <c r="X151">
        <v>51.5</v>
      </c>
      <c r="Y151">
        <v>6.41</v>
      </c>
      <c r="Z151">
        <v>1.38</v>
      </c>
      <c r="AA151">
        <v>75.569999999999993</v>
      </c>
    </row>
    <row r="152" spans="1:27" x14ac:dyDescent="0.3">
      <c r="A152" t="s">
        <v>357</v>
      </c>
      <c r="B152" t="s">
        <v>64</v>
      </c>
      <c r="C152" t="s">
        <v>29</v>
      </c>
      <c r="D152" t="s">
        <v>358</v>
      </c>
      <c r="E152" t="s">
        <v>31</v>
      </c>
      <c r="F152" t="s">
        <v>41</v>
      </c>
      <c r="G152">
        <v>28</v>
      </c>
      <c r="H152">
        <v>0</v>
      </c>
      <c r="I152">
        <v>2</v>
      </c>
      <c r="J152">
        <v>65.53</v>
      </c>
      <c r="K152">
        <v>10.6</v>
      </c>
      <c r="L152">
        <v>7.21</v>
      </c>
      <c r="N152" t="s">
        <v>33</v>
      </c>
      <c r="O152" s="1">
        <v>45034</v>
      </c>
      <c r="P152">
        <v>53</v>
      </c>
      <c r="Q152">
        <v>0</v>
      </c>
      <c r="R152">
        <v>1</v>
      </c>
      <c r="S152" t="s">
        <v>43</v>
      </c>
      <c r="T152">
        <v>38</v>
      </c>
      <c r="U152">
        <v>198</v>
      </c>
      <c r="V152">
        <v>92</v>
      </c>
      <c r="W152" t="s">
        <v>53</v>
      </c>
      <c r="X152">
        <v>53.7</v>
      </c>
      <c r="Y152">
        <v>7.44</v>
      </c>
      <c r="Z152">
        <v>1.04</v>
      </c>
      <c r="AA152">
        <v>89.93</v>
      </c>
    </row>
    <row r="153" spans="1:27" x14ac:dyDescent="0.3">
      <c r="A153" t="s">
        <v>359</v>
      </c>
      <c r="B153" t="s">
        <v>37</v>
      </c>
      <c r="C153" t="s">
        <v>38</v>
      </c>
      <c r="D153" t="s">
        <v>360</v>
      </c>
      <c r="E153" t="s">
        <v>94</v>
      </c>
      <c r="F153" t="s">
        <v>41</v>
      </c>
      <c r="G153">
        <v>81</v>
      </c>
      <c r="H153">
        <v>0</v>
      </c>
      <c r="I153">
        <v>2</v>
      </c>
      <c r="J153">
        <v>65.5</v>
      </c>
      <c r="K153">
        <v>10.4</v>
      </c>
      <c r="L153">
        <v>9.18</v>
      </c>
      <c r="M153" s="1">
        <v>45192</v>
      </c>
      <c r="N153" t="s">
        <v>47</v>
      </c>
      <c r="Q153">
        <v>0</v>
      </c>
      <c r="R153">
        <v>0</v>
      </c>
      <c r="S153" t="s">
        <v>52</v>
      </c>
      <c r="T153">
        <v>37</v>
      </c>
      <c r="U153">
        <v>171</v>
      </c>
      <c r="V153">
        <v>94</v>
      </c>
      <c r="W153" t="s">
        <v>48</v>
      </c>
      <c r="X153">
        <v>51.1</v>
      </c>
      <c r="Y153">
        <v>7.08</v>
      </c>
      <c r="Z153">
        <v>0.78</v>
      </c>
      <c r="AA153">
        <v>96.45</v>
      </c>
    </row>
    <row r="154" spans="1:27" x14ac:dyDescent="0.3">
      <c r="A154" t="s">
        <v>361</v>
      </c>
      <c r="B154" t="s">
        <v>28</v>
      </c>
      <c r="C154" t="s">
        <v>38</v>
      </c>
      <c r="D154" t="s">
        <v>362</v>
      </c>
      <c r="E154" t="s">
        <v>40</v>
      </c>
      <c r="F154" t="s">
        <v>32</v>
      </c>
      <c r="G154">
        <v>56</v>
      </c>
      <c r="H154">
        <v>1</v>
      </c>
      <c r="I154">
        <v>5</v>
      </c>
      <c r="J154">
        <v>84.69</v>
      </c>
      <c r="K154">
        <v>16.899999999999999</v>
      </c>
      <c r="L154">
        <v>7.04</v>
      </c>
      <c r="N154" t="s">
        <v>43</v>
      </c>
      <c r="O154" s="1">
        <v>45206</v>
      </c>
      <c r="Q154">
        <v>0</v>
      </c>
      <c r="R154">
        <v>0</v>
      </c>
      <c r="S154" t="s">
        <v>61</v>
      </c>
      <c r="T154">
        <v>23</v>
      </c>
      <c r="U154">
        <v>177</v>
      </c>
      <c r="V154">
        <v>65</v>
      </c>
      <c r="W154" t="s">
        <v>44</v>
      </c>
      <c r="X154">
        <v>43.6</v>
      </c>
      <c r="Y154">
        <v>9.3699999999999992</v>
      </c>
      <c r="Z154">
        <v>0.93</v>
      </c>
      <c r="AA154">
        <v>94.42</v>
      </c>
    </row>
    <row r="155" spans="1:27" x14ac:dyDescent="0.3">
      <c r="A155" t="s">
        <v>363</v>
      </c>
      <c r="B155" t="s">
        <v>37</v>
      </c>
      <c r="C155" t="s">
        <v>82</v>
      </c>
      <c r="D155" t="s">
        <v>364</v>
      </c>
      <c r="E155" t="s">
        <v>40</v>
      </c>
      <c r="F155" t="s">
        <v>41</v>
      </c>
      <c r="G155">
        <v>70</v>
      </c>
      <c r="H155">
        <v>0</v>
      </c>
      <c r="I155">
        <v>0</v>
      </c>
      <c r="J155">
        <v>52.2</v>
      </c>
      <c r="K155">
        <v>5.8</v>
      </c>
      <c r="L155">
        <v>13.4</v>
      </c>
      <c r="N155" t="s">
        <v>43</v>
      </c>
      <c r="P155">
        <v>24</v>
      </c>
      <c r="Q155">
        <v>0</v>
      </c>
      <c r="R155">
        <v>3</v>
      </c>
      <c r="S155" t="s">
        <v>61</v>
      </c>
      <c r="T155">
        <v>39</v>
      </c>
      <c r="U155">
        <v>180</v>
      </c>
      <c r="V155">
        <v>98</v>
      </c>
      <c r="W155" t="s">
        <v>53</v>
      </c>
      <c r="X155">
        <v>52.6</v>
      </c>
      <c r="Y155">
        <v>7.25</v>
      </c>
      <c r="Z155">
        <v>0.54</v>
      </c>
      <c r="AA155">
        <v>90.55</v>
      </c>
    </row>
    <row r="156" spans="1:27" x14ac:dyDescent="0.3">
      <c r="A156" t="s">
        <v>365</v>
      </c>
      <c r="B156" t="s">
        <v>64</v>
      </c>
      <c r="C156" t="s">
        <v>38</v>
      </c>
      <c r="D156" t="s">
        <v>366</v>
      </c>
      <c r="E156" t="s">
        <v>51</v>
      </c>
      <c r="F156" t="s">
        <v>41</v>
      </c>
      <c r="G156">
        <v>63</v>
      </c>
      <c r="H156">
        <v>0</v>
      </c>
      <c r="I156">
        <v>6</v>
      </c>
      <c r="J156">
        <v>90.97</v>
      </c>
      <c r="K156">
        <v>19.100000000000001</v>
      </c>
      <c r="L156">
        <v>6.74</v>
      </c>
      <c r="N156" t="s">
        <v>33</v>
      </c>
      <c r="O156" s="1">
        <v>45059</v>
      </c>
      <c r="Q156">
        <v>0</v>
      </c>
      <c r="R156">
        <v>3</v>
      </c>
      <c r="S156" t="s">
        <v>43</v>
      </c>
      <c r="T156">
        <v>35</v>
      </c>
      <c r="U156">
        <v>172</v>
      </c>
      <c r="V156">
        <v>82</v>
      </c>
      <c r="W156" t="s">
        <v>48</v>
      </c>
      <c r="X156">
        <v>62.5</v>
      </c>
      <c r="Y156">
        <v>9.16</v>
      </c>
      <c r="Z156">
        <v>0.63</v>
      </c>
      <c r="AA156">
        <v>73.31</v>
      </c>
    </row>
    <row r="157" spans="1:27" x14ac:dyDescent="0.3">
      <c r="A157" t="s">
        <v>367</v>
      </c>
      <c r="B157" t="s">
        <v>64</v>
      </c>
      <c r="C157" t="s">
        <v>65</v>
      </c>
      <c r="D157" t="s">
        <v>368</v>
      </c>
      <c r="E157" t="s">
        <v>31</v>
      </c>
      <c r="F157" t="s">
        <v>41</v>
      </c>
      <c r="G157">
        <v>43</v>
      </c>
      <c r="H157">
        <v>0</v>
      </c>
      <c r="I157">
        <v>3</v>
      </c>
      <c r="J157">
        <v>71.59</v>
      </c>
      <c r="K157">
        <v>12.7</v>
      </c>
      <c r="L157">
        <v>14.61</v>
      </c>
      <c r="N157" t="s">
        <v>47</v>
      </c>
      <c r="P157">
        <v>52</v>
      </c>
      <c r="Q157">
        <v>0</v>
      </c>
      <c r="R157">
        <v>2</v>
      </c>
      <c r="S157" t="s">
        <v>52</v>
      </c>
      <c r="T157">
        <v>25</v>
      </c>
      <c r="U157">
        <v>180</v>
      </c>
      <c r="V157">
        <v>84</v>
      </c>
      <c r="W157" t="s">
        <v>44</v>
      </c>
      <c r="X157">
        <v>42.1</v>
      </c>
      <c r="Y157">
        <v>9.57</v>
      </c>
      <c r="Z157">
        <v>1.27</v>
      </c>
      <c r="AA157">
        <v>78.680000000000007</v>
      </c>
    </row>
    <row r="158" spans="1:27" x14ac:dyDescent="0.3">
      <c r="A158" t="s">
        <v>369</v>
      </c>
      <c r="B158" t="s">
        <v>37</v>
      </c>
      <c r="C158" t="s">
        <v>38</v>
      </c>
      <c r="D158" t="s">
        <v>370</v>
      </c>
      <c r="E158" t="s">
        <v>40</v>
      </c>
      <c r="F158" t="s">
        <v>32</v>
      </c>
      <c r="G158">
        <v>78</v>
      </c>
      <c r="H158">
        <v>4</v>
      </c>
      <c r="I158">
        <v>5</v>
      </c>
      <c r="J158">
        <v>84.69</v>
      </c>
      <c r="K158">
        <v>16.899999999999999</v>
      </c>
      <c r="L158">
        <v>9.16</v>
      </c>
      <c r="M158" s="1">
        <v>45277</v>
      </c>
      <c r="N158" t="s">
        <v>42</v>
      </c>
      <c r="P158">
        <v>57</v>
      </c>
      <c r="Q158">
        <v>0</v>
      </c>
      <c r="R158">
        <v>1</v>
      </c>
      <c r="S158" t="s">
        <v>34</v>
      </c>
      <c r="T158">
        <v>24</v>
      </c>
      <c r="U158">
        <v>167</v>
      </c>
      <c r="V158">
        <v>78</v>
      </c>
      <c r="W158" t="s">
        <v>48</v>
      </c>
      <c r="X158">
        <v>42.4</v>
      </c>
      <c r="Y158">
        <v>7.74</v>
      </c>
      <c r="Z158">
        <v>0.5</v>
      </c>
      <c r="AA158">
        <v>79.290000000000006</v>
      </c>
    </row>
    <row r="159" spans="1:27" x14ac:dyDescent="0.3">
      <c r="A159" t="s">
        <v>371</v>
      </c>
      <c r="B159" t="s">
        <v>28</v>
      </c>
      <c r="C159" t="s">
        <v>29</v>
      </c>
      <c r="D159" t="s">
        <v>372</v>
      </c>
      <c r="E159" t="s">
        <v>80</v>
      </c>
      <c r="F159" t="s">
        <v>41</v>
      </c>
      <c r="G159">
        <v>51</v>
      </c>
      <c r="H159">
        <v>3</v>
      </c>
      <c r="I159">
        <v>4</v>
      </c>
      <c r="J159">
        <v>78.03</v>
      </c>
      <c r="K159">
        <v>14.6</v>
      </c>
      <c r="L159">
        <v>13.46</v>
      </c>
      <c r="M159" s="1">
        <v>45094</v>
      </c>
      <c r="N159" t="s">
        <v>33</v>
      </c>
      <c r="Q159">
        <v>0</v>
      </c>
      <c r="R159">
        <v>3</v>
      </c>
      <c r="S159" t="s">
        <v>61</v>
      </c>
      <c r="T159">
        <v>18</v>
      </c>
      <c r="U159">
        <v>199</v>
      </c>
      <c r="V159">
        <v>64</v>
      </c>
      <c r="W159" t="s">
        <v>48</v>
      </c>
      <c r="X159">
        <v>50.6</v>
      </c>
      <c r="Y159">
        <v>9.64</v>
      </c>
      <c r="Z159">
        <v>0.92</v>
      </c>
      <c r="AA159">
        <v>77.5</v>
      </c>
    </row>
    <row r="160" spans="1:27" x14ac:dyDescent="0.3">
      <c r="A160" t="s">
        <v>373</v>
      </c>
      <c r="B160" t="s">
        <v>28</v>
      </c>
      <c r="C160" t="s">
        <v>29</v>
      </c>
      <c r="D160" t="s">
        <v>374</v>
      </c>
      <c r="E160" t="s">
        <v>56</v>
      </c>
      <c r="F160" t="s">
        <v>41</v>
      </c>
      <c r="G160">
        <v>71</v>
      </c>
      <c r="H160">
        <v>0</v>
      </c>
      <c r="I160">
        <v>0</v>
      </c>
      <c r="J160">
        <v>52.11</v>
      </c>
      <c r="K160">
        <v>5.7</v>
      </c>
      <c r="L160">
        <v>11.29</v>
      </c>
      <c r="M160" s="1">
        <v>45164</v>
      </c>
      <c r="N160" t="s">
        <v>33</v>
      </c>
      <c r="Q160">
        <v>0</v>
      </c>
      <c r="R160">
        <v>2</v>
      </c>
      <c r="S160" t="s">
        <v>34</v>
      </c>
      <c r="T160">
        <v>38</v>
      </c>
      <c r="U160">
        <v>166</v>
      </c>
      <c r="V160">
        <v>70</v>
      </c>
      <c r="W160" t="s">
        <v>35</v>
      </c>
      <c r="X160">
        <v>68.3</v>
      </c>
      <c r="Y160">
        <v>7.51</v>
      </c>
      <c r="Z160">
        <v>1.02</v>
      </c>
      <c r="AA160">
        <v>85.45</v>
      </c>
    </row>
    <row r="161" spans="1:27" x14ac:dyDescent="0.3">
      <c r="A161" t="s">
        <v>375</v>
      </c>
      <c r="B161" t="s">
        <v>64</v>
      </c>
      <c r="C161" t="s">
        <v>38</v>
      </c>
      <c r="D161" t="s">
        <v>376</v>
      </c>
      <c r="E161" t="s">
        <v>75</v>
      </c>
      <c r="F161" t="s">
        <v>32</v>
      </c>
      <c r="G161">
        <v>81</v>
      </c>
      <c r="H161">
        <v>3</v>
      </c>
      <c r="I161">
        <v>0</v>
      </c>
      <c r="J161">
        <v>52.03</v>
      </c>
      <c r="K161">
        <v>5.7</v>
      </c>
      <c r="L161">
        <v>12.35</v>
      </c>
      <c r="M161" s="1">
        <v>45220</v>
      </c>
      <c r="N161" t="s">
        <v>47</v>
      </c>
      <c r="Q161">
        <v>0</v>
      </c>
      <c r="R161">
        <v>2</v>
      </c>
      <c r="S161" t="s">
        <v>43</v>
      </c>
      <c r="T161">
        <v>33</v>
      </c>
      <c r="U161">
        <v>182</v>
      </c>
      <c r="V161">
        <v>71</v>
      </c>
      <c r="W161" t="s">
        <v>35</v>
      </c>
      <c r="X161">
        <v>60.1</v>
      </c>
      <c r="Y161">
        <v>9.86</v>
      </c>
      <c r="Z161">
        <v>0.55000000000000004</v>
      </c>
      <c r="AA161">
        <v>86.07</v>
      </c>
    </row>
    <row r="162" spans="1:27" x14ac:dyDescent="0.3">
      <c r="A162" t="s">
        <v>377</v>
      </c>
      <c r="B162" t="s">
        <v>37</v>
      </c>
      <c r="C162" t="s">
        <v>38</v>
      </c>
      <c r="D162" t="s">
        <v>378</v>
      </c>
      <c r="E162" t="s">
        <v>94</v>
      </c>
      <c r="F162" t="s">
        <v>41</v>
      </c>
      <c r="G162">
        <v>77</v>
      </c>
      <c r="H162">
        <v>1</v>
      </c>
      <c r="I162">
        <v>4</v>
      </c>
      <c r="J162">
        <v>77.47</v>
      </c>
      <c r="K162">
        <v>14.5</v>
      </c>
      <c r="L162">
        <v>12.68</v>
      </c>
      <c r="M162" s="1">
        <v>45250</v>
      </c>
      <c r="N162" t="s">
        <v>43</v>
      </c>
      <c r="O162" s="1">
        <v>45147</v>
      </c>
      <c r="Q162">
        <v>0</v>
      </c>
      <c r="R162">
        <v>3</v>
      </c>
      <c r="S162" t="s">
        <v>61</v>
      </c>
      <c r="T162">
        <v>29</v>
      </c>
      <c r="U162">
        <v>191</v>
      </c>
      <c r="V162">
        <v>69</v>
      </c>
      <c r="W162" t="s">
        <v>70</v>
      </c>
      <c r="X162">
        <v>60.4</v>
      </c>
      <c r="Y162">
        <v>6.36</v>
      </c>
      <c r="Z162">
        <v>1.47</v>
      </c>
      <c r="AA162">
        <v>80.709999999999994</v>
      </c>
    </row>
    <row r="163" spans="1:27" x14ac:dyDescent="0.3">
      <c r="A163" t="s">
        <v>379</v>
      </c>
      <c r="B163" t="s">
        <v>64</v>
      </c>
      <c r="C163" t="s">
        <v>38</v>
      </c>
      <c r="D163" t="s">
        <v>380</v>
      </c>
      <c r="E163" t="s">
        <v>80</v>
      </c>
      <c r="F163" t="s">
        <v>32</v>
      </c>
      <c r="G163">
        <v>71</v>
      </c>
      <c r="H163">
        <v>2</v>
      </c>
      <c r="I163">
        <v>6</v>
      </c>
      <c r="J163">
        <v>90.89</v>
      </c>
      <c r="K163">
        <v>19.100000000000001</v>
      </c>
      <c r="L163">
        <v>10.050000000000001</v>
      </c>
      <c r="M163" s="1">
        <v>44951</v>
      </c>
      <c r="N163" t="s">
        <v>47</v>
      </c>
      <c r="O163" s="1">
        <v>44999</v>
      </c>
      <c r="P163">
        <v>79</v>
      </c>
      <c r="Q163">
        <v>0</v>
      </c>
      <c r="R163">
        <v>0</v>
      </c>
      <c r="S163" t="s">
        <v>52</v>
      </c>
      <c r="T163">
        <v>23</v>
      </c>
      <c r="U163">
        <v>170</v>
      </c>
      <c r="V163">
        <v>67</v>
      </c>
      <c r="W163" t="s">
        <v>48</v>
      </c>
      <c r="X163">
        <v>50.9</v>
      </c>
      <c r="Y163">
        <v>8.75</v>
      </c>
      <c r="Z163">
        <v>0.73</v>
      </c>
      <c r="AA163">
        <v>80.61</v>
      </c>
    </row>
    <row r="164" spans="1:27" x14ac:dyDescent="0.3">
      <c r="A164" t="s">
        <v>381</v>
      </c>
      <c r="B164" t="s">
        <v>64</v>
      </c>
      <c r="C164" t="s">
        <v>29</v>
      </c>
      <c r="D164" t="s">
        <v>382</v>
      </c>
      <c r="E164" t="s">
        <v>31</v>
      </c>
      <c r="F164" t="s">
        <v>32</v>
      </c>
      <c r="G164">
        <v>31</v>
      </c>
      <c r="H164">
        <v>0</v>
      </c>
      <c r="I164">
        <v>2</v>
      </c>
      <c r="J164">
        <v>65.14</v>
      </c>
      <c r="K164">
        <v>10.4</v>
      </c>
      <c r="L164">
        <v>10.43</v>
      </c>
      <c r="M164" s="1">
        <v>45133</v>
      </c>
      <c r="N164" t="s">
        <v>47</v>
      </c>
      <c r="Q164">
        <v>1</v>
      </c>
      <c r="R164">
        <v>1</v>
      </c>
      <c r="S164" t="s">
        <v>61</v>
      </c>
      <c r="T164">
        <v>37</v>
      </c>
      <c r="U164">
        <v>181</v>
      </c>
      <c r="V164">
        <v>83</v>
      </c>
      <c r="W164" t="s">
        <v>62</v>
      </c>
      <c r="X164">
        <v>57.8</v>
      </c>
      <c r="Y164">
        <v>7.98</v>
      </c>
      <c r="Z164">
        <v>0.8</v>
      </c>
      <c r="AA164">
        <v>94.86</v>
      </c>
    </row>
    <row r="165" spans="1:27" x14ac:dyDescent="0.3">
      <c r="A165" t="s">
        <v>383</v>
      </c>
      <c r="B165" t="s">
        <v>37</v>
      </c>
      <c r="C165" t="s">
        <v>29</v>
      </c>
      <c r="D165" t="s">
        <v>384</v>
      </c>
      <c r="E165" t="s">
        <v>56</v>
      </c>
      <c r="F165" t="s">
        <v>32</v>
      </c>
      <c r="G165">
        <v>58</v>
      </c>
      <c r="H165">
        <v>4</v>
      </c>
      <c r="I165">
        <v>5</v>
      </c>
      <c r="J165">
        <v>84.16</v>
      </c>
      <c r="K165">
        <v>16.8</v>
      </c>
      <c r="L165">
        <v>10.14</v>
      </c>
      <c r="M165" s="1">
        <v>45284</v>
      </c>
      <c r="N165" t="s">
        <v>33</v>
      </c>
      <c r="O165" s="1">
        <v>45209</v>
      </c>
      <c r="Q165">
        <v>0</v>
      </c>
      <c r="R165">
        <v>1</v>
      </c>
      <c r="S165" t="s">
        <v>52</v>
      </c>
      <c r="T165">
        <v>19</v>
      </c>
      <c r="U165">
        <v>181</v>
      </c>
      <c r="V165">
        <v>87</v>
      </c>
      <c r="W165" t="s">
        <v>35</v>
      </c>
      <c r="X165">
        <v>40.299999999999997</v>
      </c>
      <c r="Y165">
        <v>7.55</v>
      </c>
      <c r="Z165">
        <v>0.8</v>
      </c>
      <c r="AA165">
        <v>93.68</v>
      </c>
    </row>
    <row r="166" spans="1:27" x14ac:dyDescent="0.3">
      <c r="A166" t="s">
        <v>385</v>
      </c>
      <c r="B166" t="s">
        <v>64</v>
      </c>
      <c r="C166" t="s">
        <v>29</v>
      </c>
      <c r="D166" t="s">
        <v>386</v>
      </c>
      <c r="E166" t="s">
        <v>51</v>
      </c>
      <c r="F166" t="s">
        <v>41</v>
      </c>
      <c r="G166">
        <v>21</v>
      </c>
      <c r="H166">
        <v>1</v>
      </c>
      <c r="I166">
        <v>1</v>
      </c>
      <c r="J166">
        <v>57.29</v>
      </c>
      <c r="K166">
        <v>7.3</v>
      </c>
      <c r="L166">
        <v>10.88</v>
      </c>
      <c r="M166" s="1">
        <v>45245</v>
      </c>
      <c r="N166" t="s">
        <v>33</v>
      </c>
      <c r="Q166">
        <v>0</v>
      </c>
      <c r="R166">
        <v>0</v>
      </c>
      <c r="S166" t="s">
        <v>61</v>
      </c>
      <c r="T166">
        <v>31</v>
      </c>
      <c r="U166">
        <v>184</v>
      </c>
      <c r="V166">
        <v>95</v>
      </c>
      <c r="W166" t="s">
        <v>48</v>
      </c>
      <c r="X166">
        <v>59.1</v>
      </c>
      <c r="Y166">
        <v>8.5299999999999994</v>
      </c>
      <c r="Z166">
        <v>0.73</v>
      </c>
      <c r="AA166">
        <v>79.23</v>
      </c>
    </row>
    <row r="167" spans="1:27" x14ac:dyDescent="0.3">
      <c r="A167" t="s">
        <v>387</v>
      </c>
      <c r="B167" t="s">
        <v>68</v>
      </c>
      <c r="C167" t="s">
        <v>38</v>
      </c>
      <c r="D167" t="s">
        <v>388</v>
      </c>
      <c r="E167" t="s">
        <v>31</v>
      </c>
      <c r="F167" t="s">
        <v>41</v>
      </c>
      <c r="G167">
        <v>22</v>
      </c>
      <c r="H167">
        <v>3</v>
      </c>
      <c r="I167">
        <v>3</v>
      </c>
      <c r="J167">
        <v>71.45</v>
      </c>
      <c r="K167">
        <v>12.6</v>
      </c>
      <c r="L167">
        <v>5.29</v>
      </c>
      <c r="N167" t="s">
        <v>47</v>
      </c>
      <c r="Q167">
        <v>0</v>
      </c>
      <c r="R167">
        <v>3</v>
      </c>
      <c r="S167" t="s">
        <v>34</v>
      </c>
      <c r="T167">
        <v>21</v>
      </c>
      <c r="U167">
        <v>181</v>
      </c>
      <c r="V167">
        <v>96</v>
      </c>
      <c r="W167" t="s">
        <v>44</v>
      </c>
      <c r="X167">
        <v>67.400000000000006</v>
      </c>
      <c r="Y167">
        <v>8.82</v>
      </c>
      <c r="Z167">
        <v>0.5</v>
      </c>
      <c r="AA167">
        <v>97.41</v>
      </c>
    </row>
    <row r="168" spans="1:27" x14ac:dyDescent="0.3">
      <c r="A168" t="s">
        <v>389</v>
      </c>
      <c r="B168" t="s">
        <v>68</v>
      </c>
      <c r="C168" t="s">
        <v>29</v>
      </c>
      <c r="D168" t="s">
        <v>390</v>
      </c>
      <c r="E168" t="s">
        <v>75</v>
      </c>
      <c r="F168" t="s">
        <v>32</v>
      </c>
      <c r="G168">
        <v>75</v>
      </c>
      <c r="H168">
        <v>1</v>
      </c>
      <c r="I168">
        <v>1</v>
      </c>
      <c r="J168">
        <v>57.22</v>
      </c>
      <c r="K168">
        <v>7.3</v>
      </c>
      <c r="L168">
        <v>8.9600000000000009</v>
      </c>
      <c r="N168" t="s">
        <v>33</v>
      </c>
      <c r="Q168">
        <v>0</v>
      </c>
      <c r="R168">
        <v>1</v>
      </c>
      <c r="S168" t="s">
        <v>61</v>
      </c>
      <c r="T168">
        <v>18</v>
      </c>
      <c r="U168">
        <v>187</v>
      </c>
      <c r="V168">
        <v>80</v>
      </c>
      <c r="W168" t="s">
        <v>44</v>
      </c>
      <c r="X168">
        <v>58.4</v>
      </c>
      <c r="Y168">
        <v>6.02</v>
      </c>
      <c r="Z168">
        <v>1.23</v>
      </c>
      <c r="AA168">
        <v>98.58</v>
      </c>
    </row>
    <row r="169" spans="1:27" x14ac:dyDescent="0.3">
      <c r="A169" t="s">
        <v>391</v>
      </c>
      <c r="B169" t="s">
        <v>64</v>
      </c>
      <c r="C169" t="s">
        <v>38</v>
      </c>
      <c r="D169" t="s">
        <v>392</v>
      </c>
      <c r="E169" t="s">
        <v>31</v>
      </c>
      <c r="F169" t="s">
        <v>32</v>
      </c>
      <c r="G169">
        <v>78</v>
      </c>
      <c r="H169">
        <v>0</v>
      </c>
      <c r="I169">
        <v>4</v>
      </c>
      <c r="J169">
        <v>77.040000000000006</v>
      </c>
      <c r="K169">
        <v>14.5</v>
      </c>
      <c r="L169">
        <v>11.06</v>
      </c>
      <c r="N169" t="s">
        <v>47</v>
      </c>
      <c r="Q169">
        <v>0</v>
      </c>
      <c r="R169">
        <v>3</v>
      </c>
      <c r="S169" t="s">
        <v>61</v>
      </c>
      <c r="T169">
        <v>35</v>
      </c>
      <c r="U169">
        <v>188</v>
      </c>
      <c r="V169">
        <v>67</v>
      </c>
      <c r="W169" t="s">
        <v>62</v>
      </c>
      <c r="X169">
        <v>66.2</v>
      </c>
      <c r="Y169">
        <v>6.67</v>
      </c>
      <c r="Z169">
        <v>1.47</v>
      </c>
      <c r="AA169">
        <v>79.8</v>
      </c>
    </row>
    <row r="170" spans="1:27" x14ac:dyDescent="0.3">
      <c r="A170" t="s">
        <v>393</v>
      </c>
      <c r="B170" t="s">
        <v>37</v>
      </c>
      <c r="C170" t="s">
        <v>82</v>
      </c>
      <c r="D170" t="s">
        <v>394</v>
      </c>
      <c r="E170" t="s">
        <v>40</v>
      </c>
      <c r="F170" t="s">
        <v>41</v>
      </c>
      <c r="G170">
        <v>21</v>
      </c>
      <c r="H170">
        <v>0</v>
      </c>
      <c r="I170">
        <v>0</v>
      </c>
      <c r="J170">
        <v>52</v>
      </c>
      <c r="K170">
        <v>5.7</v>
      </c>
      <c r="L170">
        <v>10.98</v>
      </c>
      <c r="M170" s="1">
        <v>45096</v>
      </c>
      <c r="N170" t="s">
        <v>42</v>
      </c>
      <c r="Q170">
        <v>1</v>
      </c>
      <c r="R170">
        <v>3</v>
      </c>
      <c r="S170" t="s">
        <v>34</v>
      </c>
      <c r="T170">
        <v>30</v>
      </c>
      <c r="U170">
        <v>172</v>
      </c>
      <c r="V170">
        <v>68</v>
      </c>
      <c r="W170" t="s">
        <v>70</v>
      </c>
      <c r="X170">
        <v>61.7</v>
      </c>
      <c r="Y170">
        <v>8.85</v>
      </c>
      <c r="Z170">
        <v>0.72</v>
      </c>
      <c r="AA170">
        <v>80.63</v>
      </c>
    </row>
    <row r="171" spans="1:27" x14ac:dyDescent="0.3">
      <c r="A171" t="s">
        <v>395</v>
      </c>
      <c r="B171" t="s">
        <v>28</v>
      </c>
      <c r="C171" t="s">
        <v>38</v>
      </c>
      <c r="D171" t="s">
        <v>396</v>
      </c>
      <c r="E171" t="s">
        <v>40</v>
      </c>
      <c r="F171" t="s">
        <v>32</v>
      </c>
      <c r="G171">
        <v>21</v>
      </c>
      <c r="H171">
        <v>2</v>
      </c>
      <c r="I171">
        <v>6</v>
      </c>
      <c r="J171">
        <v>90.79</v>
      </c>
      <c r="K171">
        <v>19</v>
      </c>
      <c r="L171">
        <v>12.93</v>
      </c>
      <c r="N171" t="s">
        <v>43</v>
      </c>
      <c r="P171">
        <v>55</v>
      </c>
      <c r="Q171">
        <v>1</v>
      </c>
      <c r="R171">
        <v>2</v>
      </c>
      <c r="S171" t="s">
        <v>52</v>
      </c>
      <c r="T171">
        <v>19</v>
      </c>
      <c r="U171">
        <v>177</v>
      </c>
      <c r="V171">
        <v>74</v>
      </c>
      <c r="W171" t="s">
        <v>62</v>
      </c>
      <c r="X171">
        <v>43.6</v>
      </c>
      <c r="Y171">
        <v>8.67</v>
      </c>
      <c r="Z171">
        <v>1.1599999999999999</v>
      </c>
      <c r="AA171">
        <v>85.17</v>
      </c>
    </row>
    <row r="172" spans="1:27" x14ac:dyDescent="0.3">
      <c r="A172" t="s">
        <v>397</v>
      </c>
      <c r="B172" t="s">
        <v>28</v>
      </c>
      <c r="C172" t="s">
        <v>29</v>
      </c>
      <c r="D172" t="s">
        <v>398</v>
      </c>
      <c r="E172" t="s">
        <v>51</v>
      </c>
      <c r="F172" t="s">
        <v>41</v>
      </c>
      <c r="G172">
        <v>73</v>
      </c>
      <c r="H172">
        <v>1</v>
      </c>
      <c r="I172">
        <v>0</v>
      </c>
      <c r="J172">
        <v>51.99</v>
      </c>
      <c r="K172">
        <v>5.7</v>
      </c>
      <c r="L172">
        <v>11.55</v>
      </c>
      <c r="N172" t="s">
        <v>47</v>
      </c>
      <c r="Q172">
        <v>1</v>
      </c>
      <c r="R172">
        <v>0</v>
      </c>
      <c r="S172" t="s">
        <v>61</v>
      </c>
      <c r="T172">
        <v>26</v>
      </c>
      <c r="U172">
        <v>161</v>
      </c>
      <c r="V172">
        <v>99</v>
      </c>
      <c r="W172" t="s">
        <v>62</v>
      </c>
      <c r="X172">
        <v>67.099999999999994</v>
      </c>
      <c r="Y172">
        <v>9.86</v>
      </c>
      <c r="Z172">
        <v>1.24</v>
      </c>
      <c r="AA172">
        <v>98.23</v>
      </c>
    </row>
    <row r="173" spans="1:27" x14ac:dyDescent="0.3">
      <c r="A173" t="s">
        <v>399</v>
      </c>
      <c r="B173" t="s">
        <v>37</v>
      </c>
      <c r="C173" t="s">
        <v>38</v>
      </c>
      <c r="D173" t="s">
        <v>400</v>
      </c>
      <c r="E173" t="s">
        <v>40</v>
      </c>
      <c r="F173" t="s">
        <v>32</v>
      </c>
      <c r="G173">
        <v>20</v>
      </c>
      <c r="H173">
        <v>0</v>
      </c>
      <c r="I173">
        <v>3</v>
      </c>
      <c r="J173">
        <v>71.34</v>
      </c>
      <c r="K173">
        <v>12.5</v>
      </c>
      <c r="L173">
        <v>14.92</v>
      </c>
      <c r="N173" t="s">
        <v>33</v>
      </c>
      <c r="O173" s="1">
        <v>45029</v>
      </c>
      <c r="Q173">
        <v>0</v>
      </c>
      <c r="R173">
        <v>3</v>
      </c>
      <c r="S173" t="s">
        <v>34</v>
      </c>
      <c r="T173">
        <v>38</v>
      </c>
      <c r="U173">
        <v>188</v>
      </c>
      <c r="V173">
        <v>77</v>
      </c>
      <c r="W173" t="s">
        <v>35</v>
      </c>
      <c r="X173">
        <v>42</v>
      </c>
      <c r="Y173">
        <v>9.0399999999999991</v>
      </c>
      <c r="Z173">
        <v>1.35</v>
      </c>
      <c r="AA173">
        <v>96.29</v>
      </c>
    </row>
    <row r="174" spans="1:27" x14ac:dyDescent="0.3">
      <c r="A174" t="s">
        <v>401</v>
      </c>
      <c r="B174" t="s">
        <v>28</v>
      </c>
      <c r="C174" t="s">
        <v>29</v>
      </c>
      <c r="D174" t="s">
        <v>402</v>
      </c>
      <c r="E174" t="s">
        <v>31</v>
      </c>
      <c r="F174" t="s">
        <v>32</v>
      </c>
      <c r="G174">
        <v>38</v>
      </c>
      <c r="H174">
        <v>4</v>
      </c>
      <c r="I174">
        <v>0</v>
      </c>
      <c r="J174">
        <v>51.69</v>
      </c>
      <c r="K174">
        <v>5.6</v>
      </c>
      <c r="L174">
        <v>7.84</v>
      </c>
      <c r="N174" t="s">
        <v>43</v>
      </c>
      <c r="O174" s="1">
        <v>45156</v>
      </c>
      <c r="Q174">
        <v>0</v>
      </c>
      <c r="R174">
        <v>4</v>
      </c>
      <c r="S174" t="s">
        <v>61</v>
      </c>
      <c r="T174">
        <v>19</v>
      </c>
      <c r="U174">
        <v>180</v>
      </c>
      <c r="V174">
        <v>79</v>
      </c>
      <c r="W174" t="s">
        <v>35</v>
      </c>
      <c r="X174">
        <v>56</v>
      </c>
      <c r="Y174">
        <v>9.8000000000000007</v>
      </c>
      <c r="Z174">
        <v>0.92</v>
      </c>
      <c r="AA174">
        <v>73.08</v>
      </c>
    </row>
    <row r="175" spans="1:27" x14ac:dyDescent="0.3">
      <c r="A175" t="s">
        <v>403</v>
      </c>
      <c r="B175" t="s">
        <v>37</v>
      </c>
      <c r="C175" t="s">
        <v>38</v>
      </c>
      <c r="D175" t="s">
        <v>404</v>
      </c>
      <c r="E175" t="s">
        <v>80</v>
      </c>
      <c r="F175" t="s">
        <v>32</v>
      </c>
      <c r="G175">
        <v>21</v>
      </c>
      <c r="H175">
        <v>3</v>
      </c>
      <c r="I175">
        <v>0</v>
      </c>
      <c r="J175">
        <v>51.65</v>
      </c>
      <c r="K175">
        <v>5.6</v>
      </c>
      <c r="L175">
        <v>8.59</v>
      </c>
      <c r="M175" s="1">
        <v>44944</v>
      </c>
      <c r="N175" t="s">
        <v>47</v>
      </c>
      <c r="O175" s="1">
        <v>45047</v>
      </c>
      <c r="Q175">
        <v>0</v>
      </c>
      <c r="R175">
        <v>0</v>
      </c>
      <c r="S175" t="s">
        <v>61</v>
      </c>
      <c r="T175">
        <v>26</v>
      </c>
      <c r="U175">
        <v>174</v>
      </c>
      <c r="V175">
        <v>65</v>
      </c>
      <c r="W175" t="s">
        <v>53</v>
      </c>
      <c r="X175">
        <v>44.3</v>
      </c>
      <c r="Y175">
        <v>8.81</v>
      </c>
      <c r="Z175">
        <v>0.8</v>
      </c>
      <c r="AA175">
        <v>81.78</v>
      </c>
    </row>
    <row r="176" spans="1:27" x14ac:dyDescent="0.3">
      <c r="A176" t="s">
        <v>405</v>
      </c>
      <c r="B176" t="s">
        <v>68</v>
      </c>
      <c r="C176" t="s">
        <v>65</v>
      </c>
      <c r="D176" t="s">
        <v>406</v>
      </c>
      <c r="E176" t="s">
        <v>80</v>
      </c>
      <c r="F176" t="s">
        <v>32</v>
      </c>
      <c r="G176">
        <v>72</v>
      </c>
      <c r="H176">
        <v>1</v>
      </c>
      <c r="I176">
        <v>3</v>
      </c>
      <c r="J176">
        <v>71.290000000000006</v>
      </c>
      <c r="K176">
        <v>12.5</v>
      </c>
      <c r="L176">
        <v>8.84</v>
      </c>
      <c r="N176" t="s">
        <v>33</v>
      </c>
      <c r="Q176">
        <v>0</v>
      </c>
      <c r="R176">
        <v>1</v>
      </c>
      <c r="S176" t="s">
        <v>52</v>
      </c>
      <c r="T176">
        <v>18</v>
      </c>
      <c r="U176">
        <v>186</v>
      </c>
      <c r="V176">
        <v>71</v>
      </c>
      <c r="W176" t="s">
        <v>44</v>
      </c>
      <c r="X176">
        <v>40.4</v>
      </c>
      <c r="Y176">
        <v>7.19</v>
      </c>
      <c r="Z176">
        <v>0.83</v>
      </c>
      <c r="AA176">
        <v>86.6</v>
      </c>
    </row>
    <row r="177" spans="1:27" x14ac:dyDescent="0.3">
      <c r="A177" t="s">
        <v>407</v>
      </c>
      <c r="B177" t="s">
        <v>68</v>
      </c>
      <c r="C177" t="s">
        <v>29</v>
      </c>
      <c r="D177" t="s">
        <v>408</v>
      </c>
      <c r="E177" t="s">
        <v>51</v>
      </c>
      <c r="F177" t="s">
        <v>32</v>
      </c>
      <c r="G177">
        <v>63</v>
      </c>
      <c r="H177">
        <v>1</v>
      </c>
      <c r="I177">
        <v>5</v>
      </c>
      <c r="J177">
        <v>84.13</v>
      </c>
      <c r="K177">
        <v>16.7</v>
      </c>
      <c r="L177">
        <v>9.66</v>
      </c>
      <c r="N177" t="s">
        <v>43</v>
      </c>
      <c r="Q177">
        <v>0</v>
      </c>
      <c r="R177">
        <v>2</v>
      </c>
      <c r="S177" t="s">
        <v>34</v>
      </c>
      <c r="T177">
        <v>28</v>
      </c>
      <c r="U177">
        <v>190</v>
      </c>
      <c r="V177">
        <v>61</v>
      </c>
      <c r="W177" t="s">
        <v>53</v>
      </c>
      <c r="X177">
        <v>52.7</v>
      </c>
      <c r="Y177">
        <v>6.42</v>
      </c>
      <c r="Z177">
        <v>1.21</v>
      </c>
      <c r="AA177">
        <v>85.09</v>
      </c>
    </row>
    <row r="178" spans="1:27" x14ac:dyDescent="0.3">
      <c r="A178" t="s">
        <v>409</v>
      </c>
      <c r="B178" t="s">
        <v>28</v>
      </c>
      <c r="C178" t="s">
        <v>29</v>
      </c>
      <c r="D178" t="s">
        <v>410</v>
      </c>
      <c r="E178" t="s">
        <v>31</v>
      </c>
      <c r="F178" t="s">
        <v>41</v>
      </c>
      <c r="G178">
        <v>51</v>
      </c>
      <c r="H178">
        <v>2</v>
      </c>
      <c r="I178">
        <v>5</v>
      </c>
      <c r="J178">
        <v>84.05</v>
      </c>
      <c r="K178">
        <v>16.600000000000001</v>
      </c>
      <c r="L178">
        <v>13.36</v>
      </c>
      <c r="M178" s="1">
        <v>44942</v>
      </c>
      <c r="N178" t="s">
        <v>43</v>
      </c>
      <c r="O178" s="1">
        <v>45054</v>
      </c>
      <c r="Q178">
        <v>0</v>
      </c>
      <c r="R178">
        <v>1</v>
      </c>
      <c r="S178" t="s">
        <v>61</v>
      </c>
      <c r="T178">
        <v>20</v>
      </c>
      <c r="U178">
        <v>174</v>
      </c>
      <c r="V178">
        <v>66</v>
      </c>
      <c r="W178" t="s">
        <v>62</v>
      </c>
      <c r="X178">
        <v>48.9</v>
      </c>
      <c r="Y178">
        <v>9.1300000000000008</v>
      </c>
      <c r="Z178">
        <v>1.32</v>
      </c>
      <c r="AA178">
        <v>75.819999999999993</v>
      </c>
    </row>
    <row r="179" spans="1:27" x14ac:dyDescent="0.3">
      <c r="A179" t="s">
        <v>411</v>
      </c>
      <c r="B179" t="s">
        <v>37</v>
      </c>
      <c r="C179" t="s">
        <v>65</v>
      </c>
      <c r="D179" t="s">
        <v>412</v>
      </c>
      <c r="E179" t="s">
        <v>31</v>
      </c>
      <c r="F179" t="s">
        <v>32</v>
      </c>
      <c r="G179">
        <v>89</v>
      </c>
      <c r="H179">
        <v>2</v>
      </c>
      <c r="I179">
        <v>3</v>
      </c>
      <c r="J179">
        <v>71.2</v>
      </c>
      <c r="K179">
        <v>12.4</v>
      </c>
      <c r="L179">
        <v>7.36</v>
      </c>
      <c r="N179" t="s">
        <v>33</v>
      </c>
      <c r="Q179">
        <v>1</v>
      </c>
      <c r="R179">
        <v>1</v>
      </c>
      <c r="S179" t="s">
        <v>43</v>
      </c>
      <c r="T179">
        <v>37</v>
      </c>
      <c r="U179">
        <v>182</v>
      </c>
      <c r="V179">
        <v>75</v>
      </c>
      <c r="W179" t="s">
        <v>62</v>
      </c>
      <c r="X179">
        <v>54.6</v>
      </c>
      <c r="Y179">
        <v>8.58</v>
      </c>
      <c r="Z179">
        <v>0.68</v>
      </c>
      <c r="AA179">
        <v>95.76</v>
      </c>
    </row>
    <row r="180" spans="1:27" x14ac:dyDescent="0.3">
      <c r="A180" t="s">
        <v>413</v>
      </c>
      <c r="B180" t="s">
        <v>37</v>
      </c>
      <c r="C180" t="s">
        <v>38</v>
      </c>
      <c r="D180" t="s">
        <v>414</v>
      </c>
      <c r="E180" t="s">
        <v>40</v>
      </c>
      <c r="F180" t="s">
        <v>41</v>
      </c>
      <c r="G180">
        <v>51</v>
      </c>
      <c r="H180">
        <v>4</v>
      </c>
      <c r="I180">
        <v>6</v>
      </c>
      <c r="J180">
        <v>90.67</v>
      </c>
      <c r="K180">
        <v>19</v>
      </c>
      <c r="L180">
        <v>12.76</v>
      </c>
      <c r="M180" s="1">
        <v>45149</v>
      </c>
      <c r="N180" t="s">
        <v>47</v>
      </c>
      <c r="O180" s="1">
        <v>45267</v>
      </c>
      <c r="Q180">
        <v>0</v>
      </c>
      <c r="R180">
        <v>0</v>
      </c>
      <c r="S180" t="s">
        <v>61</v>
      </c>
      <c r="T180">
        <v>21</v>
      </c>
      <c r="U180">
        <v>183</v>
      </c>
      <c r="V180">
        <v>62</v>
      </c>
      <c r="W180" t="s">
        <v>70</v>
      </c>
      <c r="X180">
        <v>57.3</v>
      </c>
      <c r="Y180">
        <v>6.19</v>
      </c>
      <c r="Z180">
        <v>0.87</v>
      </c>
      <c r="AA180">
        <v>90.31</v>
      </c>
    </row>
    <row r="181" spans="1:27" x14ac:dyDescent="0.3">
      <c r="A181" t="s">
        <v>415</v>
      </c>
      <c r="B181" t="s">
        <v>28</v>
      </c>
      <c r="C181" t="s">
        <v>38</v>
      </c>
      <c r="D181" t="s">
        <v>416</v>
      </c>
      <c r="E181" t="s">
        <v>94</v>
      </c>
      <c r="F181" t="s">
        <v>32</v>
      </c>
      <c r="G181">
        <v>87</v>
      </c>
      <c r="H181">
        <v>4</v>
      </c>
      <c r="I181">
        <v>4</v>
      </c>
      <c r="J181">
        <v>76.92</v>
      </c>
      <c r="K181">
        <v>14.4</v>
      </c>
      <c r="L181">
        <v>9.0500000000000007</v>
      </c>
      <c r="N181" t="s">
        <v>42</v>
      </c>
      <c r="Q181">
        <v>0</v>
      </c>
      <c r="R181">
        <v>1</v>
      </c>
      <c r="S181" t="s">
        <v>52</v>
      </c>
      <c r="T181">
        <v>35</v>
      </c>
      <c r="U181">
        <v>172</v>
      </c>
      <c r="V181">
        <v>62</v>
      </c>
      <c r="W181" t="s">
        <v>48</v>
      </c>
      <c r="X181">
        <v>41.3</v>
      </c>
      <c r="Y181">
        <v>7.44</v>
      </c>
      <c r="Z181">
        <v>1.4</v>
      </c>
      <c r="AA181">
        <v>95.14</v>
      </c>
    </row>
    <row r="182" spans="1:27" x14ac:dyDescent="0.3">
      <c r="A182" t="s">
        <v>417</v>
      </c>
      <c r="B182" t="s">
        <v>68</v>
      </c>
      <c r="C182" t="s">
        <v>65</v>
      </c>
      <c r="D182" t="s">
        <v>418</v>
      </c>
      <c r="E182" t="s">
        <v>75</v>
      </c>
      <c r="F182" t="s">
        <v>41</v>
      </c>
      <c r="G182">
        <v>74</v>
      </c>
      <c r="H182">
        <v>0</v>
      </c>
      <c r="I182">
        <v>0</v>
      </c>
      <c r="J182">
        <v>51.59</v>
      </c>
      <c r="K182">
        <v>5.6</v>
      </c>
      <c r="L182">
        <v>11.02</v>
      </c>
      <c r="N182" t="s">
        <v>47</v>
      </c>
      <c r="Q182">
        <v>0</v>
      </c>
      <c r="R182">
        <v>3</v>
      </c>
      <c r="S182" t="s">
        <v>43</v>
      </c>
      <c r="T182">
        <v>23</v>
      </c>
      <c r="U182">
        <v>181</v>
      </c>
      <c r="V182">
        <v>86</v>
      </c>
      <c r="W182" t="s">
        <v>44</v>
      </c>
      <c r="X182">
        <v>43.7</v>
      </c>
      <c r="Y182">
        <v>9.83</v>
      </c>
      <c r="Z182">
        <v>1.31</v>
      </c>
      <c r="AA182">
        <v>95.76</v>
      </c>
    </row>
    <row r="183" spans="1:27" x14ac:dyDescent="0.3">
      <c r="A183" t="s">
        <v>419</v>
      </c>
      <c r="B183" t="s">
        <v>68</v>
      </c>
      <c r="C183" t="s">
        <v>38</v>
      </c>
      <c r="D183" t="s">
        <v>420</v>
      </c>
      <c r="E183" t="s">
        <v>51</v>
      </c>
      <c r="F183" t="s">
        <v>32</v>
      </c>
      <c r="G183">
        <v>94</v>
      </c>
      <c r="H183">
        <v>0</v>
      </c>
      <c r="I183">
        <v>6</v>
      </c>
      <c r="J183">
        <v>90.65</v>
      </c>
      <c r="K183">
        <v>19</v>
      </c>
      <c r="L183">
        <v>11.33</v>
      </c>
      <c r="M183" s="1">
        <v>45242</v>
      </c>
      <c r="N183" t="s">
        <v>43</v>
      </c>
      <c r="O183" s="1">
        <v>44979</v>
      </c>
      <c r="Q183">
        <v>0</v>
      </c>
      <c r="R183">
        <v>1</v>
      </c>
      <c r="S183" t="s">
        <v>52</v>
      </c>
      <c r="T183">
        <v>20</v>
      </c>
      <c r="U183">
        <v>196</v>
      </c>
      <c r="V183">
        <v>99</v>
      </c>
      <c r="W183" t="s">
        <v>35</v>
      </c>
      <c r="X183">
        <v>56.8</v>
      </c>
      <c r="Y183">
        <v>8</v>
      </c>
      <c r="Z183">
        <v>1.48</v>
      </c>
      <c r="AA183">
        <v>92.45</v>
      </c>
    </row>
    <row r="184" spans="1:27" x14ac:dyDescent="0.3">
      <c r="A184" t="s">
        <v>421</v>
      </c>
      <c r="B184" t="s">
        <v>28</v>
      </c>
      <c r="C184" t="s">
        <v>29</v>
      </c>
      <c r="D184" t="s">
        <v>422</v>
      </c>
      <c r="E184" t="s">
        <v>40</v>
      </c>
      <c r="F184" t="s">
        <v>41</v>
      </c>
      <c r="G184">
        <v>75</v>
      </c>
      <c r="H184">
        <v>4</v>
      </c>
      <c r="I184">
        <v>0</v>
      </c>
      <c r="J184">
        <v>51.57</v>
      </c>
      <c r="K184">
        <v>5.5</v>
      </c>
      <c r="L184">
        <v>8.73</v>
      </c>
      <c r="M184" s="1">
        <v>45255</v>
      </c>
      <c r="N184" t="s">
        <v>33</v>
      </c>
      <c r="Q184">
        <v>0</v>
      </c>
      <c r="R184">
        <v>2</v>
      </c>
      <c r="S184" t="s">
        <v>34</v>
      </c>
      <c r="T184">
        <v>39</v>
      </c>
      <c r="U184">
        <v>192</v>
      </c>
      <c r="V184">
        <v>97</v>
      </c>
      <c r="W184" t="s">
        <v>48</v>
      </c>
      <c r="X184">
        <v>50.3</v>
      </c>
      <c r="Y184">
        <v>7.73</v>
      </c>
      <c r="Z184">
        <v>1.25</v>
      </c>
      <c r="AA184">
        <v>83.18</v>
      </c>
    </row>
    <row r="185" spans="1:27" x14ac:dyDescent="0.3">
      <c r="A185" t="s">
        <v>423</v>
      </c>
      <c r="B185" t="s">
        <v>28</v>
      </c>
      <c r="C185" t="s">
        <v>38</v>
      </c>
      <c r="D185" t="s">
        <v>424</v>
      </c>
      <c r="E185" t="s">
        <v>31</v>
      </c>
      <c r="F185" t="s">
        <v>32</v>
      </c>
      <c r="G185">
        <v>36</v>
      </c>
      <c r="H185">
        <v>4</v>
      </c>
      <c r="I185">
        <v>4</v>
      </c>
      <c r="J185">
        <v>76.88</v>
      </c>
      <c r="K185">
        <v>14.4</v>
      </c>
      <c r="L185">
        <v>10.130000000000001</v>
      </c>
      <c r="N185" t="s">
        <v>43</v>
      </c>
      <c r="O185" s="1">
        <v>45001</v>
      </c>
      <c r="Q185">
        <v>0</v>
      </c>
      <c r="R185">
        <v>2</v>
      </c>
      <c r="S185" t="s">
        <v>34</v>
      </c>
      <c r="T185">
        <v>28</v>
      </c>
      <c r="U185">
        <v>162</v>
      </c>
      <c r="V185">
        <v>92</v>
      </c>
      <c r="W185" t="s">
        <v>44</v>
      </c>
      <c r="X185">
        <v>61.9</v>
      </c>
      <c r="Y185">
        <v>7.83</v>
      </c>
      <c r="Z185">
        <v>0.89</v>
      </c>
      <c r="AA185">
        <v>88.32</v>
      </c>
    </row>
    <row r="186" spans="1:27" x14ac:dyDescent="0.3">
      <c r="A186" t="s">
        <v>425</v>
      </c>
      <c r="B186" t="s">
        <v>28</v>
      </c>
      <c r="C186" t="s">
        <v>29</v>
      </c>
      <c r="D186" t="s">
        <v>426</v>
      </c>
      <c r="E186" t="s">
        <v>75</v>
      </c>
      <c r="F186" t="s">
        <v>41</v>
      </c>
      <c r="G186">
        <v>57</v>
      </c>
      <c r="H186">
        <v>3</v>
      </c>
      <c r="I186">
        <v>5</v>
      </c>
      <c r="J186">
        <v>83.92</v>
      </c>
      <c r="K186">
        <v>16.5</v>
      </c>
      <c r="L186">
        <v>9.1300000000000008</v>
      </c>
      <c r="N186" t="s">
        <v>47</v>
      </c>
      <c r="Q186">
        <v>0</v>
      </c>
      <c r="R186">
        <v>4</v>
      </c>
      <c r="S186" t="s">
        <v>43</v>
      </c>
      <c r="T186">
        <v>32</v>
      </c>
      <c r="U186">
        <v>178</v>
      </c>
      <c r="V186">
        <v>87</v>
      </c>
      <c r="W186" t="s">
        <v>70</v>
      </c>
      <c r="X186">
        <v>59.6</v>
      </c>
      <c r="Y186">
        <v>6.84</v>
      </c>
      <c r="Z186">
        <v>1.0900000000000001</v>
      </c>
      <c r="AA186">
        <v>74.81</v>
      </c>
    </row>
    <row r="187" spans="1:27" x14ac:dyDescent="0.3">
      <c r="A187" t="s">
        <v>427</v>
      </c>
      <c r="B187" t="s">
        <v>64</v>
      </c>
      <c r="C187" t="s">
        <v>38</v>
      </c>
      <c r="D187" t="s">
        <v>428</v>
      </c>
      <c r="E187" t="s">
        <v>94</v>
      </c>
      <c r="F187" t="s">
        <v>41</v>
      </c>
      <c r="G187">
        <v>43</v>
      </c>
      <c r="H187">
        <v>2</v>
      </c>
      <c r="I187">
        <v>6</v>
      </c>
      <c r="J187">
        <v>90.53</v>
      </c>
      <c r="K187">
        <v>18.899999999999999</v>
      </c>
      <c r="L187">
        <v>5.69</v>
      </c>
      <c r="M187" s="1">
        <v>44937</v>
      </c>
      <c r="N187" t="s">
        <v>42</v>
      </c>
      <c r="Q187">
        <v>0</v>
      </c>
      <c r="R187">
        <v>2</v>
      </c>
      <c r="S187" t="s">
        <v>43</v>
      </c>
      <c r="T187">
        <v>39</v>
      </c>
      <c r="U187">
        <v>182</v>
      </c>
      <c r="V187">
        <v>60</v>
      </c>
      <c r="W187" t="s">
        <v>70</v>
      </c>
      <c r="X187">
        <v>65.400000000000006</v>
      </c>
      <c r="Y187">
        <v>7.47</v>
      </c>
      <c r="Z187">
        <v>1.1599999999999999</v>
      </c>
      <c r="AA187">
        <v>90.21</v>
      </c>
    </row>
    <row r="188" spans="1:27" x14ac:dyDescent="0.3">
      <c r="A188" t="s">
        <v>429</v>
      </c>
      <c r="B188" t="s">
        <v>28</v>
      </c>
      <c r="C188" t="s">
        <v>29</v>
      </c>
      <c r="D188" t="s">
        <v>430</v>
      </c>
      <c r="E188" t="s">
        <v>51</v>
      </c>
      <c r="F188" t="s">
        <v>41</v>
      </c>
      <c r="G188">
        <v>88</v>
      </c>
      <c r="H188">
        <v>0</v>
      </c>
      <c r="I188">
        <v>2</v>
      </c>
      <c r="J188">
        <v>65.11</v>
      </c>
      <c r="K188">
        <v>10.3</v>
      </c>
      <c r="L188">
        <v>9.3699999999999992</v>
      </c>
      <c r="N188" t="s">
        <v>42</v>
      </c>
      <c r="Q188">
        <v>1</v>
      </c>
      <c r="R188">
        <v>1</v>
      </c>
      <c r="S188" t="s">
        <v>34</v>
      </c>
      <c r="T188">
        <v>22</v>
      </c>
      <c r="U188">
        <v>188</v>
      </c>
      <c r="V188">
        <v>67</v>
      </c>
      <c r="W188" t="s">
        <v>35</v>
      </c>
      <c r="X188">
        <v>60.8</v>
      </c>
      <c r="Y188">
        <v>7.48</v>
      </c>
      <c r="Z188">
        <v>0.57999999999999996</v>
      </c>
      <c r="AA188">
        <v>75.38</v>
      </c>
    </row>
    <row r="189" spans="1:27" x14ac:dyDescent="0.3">
      <c r="A189" t="s">
        <v>431</v>
      </c>
      <c r="B189" t="s">
        <v>68</v>
      </c>
      <c r="C189" t="s">
        <v>29</v>
      </c>
      <c r="D189" t="s">
        <v>432</v>
      </c>
      <c r="E189" t="s">
        <v>75</v>
      </c>
      <c r="F189" t="s">
        <v>41</v>
      </c>
      <c r="G189">
        <v>89</v>
      </c>
      <c r="H189">
        <v>2</v>
      </c>
      <c r="I189">
        <v>2</v>
      </c>
      <c r="J189">
        <v>65.03</v>
      </c>
      <c r="K189">
        <v>10.3</v>
      </c>
      <c r="L189">
        <v>5.97</v>
      </c>
      <c r="N189" t="s">
        <v>47</v>
      </c>
      <c r="Q189">
        <v>1</v>
      </c>
      <c r="R189">
        <v>2</v>
      </c>
      <c r="S189" t="s">
        <v>61</v>
      </c>
      <c r="T189">
        <v>37</v>
      </c>
      <c r="U189">
        <v>189</v>
      </c>
      <c r="V189">
        <v>96</v>
      </c>
      <c r="W189" t="s">
        <v>62</v>
      </c>
      <c r="X189">
        <v>52.9</v>
      </c>
      <c r="Y189">
        <v>6.21</v>
      </c>
      <c r="Z189">
        <v>1.04</v>
      </c>
      <c r="AA189">
        <v>90.82</v>
      </c>
    </row>
    <row r="190" spans="1:27" x14ac:dyDescent="0.3">
      <c r="A190" t="s">
        <v>433</v>
      </c>
      <c r="B190" t="s">
        <v>37</v>
      </c>
      <c r="C190" t="s">
        <v>38</v>
      </c>
      <c r="D190" t="s">
        <v>434</v>
      </c>
      <c r="E190" t="s">
        <v>75</v>
      </c>
      <c r="F190" t="s">
        <v>41</v>
      </c>
      <c r="G190">
        <v>30</v>
      </c>
      <c r="H190">
        <v>2</v>
      </c>
      <c r="I190">
        <v>2</v>
      </c>
      <c r="J190">
        <v>64.81</v>
      </c>
      <c r="K190">
        <v>10.3</v>
      </c>
      <c r="L190">
        <v>9.0500000000000007</v>
      </c>
      <c r="N190" t="s">
        <v>42</v>
      </c>
      <c r="Q190">
        <v>0</v>
      </c>
      <c r="R190">
        <v>0</v>
      </c>
      <c r="S190" t="s">
        <v>43</v>
      </c>
      <c r="T190">
        <v>27</v>
      </c>
      <c r="U190">
        <v>198</v>
      </c>
      <c r="V190">
        <v>91</v>
      </c>
      <c r="W190" t="s">
        <v>62</v>
      </c>
      <c r="X190">
        <v>60.2</v>
      </c>
      <c r="Y190">
        <v>9.07</v>
      </c>
      <c r="Z190">
        <v>1.21</v>
      </c>
      <c r="AA190">
        <v>76.89</v>
      </c>
    </row>
    <row r="191" spans="1:27" x14ac:dyDescent="0.3">
      <c r="A191" t="s">
        <v>435</v>
      </c>
      <c r="B191" t="s">
        <v>68</v>
      </c>
      <c r="C191" t="s">
        <v>38</v>
      </c>
      <c r="D191" t="s">
        <v>436</v>
      </c>
      <c r="E191" t="s">
        <v>51</v>
      </c>
      <c r="F191" t="s">
        <v>32</v>
      </c>
      <c r="G191">
        <v>35</v>
      </c>
      <c r="H191">
        <v>4</v>
      </c>
      <c r="I191">
        <v>5</v>
      </c>
      <c r="J191">
        <v>83.65</v>
      </c>
      <c r="K191">
        <v>16.399999999999999</v>
      </c>
      <c r="L191">
        <v>10.93</v>
      </c>
      <c r="N191" t="s">
        <v>42</v>
      </c>
      <c r="Q191">
        <v>0</v>
      </c>
      <c r="R191">
        <v>2</v>
      </c>
      <c r="S191" t="s">
        <v>61</v>
      </c>
      <c r="T191">
        <v>29</v>
      </c>
      <c r="U191">
        <v>184</v>
      </c>
      <c r="V191">
        <v>96</v>
      </c>
      <c r="W191" t="s">
        <v>48</v>
      </c>
      <c r="X191">
        <v>48.3</v>
      </c>
      <c r="Y191">
        <v>7.67</v>
      </c>
      <c r="Z191">
        <v>0.67</v>
      </c>
      <c r="AA191">
        <v>73.53</v>
      </c>
    </row>
    <row r="192" spans="1:27" x14ac:dyDescent="0.3">
      <c r="A192" t="s">
        <v>437</v>
      </c>
      <c r="B192" t="s">
        <v>28</v>
      </c>
      <c r="C192" t="s">
        <v>29</v>
      </c>
      <c r="D192" t="s">
        <v>438</v>
      </c>
      <c r="E192" t="s">
        <v>94</v>
      </c>
      <c r="F192" t="s">
        <v>41</v>
      </c>
      <c r="G192">
        <v>92</v>
      </c>
      <c r="H192">
        <v>3</v>
      </c>
      <c r="I192">
        <v>5</v>
      </c>
      <c r="J192">
        <v>83.53</v>
      </c>
      <c r="K192">
        <v>16.399999999999999</v>
      </c>
      <c r="L192">
        <v>10.79</v>
      </c>
      <c r="N192" t="s">
        <v>43</v>
      </c>
      <c r="O192" s="1">
        <v>44958</v>
      </c>
      <c r="P192">
        <v>52</v>
      </c>
      <c r="Q192">
        <v>1</v>
      </c>
      <c r="R192">
        <v>3</v>
      </c>
      <c r="S192" t="s">
        <v>61</v>
      </c>
      <c r="T192">
        <v>32</v>
      </c>
      <c r="U192">
        <v>196</v>
      </c>
      <c r="V192">
        <v>63</v>
      </c>
      <c r="W192" t="s">
        <v>48</v>
      </c>
      <c r="X192">
        <v>49.2</v>
      </c>
      <c r="Y192">
        <v>9.2899999999999991</v>
      </c>
      <c r="Z192">
        <v>1.28</v>
      </c>
      <c r="AA192">
        <v>74.959999999999994</v>
      </c>
    </row>
    <row r="193" spans="1:27" x14ac:dyDescent="0.3">
      <c r="A193" t="s">
        <v>439</v>
      </c>
      <c r="B193" t="s">
        <v>37</v>
      </c>
      <c r="C193" t="s">
        <v>38</v>
      </c>
      <c r="D193" t="s">
        <v>440</v>
      </c>
      <c r="E193" t="s">
        <v>40</v>
      </c>
      <c r="F193" t="s">
        <v>32</v>
      </c>
      <c r="G193">
        <v>78</v>
      </c>
      <c r="H193">
        <v>1</v>
      </c>
      <c r="I193">
        <v>4</v>
      </c>
      <c r="J193">
        <v>76.510000000000005</v>
      </c>
      <c r="K193">
        <v>14.4</v>
      </c>
      <c r="L193">
        <v>11.63</v>
      </c>
      <c r="M193" s="1">
        <v>45096</v>
      </c>
      <c r="N193" t="s">
        <v>43</v>
      </c>
      <c r="P193">
        <v>30</v>
      </c>
      <c r="Q193">
        <v>1</v>
      </c>
      <c r="R193">
        <v>0</v>
      </c>
      <c r="S193" t="s">
        <v>34</v>
      </c>
      <c r="T193">
        <v>34</v>
      </c>
      <c r="U193">
        <v>167</v>
      </c>
      <c r="V193">
        <v>89</v>
      </c>
      <c r="W193" t="s">
        <v>53</v>
      </c>
      <c r="X193">
        <v>63.7</v>
      </c>
      <c r="Y193">
        <v>9.4</v>
      </c>
      <c r="Z193">
        <v>1.08</v>
      </c>
      <c r="AA193">
        <v>70.06</v>
      </c>
    </row>
    <row r="194" spans="1:27" x14ac:dyDescent="0.3">
      <c r="A194" t="s">
        <v>441</v>
      </c>
      <c r="B194" t="s">
        <v>28</v>
      </c>
      <c r="C194" t="s">
        <v>29</v>
      </c>
      <c r="D194" t="s">
        <v>442</v>
      </c>
      <c r="E194" t="s">
        <v>75</v>
      </c>
      <c r="F194" t="s">
        <v>41</v>
      </c>
      <c r="G194">
        <v>89</v>
      </c>
      <c r="H194">
        <v>3</v>
      </c>
      <c r="I194">
        <v>0</v>
      </c>
      <c r="J194">
        <v>51.54</v>
      </c>
      <c r="K194">
        <v>5.5</v>
      </c>
      <c r="L194">
        <v>5.95</v>
      </c>
      <c r="N194" t="s">
        <v>42</v>
      </c>
      <c r="Q194">
        <v>0</v>
      </c>
      <c r="R194">
        <v>4</v>
      </c>
      <c r="S194" t="s">
        <v>52</v>
      </c>
      <c r="T194">
        <v>27</v>
      </c>
      <c r="U194">
        <v>175</v>
      </c>
      <c r="V194">
        <v>65</v>
      </c>
      <c r="W194" t="s">
        <v>48</v>
      </c>
      <c r="X194">
        <v>53.4</v>
      </c>
      <c r="Y194">
        <v>6.85</v>
      </c>
      <c r="Z194">
        <v>1.45</v>
      </c>
      <c r="AA194">
        <v>91.56</v>
      </c>
    </row>
    <row r="195" spans="1:27" x14ac:dyDescent="0.3">
      <c r="A195" t="s">
        <v>443</v>
      </c>
      <c r="B195" t="s">
        <v>28</v>
      </c>
      <c r="C195" t="s">
        <v>29</v>
      </c>
      <c r="D195" t="s">
        <v>444</v>
      </c>
      <c r="E195" t="s">
        <v>40</v>
      </c>
      <c r="F195" t="s">
        <v>41</v>
      </c>
      <c r="G195">
        <v>22</v>
      </c>
      <c r="H195">
        <v>3</v>
      </c>
      <c r="I195">
        <v>4</v>
      </c>
      <c r="J195">
        <v>76.48</v>
      </c>
      <c r="K195">
        <v>14.4</v>
      </c>
      <c r="L195">
        <v>11.52</v>
      </c>
      <c r="M195" s="1">
        <v>45257</v>
      </c>
      <c r="N195" t="s">
        <v>33</v>
      </c>
      <c r="O195" s="1">
        <v>45165</v>
      </c>
      <c r="Q195">
        <v>0</v>
      </c>
      <c r="R195">
        <v>3</v>
      </c>
      <c r="S195" t="s">
        <v>52</v>
      </c>
      <c r="T195">
        <v>23</v>
      </c>
      <c r="U195">
        <v>167</v>
      </c>
      <c r="V195">
        <v>78</v>
      </c>
      <c r="W195" t="s">
        <v>48</v>
      </c>
      <c r="X195">
        <v>64</v>
      </c>
      <c r="Y195">
        <v>8.6300000000000008</v>
      </c>
      <c r="Z195">
        <v>0.54</v>
      </c>
      <c r="AA195">
        <v>91.97</v>
      </c>
    </row>
    <row r="196" spans="1:27" x14ac:dyDescent="0.3">
      <c r="A196" t="s">
        <v>445</v>
      </c>
      <c r="B196" t="s">
        <v>68</v>
      </c>
      <c r="C196" t="s">
        <v>29</v>
      </c>
      <c r="D196" t="s">
        <v>446</v>
      </c>
      <c r="E196" t="s">
        <v>75</v>
      </c>
      <c r="F196" t="s">
        <v>41</v>
      </c>
      <c r="G196">
        <v>39</v>
      </c>
      <c r="H196">
        <v>2</v>
      </c>
      <c r="I196">
        <v>4</v>
      </c>
      <c r="J196">
        <v>76.47</v>
      </c>
      <c r="K196">
        <v>14.3</v>
      </c>
      <c r="L196">
        <v>8.1199999999999992</v>
      </c>
      <c r="N196" t="s">
        <v>42</v>
      </c>
      <c r="Q196">
        <v>0</v>
      </c>
      <c r="R196">
        <v>1</v>
      </c>
      <c r="S196" t="s">
        <v>52</v>
      </c>
      <c r="T196">
        <v>35</v>
      </c>
      <c r="U196">
        <v>160</v>
      </c>
      <c r="V196">
        <v>91</v>
      </c>
      <c r="W196" t="s">
        <v>48</v>
      </c>
      <c r="X196">
        <v>64.7</v>
      </c>
      <c r="Y196">
        <v>7.89</v>
      </c>
      <c r="Z196">
        <v>0.77</v>
      </c>
      <c r="AA196">
        <v>85.45</v>
      </c>
    </row>
    <row r="197" spans="1:27" x14ac:dyDescent="0.3">
      <c r="A197" t="s">
        <v>447</v>
      </c>
      <c r="B197" t="s">
        <v>64</v>
      </c>
      <c r="C197" t="s">
        <v>29</v>
      </c>
      <c r="D197" t="s">
        <v>448</v>
      </c>
      <c r="E197" t="s">
        <v>75</v>
      </c>
      <c r="F197" t="s">
        <v>32</v>
      </c>
      <c r="G197">
        <v>78</v>
      </c>
      <c r="H197">
        <v>3</v>
      </c>
      <c r="I197">
        <v>5</v>
      </c>
      <c r="J197">
        <v>83.45</v>
      </c>
      <c r="K197">
        <v>16.3</v>
      </c>
      <c r="L197">
        <v>8.99</v>
      </c>
      <c r="N197" t="s">
        <v>47</v>
      </c>
      <c r="Q197">
        <v>1</v>
      </c>
      <c r="R197">
        <v>1</v>
      </c>
      <c r="S197" t="s">
        <v>43</v>
      </c>
      <c r="T197">
        <v>30</v>
      </c>
      <c r="U197">
        <v>164</v>
      </c>
      <c r="V197">
        <v>68</v>
      </c>
      <c r="W197" t="s">
        <v>48</v>
      </c>
      <c r="X197">
        <v>65.7</v>
      </c>
      <c r="Y197">
        <v>9.52</v>
      </c>
      <c r="Z197">
        <v>1.1000000000000001</v>
      </c>
      <c r="AA197">
        <v>74.84</v>
      </c>
    </row>
    <row r="198" spans="1:27" x14ac:dyDescent="0.3">
      <c r="A198" t="s">
        <v>449</v>
      </c>
      <c r="B198" t="s">
        <v>28</v>
      </c>
      <c r="C198" t="s">
        <v>38</v>
      </c>
      <c r="D198" t="s">
        <v>450</v>
      </c>
      <c r="E198" t="s">
        <v>56</v>
      </c>
      <c r="F198" t="s">
        <v>41</v>
      </c>
      <c r="G198">
        <v>55</v>
      </c>
      <c r="H198">
        <v>0</v>
      </c>
      <c r="I198">
        <v>2</v>
      </c>
      <c r="J198">
        <v>64.69</v>
      </c>
      <c r="K198">
        <v>10.1</v>
      </c>
      <c r="L198">
        <v>13.58</v>
      </c>
      <c r="M198" s="1">
        <v>45239</v>
      </c>
      <c r="N198" t="s">
        <v>42</v>
      </c>
      <c r="P198">
        <v>32</v>
      </c>
      <c r="Q198">
        <v>1</v>
      </c>
      <c r="R198">
        <v>1</v>
      </c>
      <c r="S198" t="s">
        <v>43</v>
      </c>
      <c r="T198">
        <v>20</v>
      </c>
      <c r="U198">
        <v>162</v>
      </c>
      <c r="V198">
        <v>71</v>
      </c>
      <c r="W198" t="s">
        <v>48</v>
      </c>
      <c r="X198">
        <v>67.5</v>
      </c>
      <c r="Y198">
        <v>6.86</v>
      </c>
      <c r="Z198">
        <v>0.8</v>
      </c>
      <c r="AA198">
        <v>72.510000000000005</v>
      </c>
    </row>
    <row r="199" spans="1:27" x14ac:dyDescent="0.3">
      <c r="A199" t="s">
        <v>451</v>
      </c>
      <c r="B199" t="s">
        <v>28</v>
      </c>
      <c r="C199" t="s">
        <v>65</v>
      </c>
      <c r="D199" t="s">
        <v>452</v>
      </c>
      <c r="E199" t="s">
        <v>31</v>
      </c>
      <c r="F199" t="s">
        <v>41</v>
      </c>
      <c r="G199">
        <v>38</v>
      </c>
      <c r="H199">
        <v>2</v>
      </c>
      <c r="I199">
        <v>1</v>
      </c>
      <c r="J199">
        <v>57.08</v>
      </c>
      <c r="K199">
        <v>7.1</v>
      </c>
      <c r="L199">
        <v>5.09</v>
      </c>
      <c r="N199" t="s">
        <v>42</v>
      </c>
      <c r="Q199">
        <v>0</v>
      </c>
      <c r="R199">
        <v>3</v>
      </c>
      <c r="S199" t="s">
        <v>34</v>
      </c>
      <c r="T199">
        <v>27</v>
      </c>
      <c r="U199">
        <v>160</v>
      </c>
      <c r="V199">
        <v>70</v>
      </c>
      <c r="W199" t="s">
        <v>62</v>
      </c>
      <c r="X199">
        <v>52.9</v>
      </c>
      <c r="Y199">
        <v>8.7100000000000009</v>
      </c>
      <c r="Z199">
        <v>1.21</v>
      </c>
      <c r="AA199">
        <v>70.569999999999993</v>
      </c>
    </row>
    <row r="200" spans="1:27" x14ac:dyDescent="0.3">
      <c r="A200" t="s">
        <v>453</v>
      </c>
      <c r="B200" t="s">
        <v>68</v>
      </c>
      <c r="C200" t="s">
        <v>38</v>
      </c>
      <c r="D200" t="s">
        <v>454</v>
      </c>
      <c r="E200" t="s">
        <v>56</v>
      </c>
      <c r="F200" t="s">
        <v>32</v>
      </c>
      <c r="G200">
        <v>86</v>
      </c>
      <c r="H200">
        <v>0</v>
      </c>
      <c r="I200">
        <v>0</v>
      </c>
      <c r="J200">
        <v>50.83</v>
      </c>
      <c r="K200">
        <v>5.4</v>
      </c>
      <c r="L200">
        <v>10.88</v>
      </c>
      <c r="M200" s="1">
        <v>45028</v>
      </c>
      <c r="N200" t="s">
        <v>42</v>
      </c>
      <c r="Q200">
        <v>1</v>
      </c>
      <c r="R200">
        <v>3</v>
      </c>
      <c r="S200" t="s">
        <v>61</v>
      </c>
      <c r="T200">
        <v>31</v>
      </c>
      <c r="U200">
        <v>163</v>
      </c>
      <c r="V200">
        <v>75</v>
      </c>
      <c r="W200" t="s">
        <v>44</v>
      </c>
      <c r="X200">
        <v>49.6</v>
      </c>
      <c r="Y200">
        <v>8.43</v>
      </c>
      <c r="Z200">
        <v>1.26</v>
      </c>
      <c r="AA200">
        <v>74.97</v>
      </c>
    </row>
    <row r="201" spans="1:27" x14ac:dyDescent="0.3">
      <c r="A201" t="s">
        <v>455</v>
      </c>
      <c r="B201" t="s">
        <v>68</v>
      </c>
      <c r="C201" t="s">
        <v>29</v>
      </c>
      <c r="D201" t="s">
        <v>456</v>
      </c>
      <c r="E201" t="s">
        <v>94</v>
      </c>
      <c r="F201" t="s">
        <v>41</v>
      </c>
      <c r="G201">
        <v>38</v>
      </c>
      <c r="H201">
        <v>1</v>
      </c>
      <c r="I201">
        <v>5</v>
      </c>
      <c r="J201">
        <v>83.38</v>
      </c>
      <c r="K201">
        <v>16.3</v>
      </c>
      <c r="L201">
        <v>10.99</v>
      </c>
      <c r="M201" s="1">
        <v>45159</v>
      </c>
      <c r="N201" t="s">
        <v>43</v>
      </c>
      <c r="O201" s="1">
        <v>44985</v>
      </c>
      <c r="Q201">
        <v>0</v>
      </c>
      <c r="R201">
        <v>3</v>
      </c>
      <c r="S201" t="s">
        <v>43</v>
      </c>
      <c r="T201">
        <v>23</v>
      </c>
      <c r="U201">
        <v>199</v>
      </c>
      <c r="V201">
        <v>60</v>
      </c>
      <c r="W201" t="s">
        <v>35</v>
      </c>
      <c r="X201">
        <v>57.5</v>
      </c>
      <c r="Y201">
        <v>7.18</v>
      </c>
      <c r="Z201">
        <v>0.6</v>
      </c>
      <c r="AA201">
        <v>96.73</v>
      </c>
    </row>
    <row r="202" spans="1:27" x14ac:dyDescent="0.3">
      <c r="A202" t="s">
        <v>457</v>
      </c>
      <c r="B202" t="s">
        <v>37</v>
      </c>
      <c r="C202" t="s">
        <v>29</v>
      </c>
      <c r="D202" t="s">
        <v>458</v>
      </c>
      <c r="E202" t="s">
        <v>80</v>
      </c>
      <c r="F202" t="s">
        <v>41</v>
      </c>
      <c r="G202">
        <v>39</v>
      </c>
      <c r="H202">
        <v>2</v>
      </c>
      <c r="I202">
        <v>2</v>
      </c>
      <c r="J202">
        <v>64.16</v>
      </c>
      <c r="K202">
        <v>10.1</v>
      </c>
      <c r="L202">
        <v>8.9700000000000006</v>
      </c>
      <c r="N202" t="s">
        <v>43</v>
      </c>
      <c r="P202">
        <v>89</v>
      </c>
      <c r="Q202">
        <v>1</v>
      </c>
      <c r="R202">
        <v>0</v>
      </c>
      <c r="S202" t="s">
        <v>43</v>
      </c>
      <c r="T202">
        <v>20</v>
      </c>
      <c r="U202">
        <v>194</v>
      </c>
      <c r="V202">
        <v>80</v>
      </c>
      <c r="W202" t="s">
        <v>70</v>
      </c>
      <c r="X202">
        <v>51.1</v>
      </c>
      <c r="Y202">
        <v>6.55</v>
      </c>
      <c r="Z202">
        <v>1.01</v>
      </c>
      <c r="AA202">
        <v>77.25</v>
      </c>
    </row>
    <row r="203" spans="1:27" x14ac:dyDescent="0.3">
      <c r="A203" t="s">
        <v>459</v>
      </c>
      <c r="B203" t="s">
        <v>37</v>
      </c>
      <c r="C203" t="s">
        <v>38</v>
      </c>
      <c r="D203" t="s">
        <v>460</v>
      </c>
      <c r="E203" t="s">
        <v>94</v>
      </c>
      <c r="F203" t="s">
        <v>32</v>
      </c>
      <c r="G203">
        <v>90</v>
      </c>
      <c r="H203">
        <v>1</v>
      </c>
      <c r="I203">
        <v>6</v>
      </c>
      <c r="J203">
        <v>90.38</v>
      </c>
      <c r="K203">
        <v>18.7</v>
      </c>
      <c r="L203">
        <v>7.37</v>
      </c>
      <c r="N203" t="s">
        <v>33</v>
      </c>
      <c r="Q203">
        <v>0</v>
      </c>
      <c r="R203">
        <v>0</v>
      </c>
      <c r="S203" t="s">
        <v>34</v>
      </c>
      <c r="T203">
        <v>33</v>
      </c>
      <c r="U203">
        <v>191</v>
      </c>
      <c r="V203">
        <v>89</v>
      </c>
      <c r="W203" t="s">
        <v>35</v>
      </c>
      <c r="X203">
        <v>58</v>
      </c>
      <c r="Y203">
        <v>8.61</v>
      </c>
      <c r="Z203">
        <v>1.01</v>
      </c>
      <c r="AA203">
        <v>80.63</v>
      </c>
    </row>
    <row r="204" spans="1:27" x14ac:dyDescent="0.3">
      <c r="A204" t="s">
        <v>461</v>
      </c>
      <c r="B204" t="s">
        <v>28</v>
      </c>
      <c r="C204" t="s">
        <v>38</v>
      </c>
      <c r="D204" t="s">
        <v>462</v>
      </c>
      <c r="E204" t="s">
        <v>56</v>
      </c>
      <c r="F204" t="s">
        <v>32</v>
      </c>
      <c r="G204">
        <v>71</v>
      </c>
      <c r="H204">
        <v>2</v>
      </c>
      <c r="I204">
        <v>1</v>
      </c>
      <c r="J204">
        <v>56.96</v>
      </c>
      <c r="K204">
        <v>7.1</v>
      </c>
      <c r="L204">
        <v>7.35</v>
      </c>
      <c r="N204" t="s">
        <v>33</v>
      </c>
      <c r="Q204">
        <v>1</v>
      </c>
      <c r="R204">
        <v>1</v>
      </c>
      <c r="S204" t="s">
        <v>52</v>
      </c>
      <c r="T204">
        <v>24</v>
      </c>
      <c r="U204">
        <v>193</v>
      </c>
      <c r="V204">
        <v>72</v>
      </c>
      <c r="W204" t="s">
        <v>62</v>
      </c>
      <c r="X204">
        <v>61.2</v>
      </c>
      <c r="Y204">
        <v>8.9499999999999993</v>
      </c>
      <c r="Z204">
        <v>0.87</v>
      </c>
      <c r="AA204">
        <v>73.16</v>
      </c>
    </row>
    <row r="205" spans="1:27" x14ac:dyDescent="0.3">
      <c r="A205" t="s">
        <v>463</v>
      </c>
      <c r="B205" t="s">
        <v>64</v>
      </c>
      <c r="C205" t="s">
        <v>65</v>
      </c>
      <c r="D205" t="s">
        <v>464</v>
      </c>
      <c r="E205" t="s">
        <v>80</v>
      </c>
      <c r="F205" t="s">
        <v>41</v>
      </c>
      <c r="G205">
        <v>52</v>
      </c>
      <c r="H205">
        <v>4</v>
      </c>
      <c r="I205">
        <v>1</v>
      </c>
      <c r="J205">
        <v>56.3</v>
      </c>
      <c r="K205">
        <v>6.9</v>
      </c>
      <c r="L205">
        <v>13.84</v>
      </c>
      <c r="N205" t="s">
        <v>42</v>
      </c>
      <c r="O205" s="1">
        <v>45258</v>
      </c>
      <c r="Q205">
        <v>0</v>
      </c>
      <c r="R205">
        <v>2</v>
      </c>
      <c r="S205" t="s">
        <v>43</v>
      </c>
      <c r="T205">
        <v>37</v>
      </c>
      <c r="U205">
        <v>184</v>
      </c>
      <c r="V205">
        <v>93</v>
      </c>
      <c r="W205" t="s">
        <v>48</v>
      </c>
      <c r="X205">
        <v>60.7</v>
      </c>
      <c r="Y205">
        <v>7.26</v>
      </c>
      <c r="Z205">
        <v>1.43</v>
      </c>
      <c r="AA205">
        <v>76.67</v>
      </c>
    </row>
    <row r="206" spans="1:27" x14ac:dyDescent="0.3">
      <c r="A206" t="s">
        <v>465</v>
      </c>
      <c r="B206" t="s">
        <v>68</v>
      </c>
      <c r="C206" t="s">
        <v>29</v>
      </c>
      <c r="D206" t="s">
        <v>466</v>
      </c>
      <c r="E206" t="s">
        <v>94</v>
      </c>
      <c r="F206" t="s">
        <v>32</v>
      </c>
      <c r="G206">
        <v>59</v>
      </c>
      <c r="H206">
        <v>3</v>
      </c>
      <c r="I206">
        <v>5</v>
      </c>
      <c r="J206">
        <v>83.2</v>
      </c>
      <c r="K206">
        <v>16.3</v>
      </c>
      <c r="L206">
        <v>9.42</v>
      </c>
      <c r="N206" t="s">
        <v>33</v>
      </c>
      <c r="O206" s="1">
        <v>45274</v>
      </c>
      <c r="Q206">
        <v>0</v>
      </c>
      <c r="R206">
        <v>1</v>
      </c>
      <c r="S206" t="s">
        <v>52</v>
      </c>
      <c r="T206">
        <v>31</v>
      </c>
      <c r="U206">
        <v>169</v>
      </c>
      <c r="V206">
        <v>63</v>
      </c>
      <c r="W206" t="s">
        <v>53</v>
      </c>
      <c r="X206">
        <v>51.2</v>
      </c>
      <c r="Y206">
        <v>8.58</v>
      </c>
      <c r="Z206">
        <v>1.33</v>
      </c>
      <c r="AA206">
        <v>85.58</v>
      </c>
    </row>
    <row r="207" spans="1:27" x14ac:dyDescent="0.3">
      <c r="A207" t="s">
        <v>467</v>
      </c>
      <c r="B207" t="s">
        <v>37</v>
      </c>
      <c r="C207" t="s">
        <v>65</v>
      </c>
      <c r="D207" t="s">
        <v>468</v>
      </c>
      <c r="E207" t="s">
        <v>51</v>
      </c>
      <c r="F207" t="s">
        <v>32</v>
      </c>
      <c r="G207">
        <v>58</v>
      </c>
      <c r="H207">
        <v>4</v>
      </c>
      <c r="I207">
        <v>3</v>
      </c>
      <c r="J207">
        <v>71.03</v>
      </c>
      <c r="K207">
        <v>12.4</v>
      </c>
      <c r="L207">
        <v>8.31</v>
      </c>
      <c r="N207" t="s">
        <v>42</v>
      </c>
      <c r="Q207">
        <v>0</v>
      </c>
      <c r="R207">
        <v>4</v>
      </c>
      <c r="S207" t="s">
        <v>52</v>
      </c>
      <c r="T207">
        <v>26</v>
      </c>
      <c r="U207">
        <v>180</v>
      </c>
      <c r="V207">
        <v>87</v>
      </c>
      <c r="W207" t="s">
        <v>70</v>
      </c>
      <c r="X207">
        <v>45</v>
      </c>
      <c r="Y207">
        <v>7.58</v>
      </c>
      <c r="Z207">
        <v>1.2</v>
      </c>
      <c r="AA207">
        <v>88.23</v>
      </c>
    </row>
    <row r="208" spans="1:27" x14ac:dyDescent="0.3">
      <c r="A208" t="s">
        <v>469</v>
      </c>
      <c r="B208" t="s">
        <v>68</v>
      </c>
      <c r="C208" t="s">
        <v>38</v>
      </c>
      <c r="D208" t="s">
        <v>470</v>
      </c>
      <c r="E208" t="s">
        <v>80</v>
      </c>
      <c r="F208" t="s">
        <v>32</v>
      </c>
      <c r="G208">
        <v>20</v>
      </c>
      <c r="H208">
        <v>1</v>
      </c>
      <c r="I208">
        <v>0</v>
      </c>
      <c r="J208">
        <v>50.43</v>
      </c>
      <c r="K208">
        <v>5.4</v>
      </c>
      <c r="L208">
        <v>9.49</v>
      </c>
      <c r="N208" t="s">
        <v>33</v>
      </c>
      <c r="O208" s="1">
        <v>45053</v>
      </c>
      <c r="Q208">
        <v>1</v>
      </c>
      <c r="R208">
        <v>0</v>
      </c>
      <c r="S208" t="s">
        <v>52</v>
      </c>
      <c r="T208">
        <v>32</v>
      </c>
      <c r="U208">
        <v>198</v>
      </c>
      <c r="V208">
        <v>97</v>
      </c>
      <c r="W208" t="s">
        <v>53</v>
      </c>
      <c r="X208">
        <v>52.9</v>
      </c>
      <c r="Y208">
        <v>8.85</v>
      </c>
      <c r="Z208">
        <v>1.21</v>
      </c>
      <c r="AA208">
        <v>77.36</v>
      </c>
    </row>
    <row r="209" spans="1:27" x14ac:dyDescent="0.3">
      <c r="A209" t="s">
        <v>471</v>
      </c>
      <c r="B209" t="s">
        <v>68</v>
      </c>
      <c r="C209" t="s">
        <v>29</v>
      </c>
      <c r="D209" t="s">
        <v>472</v>
      </c>
      <c r="E209" t="s">
        <v>75</v>
      </c>
      <c r="F209" t="s">
        <v>32</v>
      </c>
      <c r="G209">
        <v>30</v>
      </c>
      <c r="H209">
        <v>3</v>
      </c>
      <c r="I209">
        <v>1</v>
      </c>
      <c r="J209">
        <v>56.08</v>
      </c>
      <c r="K209">
        <v>6.8</v>
      </c>
      <c r="L209">
        <v>11.69</v>
      </c>
      <c r="N209" t="s">
        <v>42</v>
      </c>
      <c r="Q209">
        <v>1</v>
      </c>
      <c r="R209">
        <v>3</v>
      </c>
      <c r="S209" t="s">
        <v>52</v>
      </c>
      <c r="T209">
        <v>38</v>
      </c>
      <c r="U209">
        <v>186</v>
      </c>
      <c r="V209">
        <v>90</v>
      </c>
      <c r="W209" t="s">
        <v>62</v>
      </c>
      <c r="X209">
        <v>44.3</v>
      </c>
      <c r="Y209">
        <v>6.8</v>
      </c>
      <c r="Z209">
        <v>0.96</v>
      </c>
      <c r="AA209">
        <v>71.73</v>
      </c>
    </row>
    <row r="210" spans="1:27" x14ac:dyDescent="0.3">
      <c r="A210" t="s">
        <v>473</v>
      </c>
      <c r="B210" t="s">
        <v>37</v>
      </c>
      <c r="C210" t="s">
        <v>29</v>
      </c>
      <c r="D210" t="s">
        <v>474</v>
      </c>
      <c r="E210" t="s">
        <v>94</v>
      </c>
      <c r="F210" t="s">
        <v>41</v>
      </c>
      <c r="G210">
        <v>76</v>
      </c>
      <c r="H210">
        <v>2</v>
      </c>
      <c r="I210">
        <v>5</v>
      </c>
      <c r="J210">
        <v>83.08</v>
      </c>
      <c r="K210">
        <v>16.3</v>
      </c>
      <c r="L210">
        <v>6.46</v>
      </c>
      <c r="N210" t="s">
        <v>33</v>
      </c>
      <c r="Q210">
        <v>1</v>
      </c>
      <c r="R210">
        <v>0</v>
      </c>
      <c r="S210" t="s">
        <v>34</v>
      </c>
      <c r="T210">
        <v>20</v>
      </c>
      <c r="U210">
        <v>186</v>
      </c>
      <c r="V210">
        <v>86</v>
      </c>
      <c r="W210" t="s">
        <v>35</v>
      </c>
      <c r="X210">
        <v>66.7</v>
      </c>
      <c r="Y210">
        <v>9.56</v>
      </c>
      <c r="Z210">
        <v>1.42</v>
      </c>
      <c r="AA210">
        <v>81.73</v>
      </c>
    </row>
    <row r="211" spans="1:27" x14ac:dyDescent="0.3">
      <c r="A211" t="s">
        <v>475</v>
      </c>
      <c r="B211" t="s">
        <v>68</v>
      </c>
      <c r="C211" t="s">
        <v>29</v>
      </c>
      <c r="D211" t="s">
        <v>476</v>
      </c>
      <c r="E211" t="s">
        <v>80</v>
      </c>
      <c r="F211" t="s">
        <v>32</v>
      </c>
      <c r="G211">
        <v>69</v>
      </c>
      <c r="H211">
        <v>3</v>
      </c>
      <c r="I211">
        <v>5</v>
      </c>
      <c r="J211">
        <v>83.03</v>
      </c>
      <c r="K211">
        <v>16.3</v>
      </c>
      <c r="L211">
        <v>9.49</v>
      </c>
      <c r="N211" t="s">
        <v>33</v>
      </c>
      <c r="P211">
        <v>56</v>
      </c>
      <c r="Q211">
        <v>1</v>
      </c>
      <c r="R211">
        <v>3</v>
      </c>
      <c r="S211" t="s">
        <v>43</v>
      </c>
      <c r="T211">
        <v>19</v>
      </c>
      <c r="U211">
        <v>161</v>
      </c>
      <c r="V211">
        <v>64</v>
      </c>
      <c r="W211" t="s">
        <v>53</v>
      </c>
      <c r="X211">
        <v>50.4</v>
      </c>
      <c r="Y211">
        <v>7.15</v>
      </c>
      <c r="Z211">
        <v>1.19</v>
      </c>
      <c r="AA211">
        <v>77.03</v>
      </c>
    </row>
    <row r="212" spans="1:27" x14ac:dyDescent="0.3">
      <c r="A212" t="s">
        <v>477</v>
      </c>
      <c r="B212" t="s">
        <v>37</v>
      </c>
      <c r="C212" t="s">
        <v>65</v>
      </c>
      <c r="D212" t="s">
        <v>478</v>
      </c>
      <c r="E212" t="s">
        <v>94</v>
      </c>
      <c r="F212" t="s">
        <v>41</v>
      </c>
      <c r="G212">
        <v>42</v>
      </c>
      <c r="H212">
        <v>0</v>
      </c>
      <c r="I212">
        <v>2</v>
      </c>
      <c r="J212">
        <v>64.08</v>
      </c>
      <c r="K212">
        <v>9.9</v>
      </c>
      <c r="L212">
        <v>10.88</v>
      </c>
      <c r="N212" t="s">
        <v>42</v>
      </c>
      <c r="Q212">
        <v>0</v>
      </c>
      <c r="R212">
        <v>4</v>
      </c>
      <c r="S212" t="s">
        <v>34</v>
      </c>
      <c r="T212">
        <v>19</v>
      </c>
      <c r="U212">
        <v>172</v>
      </c>
      <c r="V212">
        <v>84</v>
      </c>
      <c r="W212" t="s">
        <v>44</v>
      </c>
      <c r="X212">
        <v>44.6</v>
      </c>
      <c r="Y212">
        <v>7.47</v>
      </c>
      <c r="Z212">
        <v>1.23</v>
      </c>
      <c r="AA212">
        <v>76.59</v>
      </c>
    </row>
    <row r="213" spans="1:27" x14ac:dyDescent="0.3">
      <c r="A213" t="s">
        <v>479</v>
      </c>
      <c r="B213" t="s">
        <v>68</v>
      </c>
      <c r="C213" t="s">
        <v>38</v>
      </c>
      <c r="D213" t="s">
        <v>480</v>
      </c>
      <c r="E213" t="s">
        <v>75</v>
      </c>
      <c r="F213" t="s">
        <v>41</v>
      </c>
      <c r="G213">
        <v>50</v>
      </c>
      <c r="H213">
        <v>3</v>
      </c>
      <c r="I213">
        <v>6</v>
      </c>
      <c r="J213">
        <v>90.27</v>
      </c>
      <c r="K213">
        <v>18.7</v>
      </c>
      <c r="L213">
        <v>14.49</v>
      </c>
      <c r="N213" t="s">
        <v>42</v>
      </c>
      <c r="P213">
        <v>24</v>
      </c>
      <c r="Q213">
        <v>0</v>
      </c>
      <c r="R213">
        <v>4</v>
      </c>
      <c r="S213" t="s">
        <v>61</v>
      </c>
      <c r="T213">
        <v>20</v>
      </c>
      <c r="U213">
        <v>168</v>
      </c>
      <c r="V213">
        <v>62</v>
      </c>
      <c r="W213" t="s">
        <v>44</v>
      </c>
      <c r="X213">
        <v>40.799999999999997</v>
      </c>
      <c r="Y213">
        <v>6.23</v>
      </c>
      <c r="Z213">
        <v>1.36</v>
      </c>
      <c r="AA213">
        <v>98.8</v>
      </c>
    </row>
    <row r="214" spans="1:27" x14ac:dyDescent="0.3">
      <c r="A214" t="s">
        <v>481</v>
      </c>
      <c r="B214" t="s">
        <v>64</v>
      </c>
      <c r="C214" t="s">
        <v>65</v>
      </c>
      <c r="D214" t="s">
        <v>482</v>
      </c>
      <c r="E214" t="s">
        <v>94</v>
      </c>
      <c r="F214" t="s">
        <v>41</v>
      </c>
      <c r="G214">
        <v>61</v>
      </c>
      <c r="H214">
        <v>0</v>
      </c>
      <c r="I214">
        <v>3</v>
      </c>
      <c r="J214">
        <v>70.95</v>
      </c>
      <c r="K214">
        <v>12.4</v>
      </c>
      <c r="L214">
        <v>7.53</v>
      </c>
      <c r="M214" s="1">
        <v>45116</v>
      </c>
      <c r="N214" t="s">
        <v>42</v>
      </c>
      <c r="O214" s="1">
        <v>45202</v>
      </c>
      <c r="P214">
        <v>34</v>
      </c>
      <c r="Q214">
        <v>0</v>
      </c>
      <c r="R214">
        <v>0</v>
      </c>
      <c r="S214" t="s">
        <v>34</v>
      </c>
      <c r="T214">
        <v>35</v>
      </c>
      <c r="U214">
        <v>195</v>
      </c>
      <c r="V214">
        <v>92</v>
      </c>
      <c r="W214" t="s">
        <v>48</v>
      </c>
      <c r="X214">
        <v>59.4</v>
      </c>
      <c r="Y214">
        <v>6.45</v>
      </c>
      <c r="Z214">
        <v>0.77</v>
      </c>
      <c r="AA214">
        <v>88.49</v>
      </c>
    </row>
    <row r="215" spans="1:27" x14ac:dyDescent="0.3">
      <c r="A215" t="s">
        <v>483</v>
      </c>
      <c r="B215" t="s">
        <v>37</v>
      </c>
      <c r="C215" t="s">
        <v>82</v>
      </c>
      <c r="D215" t="s">
        <v>484</v>
      </c>
      <c r="E215" t="s">
        <v>94</v>
      </c>
      <c r="F215" t="s">
        <v>32</v>
      </c>
      <c r="G215">
        <v>26</v>
      </c>
      <c r="H215">
        <v>0</v>
      </c>
      <c r="I215">
        <v>0</v>
      </c>
      <c r="J215">
        <v>50.41</v>
      </c>
      <c r="K215">
        <v>5.4</v>
      </c>
      <c r="L215">
        <v>8.59</v>
      </c>
      <c r="N215" t="s">
        <v>42</v>
      </c>
      <c r="Q215">
        <v>0</v>
      </c>
      <c r="R215">
        <v>3</v>
      </c>
      <c r="S215" t="s">
        <v>34</v>
      </c>
      <c r="T215">
        <v>31</v>
      </c>
      <c r="U215">
        <v>181</v>
      </c>
      <c r="V215">
        <v>63</v>
      </c>
      <c r="W215" t="s">
        <v>53</v>
      </c>
      <c r="X215">
        <v>59.1</v>
      </c>
      <c r="Y215">
        <v>8.06</v>
      </c>
      <c r="Z215">
        <v>1.31</v>
      </c>
      <c r="AA215">
        <v>86.71</v>
      </c>
    </row>
    <row r="216" spans="1:27" x14ac:dyDescent="0.3">
      <c r="A216" t="s">
        <v>485</v>
      </c>
      <c r="B216" t="s">
        <v>64</v>
      </c>
      <c r="C216" t="s">
        <v>38</v>
      </c>
      <c r="D216" t="s">
        <v>486</v>
      </c>
      <c r="E216" t="s">
        <v>31</v>
      </c>
      <c r="F216" t="s">
        <v>32</v>
      </c>
      <c r="G216">
        <v>35</v>
      </c>
      <c r="H216">
        <v>0</v>
      </c>
      <c r="I216">
        <v>4</v>
      </c>
      <c r="J216">
        <v>76.13</v>
      </c>
      <c r="K216">
        <v>14.3</v>
      </c>
      <c r="L216">
        <v>8.7899999999999991</v>
      </c>
      <c r="M216" s="1">
        <v>45018</v>
      </c>
      <c r="N216" t="s">
        <v>33</v>
      </c>
      <c r="P216">
        <v>45</v>
      </c>
      <c r="Q216">
        <v>0</v>
      </c>
      <c r="R216">
        <v>4</v>
      </c>
      <c r="S216" t="s">
        <v>34</v>
      </c>
      <c r="T216">
        <v>37</v>
      </c>
      <c r="U216">
        <v>185</v>
      </c>
      <c r="V216">
        <v>84</v>
      </c>
      <c r="W216" t="s">
        <v>53</v>
      </c>
      <c r="X216">
        <v>50.2</v>
      </c>
      <c r="Y216">
        <v>7.07</v>
      </c>
      <c r="Z216">
        <v>0.7</v>
      </c>
      <c r="AA216">
        <v>82.47</v>
      </c>
    </row>
    <row r="217" spans="1:27" x14ac:dyDescent="0.3">
      <c r="A217" t="s">
        <v>487</v>
      </c>
      <c r="B217" t="s">
        <v>68</v>
      </c>
      <c r="C217" t="s">
        <v>38</v>
      </c>
      <c r="D217" t="s">
        <v>488</v>
      </c>
      <c r="E217" t="s">
        <v>80</v>
      </c>
      <c r="F217" t="s">
        <v>41</v>
      </c>
      <c r="G217">
        <v>79</v>
      </c>
      <c r="H217">
        <v>1</v>
      </c>
      <c r="I217">
        <v>6</v>
      </c>
      <c r="J217">
        <v>90.25</v>
      </c>
      <c r="K217">
        <v>18.7</v>
      </c>
      <c r="L217">
        <v>11.06</v>
      </c>
      <c r="N217" t="s">
        <v>47</v>
      </c>
      <c r="O217" s="1">
        <v>45179</v>
      </c>
      <c r="Q217">
        <v>0</v>
      </c>
      <c r="R217">
        <v>1</v>
      </c>
      <c r="S217" t="s">
        <v>34</v>
      </c>
      <c r="T217">
        <v>35</v>
      </c>
      <c r="U217">
        <v>171</v>
      </c>
      <c r="V217">
        <v>79</v>
      </c>
      <c r="W217" t="s">
        <v>53</v>
      </c>
      <c r="X217">
        <v>42.2</v>
      </c>
      <c r="Y217">
        <v>9.34</v>
      </c>
      <c r="Z217">
        <v>0.85</v>
      </c>
      <c r="AA217">
        <v>82.87</v>
      </c>
    </row>
    <row r="218" spans="1:27" x14ac:dyDescent="0.3">
      <c r="A218" t="s">
        <v>489</v>
      </c>
      <c r="B218" t="s">
        <v>37</v>
      </c>
      <c r="C218" t="s">
        <v>29</v>
      </c>
      <c r="D218" t="s">
        <v>490</v>
      </c>
      <c r="E218" t="s">
        <v>80</v>
      </c>
      <c r="F218" t="s">
        <v>41</v>
      </c>
      <c r="G218">
        <v>21</v>
      </c>
      <c r="H218">
        <v>4</v>
      </c>
      <c r="I218">
        <v>6</v>
      </c>
      <c r="J218">
        <v>89.82</v>
      </c>
      <c r="K218">
        <v>18.600000000000001</v>
      </c>
      <c r="L218">
        <v>8.57</v>
      </c>
      <c r="N218" t="s">
        <v>47</v>
      </c>
      <c r="P218">
        <v>84</v>
      </c>
      <c r="Q218">
        <v>0</v>
      </c>
      <c r="R218">
        <v>1</v>
      </c>
      <c r="S218" t="s">
        <v>34</v>
      </c>
      <c r="T218">
        <v>27</v>
      </c>
      <c r="U218">
        <v>176</v>
      </c>
      <c r="V218">
        <v>93</v>
      </c>
      <c r="W218" t="s">
        <v>53</v>
      </c>
      <c r="X218">
        <v>52.3</v>
      </c>
      <c r="Y218">
        <v>6.06</v>
      </c>
      <c r="Z218">
        <v>0.84</v>
      </c>
      <c r="AA218">
        <v>86.23</v>
      </c>
    </row>
    <row r="219" spans="1:27" x14ac:dyDescent="0.3">
      <c r="A219" t="s">
        <v>491</v>
      </c>
      <c r="B219" t="s">
        <v>28</v>
      </c>
      <c r="C219" t="s">
        <v>65</v>
      </c>
      <c r="D219" t="s">
        <v>492</v>
      </c>
      <c r="E219" t="s">
        <v>56</v>
      </c>
      <c r="F219" t="s">
        <v>41</v>
      </c>
      <c r="G219">
        <v>20</v>
      </c>
      <c r="H219">
        <v>2</v>
      </c>
      <c r="I219">
        <v>2</v>
      </c>
      <c r="J219">
        <v>63.37</v>
      </c>
      <c r="K219">
        <v>9.8000000000000007</v>
      </c>
      <c r="L219">
        <v>10.34</v>
      </c>
      <c r="N219" t="s">
        <v>33</v>
      </c>
      <c r="O219" s="1">
        <v>45073</v>
      </c>
      <c r="Q219">
        <v>0</v>
      </c>
      <c r="R219">
        <v>3</v>
      </c>
      <c r="S219" t="s">
        <v>52</v>
      </c>
      <c r="T219">
        <v>19</v>
      </c>
      <c r="U219">
        <v>173</v>
      </c>
      <c r="V219">
        <v>85</v>
      </c>
      <c r="W219" t="s">
        <v>35</v>
      </c>
      <c r="X219">
        <v>49.3</v>
      </c>
      <c r="Y219">
        <v>7.52</v>
      </c>
      <c r="Z219">
        <v>1.48</v>
      </c>
      <c r="AA219">
        <v>90.89</v>
      </c>
    </row>
    <row r="220" spans="1:27" x14ac:dyDescent="0.3">
      <c r="A220" t="s">
        <v>493</v>
      </c>
      <c r="B220" t="s">
        <v>28</v>
      </c>
      <c r="C220" t="s">
        <v>38</v>
      </c>
      <c r="D220" t="s">
        <v>494</v>
      </c>
      <c r="E220" t="s">
        <v>31</v>
      </c>
      <c r="F220" t="s">
        <v>41</v>
      </c>
      <c r="G220">
        <v>67</v>
      </c>
      <c r="H220">
        <v>3</v>
      </c>
      <c r="I220">
        <v>1</v>
      </c>
      <c r="J220">
        <v>55.95</v>
      </c>
      <c r="K220">
        <v>6.8</v>
      </c>
      <c r="L220">
        <v>12.82</v>
      </c>
      <c r="N220" t="s">
        <v>43</v>
      </c>
      <c r="O220" s="1">
        <v>45048</v>
      </c>
      <c r="Q220">
        <v>0</v>
      </c>
      <c r="R220">
        <v>0</v>
      </c>
      <c r="S220" t="s">
        <v>61</v>
      </c>
      <c r="T220">
        <v>39</v>
      </c>
      <c r="U220">
        <v>173</v>
      </c>
      <c r="V220">
        <v>64</v>
      </c>
      <c r="W220" t="s">
        <v>35</v>
      </c>
      <c r="X220">
        <v>60.3</v>
      </c>
      <c r="Y220">
        <v>7.35</v>
      </c>
      <c r="Z220">
        <v>1.36</v>
      </c>
      <c r="AA220">
        <v>91.06</v>
      </c>
    </row>
    <row r="221" spans="1:27" x14ac:dyDescent="0.3">
      <c r="A221" t="s">
        <v>495</v>
      </c>
      <c r="B221" t="s">
        <v>28</v>
      </c>
      <c r="C221" t="s">
        <v>65</v>
      </c>
      <c r="D221" t="s">
        <v>496</v>
      </c>
      <c r="E221" t="s">
        <v>80</v>
      </c>
      <c r="F221" t="s">
        <v>32</v>
      </c>
      <c r="G221">
        <v>31</v>
      </c>
      <c r="H221">
        <v>4</v>
      </c>
      <c r="I221">
        <v>1</v>
      </c>
      <c r="J221">
        <v>55.78</v>
      </c>
      <c r="K221">
        <v>6.8</v>
      </c>
      <c r="L221">
        <v>12.05</v>
      </c>
      <c r="N221" t="s">
        <v>47</v>
      </c>
      <c r="Q221">
        <v>0</v>
      </c>
      <c r="R221">
        <v>4</v>
      </c>
      <c r="S221" t="s">
        <v>34</v>
      </c>
      <c r="T221">
        <v>18</v>
      </c>
      <c r="U221">
        <v>193</v>
      </c>
      <c r="V221">
        <v>94</v>
      </c>
      <c r="W221" t="s">
        <v>70</v>
      </c>
      <c r="X221">
        <v>58.2</v>
      </c>
      <c r="Y221">
        <v>6.08</v>
      </c>
      <c r="Z221">
        <v>1.2</v>
      </c>
      <c r="AA221">
        <v>75.150000000000006</v>
      </c>
    </row>
    <row r="222" spans="1:27" x14ac:dyDescent="0.3">
      <c r="A222" t="s">
        <v>497</v>
      </c>
      <c r="B222" t="s">
        <v>64</v>
      </c>
      <c r="C222" t="s">
        <v>65</v>
      </c>
      <c r="D222" t="s">
        <v>498</v>
      </c>
      <c r="E222" t="s">
        <v>31</v>
      </c>
      <c r="F222" t="s">
        <v>41</v>
      </c>
      <c r="G222">
        <v>88</v>
      </c>
      <c r="H222">
        <v>2</v>
      </c>
      <c r="I222">
        <v>2</v>
      </c>
      <c r="J222">
        <v>62.75</v>
      </c>
      <c r="K222">
        <v>9.8000000000000007</v>
      </c>
      <c r="L222">
        <v>9.4600000000000009</v>
      </c>
      <c r="N222" t="s">
        <v>33</v>
      </c>
      <c r="Q222">
        <v>1</v>
      </c>
      <c r="R222">
        <v>0</v>
      </c>
      <c r="S222" t="s">
        <v>61</v>
      </c>
      <c r="T222">
        <v>21</v>
      </c>
      <c r="U222">
        <v>179</v>
      </c>
      <c r="V222">
        <v>87</v>
      </c>
      <c r="W222" t="s">
        <v>53</v>
      </c>
      <c r="X222">
        <v>50.9</v>
      </c>
      <c r="Y222">
        <v>6.5</v>
      </c>
      <c r="Z222">
        <v>1.23</v>
      </c>
      <c r="AA222">
        <v>85</v>
      </c>
    </row>
    <row r="223" spans="1:27" x14ac:dyDescent="0.3">
      <c r="A223" t="s">
        <v>499</v>
      </c>
      <c r="B223" t="s">
        <v>37</v>
      </c>
      <c r="C223" t="s">
        <v>38</v>
      </c>
      <c r="D223" t="s">
        <v>500</v>
      </c>
      <c r="E223" t="s">
        <v>94</v>
      </c>
      <c r="F223" t="s">
        <v>32</v>
      </c>
      <c r="G223">
        <v>56</v>
      </c>
      <c r="H223">
        <v>2</v>
      </c>
      <c r="I223">
        <v>5</v>
      </c>
      <c r="J223">
        <v>82.95</v>
      </c>
      <c r="K223">
        <v>16.2</v>
      </c>
      <c r="L223">
        <v>13.64</v>
      </c>
      <c r="N223" t="s">
        <v>47</v>
      </c>
      <c r="P223">
        <v>60</v>
      </c>
      <c r="Q223">
        <v>0</v>
      </c>
      <c r="R223">
        <v>1</v>
      </c>
      <c r="S223" t="s">
        <v>52</v>
      </c>
      <c r="T223">
        <v>31</v>
      </c>
      <c r="U223">
        <v>170</v>
      </c>
      <c r="V223">
        <v>88</v>
      </c>
      <c r="W223" t="s">
        <v>35</v>
      </c>
      <c r="X223">
        <v>46.5</v>
      </c>
      <c r="Y223">
        <v>7.65</v>
      </c>
      <c r="Z223">
        <v>1.06</v>
      </c>
      <c r="AA223">
        <v>82.36</v>
      </c>
    </row>
    <row r="224" spans="1:27" x14ac:dyDescent="0.3">
      <c r="A224" t="s">
        <v>501</v>
      </c>
      <c r="B224" t="s">
        <v>64</v>
      </c>
      <c r="C224" t="s">
        <v>29</v>
      </c>
      <c r="D224" t="s">
        <v>502</v>
      </c>
      <c r="E224" t="s">
        <v>40</v>
      </c>
      <c r="F224" t="s">
        <v>41</v>
      </c>
      <c r="G224">
        <v>51</v>
      </c>
      <c r="H224">
        <v>0</v>
      </c>
      <c r="I224">
        <v>1</v>
      </c>
      <c r="J224">
        <v>55.6</v>
      </c>
      <c r="K224">
        <v>6.8</v>
      </c>
      <c r="L224">
        <v>10.58</v>
      </c>
      <c r="N224" t="s">
        <v>47</v>
      </c>
      <c r="Q224">
        <v>1</v>
      </c>
      <c r="R224">
        <v>4</v>
      </c>
      <c r="S224" t="s">
        <v>43</v>
      </c>
      <c r="T224">
        <v>18</v>
      </c>
      <c r="U224">
        <v>175</v>
      </c>
      <c r="V224">
        <v>68</v>
      </c>
      <c r="W224" t="s">
        <v>48</v>
      </c>
      <c r="X224">
        <v>69.599999999999994</v>
      </c>
      <c r="Y224">
        <v>7.97</v>
      </c>
      <c r="Z224">
        <v>1.45</v>
      </c>
      <c r="AA224">
        <v>96.12</v>
      </c>
    </row>
    <row r="225" spans="1:27" x14ac:dyDescent="0.3">
      <c r="A225" t="s">
        <v>503</v>
      </c>
      <c r="B225" t="s">
        <v>64</v>
      </c>
      <c r="C225" t="s">
        <v>65</v>
      </c>
      <c r="D225" t="s">
        <v>504</v>
      </c>
      <c r="E225" t="s">
        <v>75</v>
      </c>
      <c r="F225" t="s">
        <v>32</v>
      </c>
      <c r="G225">
        <v>28</v>
      </c>
      <c r="H225">
        <v>1</v>
      </c>
      <c r="I225">
        <v>3</v>
      </c>
      <c r="J225">
        <v>70.849999999999994</v>
      </c>
      <c r="K225">
        <v>12.1</v>
      </c>
      <c r="L225">
        <v>10.4</v>
      </c>
      <c r="N225" t="s">
        <v>42</v>
      </c>
      <c r="O225" s="1">
        <v>45085</v>
      </c>
      <c r="P225">
        <v>24</v>
      </c>
      <c r="Q225">
        <v>0</v>
      </c>
      <c r="R225">
        <v>0</v>
      </c>
      <c r="S225" t="s">
        <v>61</v>
      </c>
      <c r="T225">
        <v>31</v>
      </c>
      <c r="U225">
        <v>190</v>
      </c>
      <c r="V225">
        <v>97</v>
      </c>
      <c r="W225" t="s">
        <v>53</v>
      </c>
      <c r="X225">
        <v>53.6</v>
      </c>
      <c r="Y225">
        <v>7.62</v>
      </c>
      <c r="Z225">
        <v>1</v>
      </c>
      <c r="AA225">
        <v>88.94</v>
      </c>
    </row>
    <row r="226" spans="1:27" x14ac:dyDescent="0.3">
      <c r="A226" t="s">
        <v>505</v>
      </c>
      <c r="B226" t="s">
        <v>37</v>
      </c>
      <c r="C226" t="s">
        <v>38</v>
      </c>
      <c r="D226" t="s">
        <v>506</v>
      </c>
      <c r="E226" t="s">
        <v>94</v>
      </c>
      <c r="F226" t="s">
        <v>41</v>
      </c>
      <c r="G226">
        <v>38</v>
      </c>
      <c r="H226">
        <v>1</v>
      </c>
      <c r="I226">
        <v>0</v>
      </c>
      <c r="J226">
        <v>50.24</v>
      </c>
      <c r="K226">
        <v>5.3</v>
      </c>
      <c r="L226">
        <v>5.34</v>
      </c>
      <c r="N226" t="s">
        <v>43</v>
      </c>
      <c r="Q226">
        <v>0</v>
      </c>
      <c r="R226">
        <v>2</v>
      </c>
      <c r="S226" t="s">
        <v>34</v>
      </c>
      <c r="T226">
        <v>33</v>
      </c>
      <c r="U226">
        <v>165</v>
      </c>
      <c r="V226">
        <v>65</v>
      </c>
      <c r="W226" t="s">
        <v>48</v>
      </c>
      <c r="X226">
        <v>60.6</v>
      </c>
      <c r="Y226">
        <v>8.1199999999999992</v>
      </c>
      <c r="Z226">
        <v>0.88</v>
      </c>
      <c r="AA226">
        <v>85.98</v>
      </c>
    </row>
    <row r="227" spans="1:27" x14ac:dyDescent="0.3">
      <c r="A227" t="s">
        <v>507</v>
      </c>
      <c r="B227" t="s">
        <v>68</v>
      </c>
      <c r="C227" t="s">
        <v>38</v>
      </c>
      <c r="D227" t="s">
        <v>508</v>
      </c>
      <c r="E227" t="s">
        <v>75</v>
      </c>
      <c r="F227" t="s">
        <v>32</v>
      </c>
      <c r="G227">
        <v>67</v>
      </c>
      <c r="H227">
        <v>4</v>
      </c>
      <c r="I227">
        <v>6</v>
      </c>
      <c r="J227">
        <v>89.79</v>
      </c>
      <c r="K227">
        <v>18.600000000000001</v>
      </c>
      <c r="L227">
        <v>14.87</v>
      </c>
      <c r="N227" t="s">
        <v>33</v>
      </c>
      <c r="P227">
        <v>77</v>
      </c>
      <c r="Q227">
        <v>0</v>
      </c>
      <c r="R227">
        <v>3</v>
      </c>
      <c r="S227" t="s">
        <v>61</v>
      </c>
      <c r="T227">
        <v>39</v>
      </c>
      <c r="U227">
        <v>178</v>
      </c>
      <c r="V227">
        <v>78</v>
      </c>
      <c r="W227" t="s">
        <v>35</v>
      </c>
      <c r="X227">
        <v>44.2</v>
      </c>
      <c r="Y227">
        <v>8.3800000000000008</v>
      </c>
      <c r="Z227">
        <v>0.66</v>
      </c>
      <c r="AA227">
        <v>73.459999999999994</v>
      </c>
    </row>
    <row r="228" spans="1:27" x14ac:dyDescent="0.3">
      <c r="A228" t="s">
        <v>509</v>
      </c>
      <c r="B228" t="s">
        <v>68</v>
      </c>
      <c r="C228" t="s">
        <v>29</v>
      </c>
      <c r="D228" t="s">
        <v>510</v>
      </c>
      <c r="E228" t="s">
        <v>56</v>
      </c>
      <c r="F228" t="s">
        <v>32</v>
      </c>
      <c r="G228">
        <v>22</v>
      </c>
      <c r="H228">
        <v>1</v>
      </c>
      <c r="I228">
        <v>6</v>
      </c>
      <c r="J228">
        <v>89.73</v>
      </c>
      <c r="K228">
        <v>18.600000000000001</v>
      </c>
      <c r="L228">
        <v>6.23</v>
      </c>
      <c r="N228" t="s">
        <v>47</v>
      </c>
      <c r="P228">
        <v>30</v>
      </c>
      <c r="Q228">
        <v>0</v>
      </c>
      <c r="R228">
        <v>3</v>
      </c>
      <c r="S228" t="s">
        <v>52</v>
      </c>
      <c r="T228">
        <v>31</v>
      </c>
      <c r="U228">
        <v>196</v>
      </c>
      <c r="V228">
        <v>70</v>
      </c>
      <c r="W228" t="s">
        <v>53</v>
      </c>
      <c r="X228">
        <v>54.6</v>
      </c>
      <c r="Y228">
        <v>6.04</v>
      </c>
      <c r="Z228">
        <v>1.29</v>
      </c>
      <c r="AA228">
        <v>88.17</v>
      </c>
    </row>
    <row r="229" spans="1:27" x14ac:dyDescent="0.3">
      <c r="A229" t="s">
        <v>511</v>
      </c>
      <c r="B229" t="s">
        <v>64</v>
      </c>
      <c r="C229" t="s">
        <v>29</v>
      </c>
      <c r="D229" t="s">
        <v>512</v>
      </c>
      <c r="E229" t="s">
        <v>56</v>
      </c>
      <c r="F229" t="s">
        <v>32</v>
      </c>
      <c r="G229">
        <v>39</v>
      </c>
      <c r="H229">
        <v>3</v>
      </c>
      <c r="I229">
        <v>3</v>
      </c>
      <c r="J229">
        <v>70.790000000000006</v>
      </c>
      <c r="K229">
        <v>12.1</v>
      </c>
      <c r="L229">
        <v>7.31</v>
      </c>
      <c r="N229" t="s">
        <v>47</v>
      </c>
      <c r="Q229">
        <v>0</v>
      </c>
      <c r="R229">
        <v>2</v>
      </c>
      <c r="S229" t="s">
        <v>52</v>
      </c>
      <c r="T229">
        <v>37</v>
      </c>
      <c r="U229">
        <v>163</v>
      </c>
      <c r="V229">
        <v>61</v>
      </c>
      <c r="W229" t="s">
        <v>62</v>
      </c>
      <c r="X229">
        <v>40.799999999999997</v>
      </c>
      <c r="Y229">
        <v>7.86</v>
      </c>
      <c r="Z229">
        <v>1.23</v>
      </c>
      <c r="AA229">
        <v>73.52</v>
      </c>
    </row>
    <row r="230" spans="1:27" x14ac:dyDescent="0.3">
      <c r="A230" t="s">
        <v>513</v>
      </c>
      <c r="B230" t="s">
        <v>68</v>
      </c>
      <c r="C230" t="s">
        <v>29</v>
      </c>
      <c r="D230" t="s">
        <v>514</v>
      </c>
      <c r="E230" t="s">
        <v>56</v>
      </c>
      <c r="F230" t="s">
        <v>32</v>
      </c>
      <c r="G230">
        <v>43</v>
      </c>
      <c r="H230">
        <v>1</v>
      </c>
      <c r="I230">
        <v>1</v>
      </c>
      <c r="J230">
        <v>55.42</v>
      </c>
      <c r="K230">
        <v>6.7</v>
      </c>
      <c r="L230">
        <v>5.52</v>
      </c>
      <c r="N230" t="s">
        <v>33</v>
      </c>
      <c r="P230">
        <v>22</v>
      </c>
      <c r="Q230">
        <v>0</v>
      </c>
      <c r="R230">
        <v>1</v>
      </c>
      <c r="S230" t="s">
        <v>61</v>
      </c>
      <c r="T230">
        <v>20</v>
      </c>
      <c r="U230">
        <v>163</v>
      </c>
      <c r="V230">
        <v>68</v>
      </c>
      <c r="W230" t="s">
        <v>35</v>
      </c>
      <c r="X230">
        <v>55.2</v>
      </c>
      <c r="Y230">
        <v>9.85</v>
      </c>
      <c r="Z230">
        <v>0.88</v>
      </c>
      <c r="AA230">
        <v>80.12</v>
      </c>
    </row>
    <row r="231" spans="1:27" x14ac:dyDescent="0.3">
      <c r="A231" t="s">
        <v>515</v>
      </c>
      <c r="B231" t="s">
        <v>37</v>
      </c>
      <c r="C231" t="s">
        <v>38</v>
      </c>
      <c r="D231" t="s">
        <v>516</v>
      </c>
      <c r="E231" t="s">
        <v>56</v>
      </c>
      <c r="F231" t="s">
        <v>41</v>
      </c>
      <c r="G231">
        <v>73</v>
      </c>
      <c r="H231">
        <v>4</v>
      </c>
      <c r="I231">
        <v>6</v>
      </c>
      <c r="J231">
        <v>89.67</v>
      </c>
      <c r="K231">
        <v>18.5</v>
      </c>
      <c r="L231">
        <v>11.4</v>
      </c>
      <c r="N231" t="s">
        <v>47</v>
      </c>
      <c r="P231">
        <v>28</v>
      </c>
      <c r="Q231">
        <v>0</v>
      </c>
      <c r="R231">
        <v>4</v>
      </c>
      <c r="S231" t="s">
        <v>61</v>
      </c>
      <c r="T231">
        <v>20</v>
      </c>
      <c r="U231">
        <v>179</v>
      </c>
      <c r="V231">
        <v>80</v>
      </c>
      <c r="W231" t="s">
        <v>35</v>
      </c>
      <c r="X231">
        <v>68.900000000000006</v>
      </c>
      <c r="Y231">
        <v>8.08</v>
      </c>
      <c r="Z231">
        <v>0.53</v>
      </c>
      <c r="AA231">
        <v>74.290000000000006</v>
      </c>
    </row>
    <row r="232" spans="1:27" x14ac:dyDescent="0.3">
      <c r="A232" t="s">
        <v>517</v>
      </c>
      <c r="B232" t="s">
        <v>64</v>
      </c>
      <c r="C232" t="s">
        <v>38</v>
      </c>
      <c r="D232" t="s">
        <v>518</v>
      </c>
      <c r="E232" t="s">
        <v>80</v>
      </c>
      <c r="F232" t="s">
        <v>41</v>
      </c>
      <c r="G232">
        <v>52</v>
      </c>
      <c r="H232">
        <v>1</v>
      </c>
      <c r="I232">
        <v>4</v>
      </c>
      <c r="J232">
        <v>75.8</v>
      </c>
      <c r="K232">
        <v>14.3</v>
      </c>
      <c r="L232">
        <v>7.25</v>
      </c>
      <c r="M232" s="1">
        <v>45287</v>
      </c>
      <c r="N232" t="s">
        <v>47</v>
      </c>
      <c r="Q232">
        <v>0</v>
      </c>
      <c r="R232">
        <v>3</v>
      </c>
      <c r="S232" t="s">
        <v>61</v>
      </c>
      <c r="T232">
        <v>26</v>
      </c>
      <c r="U232">
        <v>169</v>
      </c>
      <c r="V232">
        <v>83</v>
      </c>
      <c r="W232" t="s">
        <v>53</v>
      </c>
      <c r="X232">
        <v>51.5</v>
      </c>
      <c r="Y232">
        <v>8.7100000000000009</v>
      </c>
      <c r="Z232">
        <v>1.34</v>
      </c>
      <c r="AA232">
        <v>90.76</v>
      </c>
    </row>
    <row r="233" spans="1:27" x14ac:dyDescent="0.3">
      <c r="A233" t="s">
        <v>519</v>
      </c>
      <c r="B233" t="s">
        <v>68</v>
      </c>
      <c r="C233" t="s">
        <v>29</v>
      </c>
      <c r="D233" t="s">
        <v>520</v>
      </c>
      <c r="E233" t="s">
        <v>75</v>
      </c>
      <c r="F233" t="s">
        <v>41</v>
      </c>
      <c r="G233">
        <v>43</v>
      </c>
      <c r="H233">
        <v>3</v>
      </c>
      <c r="I233">
        <v>0</v>
      </c>
      <c r="J233">
        <v>50.23</v>
      </c>
      <c r="K233">
        <v>5.3</v>
      </c>
      <c r="L233">
        <v>6.8</v>
      </c>
      <c r="N233" t="s">
        <v>47</v>
      </c>
      <c r="O233" s="1">
        <v>45073</v>
      </c>
      <c r="Q233">
        <v>0</v>
      </c>
      <c r="R233">
        <v>2</v>
      </c>
      <c r="S233" t="s">
        <v>43</v>
      </c>
      <c r="T233">
        <v>23</v>
      </c>
      <c r="U233">
        <v>183</v>
      </c>
      <c r="V233">
        <v>93</v>
      </c>
      <c r="W233" t="s">
        <v>70</v>
      </c>
      <c r="X233">
        <v>41.2</v>
      </c>
      <c r="Y233">
        <v>7.25</v>
      </c>
      <c r="Z233">
        <v>0.51</v>
      </c>
      <c r="AA233">
        <v>76.19</v>
      </c>
    </row>
    <row r="234" spans="1:27" x14ac:dyDescent="0.3">
      <c r="A234" t="s">
        <v>521</v>
      </c>
      <c r="B234" t="s">
        <v>28</v>
      </c>
      <c r="C234" t="s">
        <v>29</v>
      </c>
      <c r="D234" t="s">
        <v>522</v>
      </c>
      <c r="E234" t="s">
        <v>56</v>
      </c>
      <c r="F234" t="s">
        <v>32</v>
      </c>
      <c r="G234">
        <v>94</v>
      </c>
      <c r="H234">
        <v>0</v>
      </c>
      <c r="I234">
        <v>0</v>
      </c>
      <c r="J234">
        <v>50.23</v>
      </c>
      <c r="K234">
        <v>5.2</v>
      </c>
      <c r="L234">
        <v>5.89</v>
      </c>
      <c r="N234" t="s">
        <v>33</v>
      </c>
      <c r="O234" s="1">
        <v>45029</v>
      </c>
      <c r="P234">
        <v>43</v>
      </c>
      <c r="Q234">
        <v>0</v>
      </c>
      <c r="R234">
        <v>2</v>
      </c>
      <c r="S234" t="s">
        <v>43</v>
      </c>
      <c r="T234">
        <v>30</v>
      </c>
      <c r="U234">
        <v>194</v>
      </c>
      <c r="V234">
        <v>81</v>
      </c>
      <c r="W234" t="s">
        <v>70</v>
      </c>
      <c r="X234">
        <v>40.9</v>
      </c>
      <c r="Y234">
        <v>9.1</v>
      </c>
      <c r="Z234">
        <v>1.2</v>
      </c>
      <c r="AA234">
        <v>81.760000000000005</v>
      </c>
    </row>
    <row r="235" spans="1:27" x14ac:dyDescent="0.3">
      <c r="A235" t="s">
        <v>523</v>
      </c>
      <c r="B235" t="s">
        <v>64</v>
      </c>
      <c r="C235" t="s">
        <v>29</v>
      </c>
      <c r="D235" t="s">
        <v>524</v>
      </c>
      <c r="E235" t="s">
        <v>40</v>
      </c>
      <c r="F235" t="s">
        <v>41</v>
      </c>
      <c r="G235">
        <v>91</v>
      </c>
      <c r="H235">
        <v>4</v>
      </c>
      <c r="I235">
        <v>6</v>
      </c>
      <c r="J235">
        <v>89.56</v>
      </c>
      <c r="K235">
        <v>18.5</v>
      </c>
      <c r="L235">
        <v>6.03</v>
      </c>
      <c r="N235" t="s">
        <v>43</v>
      </c>
      <c r="Q235">
        <v>0</v>
      </c>
      <c r="R235">
        <v>1</v>
      </c>
      <c r="S235" t="s">
        <v>34</v>
      </c>
      <c r="T235">
        <v>38</v>
      </c>
      <c r="U235">
        <v>185</v>
      </c>
      <c r="V235">
        <v>62</v>
      </c>
      <c r="W235" t="s">
        <v>53</v>
      </c>
      <c r="X235">
        <v>51.6</v>
      </c>
      <c r="Y235">
        <v>9.09</v>
      </c>
      <c r="Z235">
        <v>1.47</v>
      </c>
      <c r="AA235">
        <v>96.87</v>
      </c>
    </row>
    <row r="236" spans="1:27" x14ac:dyDescent="0.3">
      <c r="A236" t="s">
        <v>525</v>
      </c>
      <c r="B236" t="s">
        <v>28</v>
      </c>
      <c r="C236" t="s">
        <v>38</v>
      </c>
      <c r="D236" t="s">
        <v>526</v>
      </c>
      <c r="E236" t="s">
        <v>75</v>
      </c>
      <c r="F236" t="s">
        <v>32</v>
      </c>
      <c r="G236">
        <v>55</v>
      </c>
      <c r="H236">
        <v>0</v>
      </c>
      <c r="I236">
        <v>2</v>
      </c>
      <c r="J236">
        <v>62.66</v>
      </c>
      <c r="K236">
        <v>9.8000000000000007</v>
      </c>
      <c r="L236">
        <v>10.85</v>
      </c>
      <c r="N236" t="s">
        <v>42</v>
      </c>
      <c r="O236" s="1">
        <v>45215</v>
      </c>
      <c r="P236">
        <v>87</v>
      </c>
      <c r="Q236">
        <v>0</v>
      </c>
      <c r="R236">
        <v>1</v>
      </c>
      <c r="S236" t="s">
        <v>34</v>
      </c>
      <c r="T236">
        <v>19</v>
      </c>
      <c r="U236">
        <v>196</v>
      </c>
      <c r="V236">
        <v>71</v>
      </c>
      <c r="W236" t="s">
        <v>53</v>
      </c>
      <c r="X236">
        <v>44.8</v>
      </c>
      <c r="Y236">
        <v>8.09</v>
      </c>
      <c r="Z236">
        <v>0.94</v>
      </c>
      <c r="AA236">
        <v>76.13</v>
      </c>
    </row>
    <row r="237" spans="1:27" x14ac:dyDescent="0.3">
      <c r="A237" t="s">
        <v>527</v>
      </c>
      <c r="B237" t="s">
        <v>37</v>
      </c>
      <c r="C237" t="s">
        <v>29</v>
      </c>
      <c r="D237" t="s">
        <v>528</v>
      </c>
      <c r="E237" t="s">
        <v>80</v>
      </c>
      <c r="F237" t="s">
        <v>32</v>
      </c>
      <c r="G237">
        <v>57</v>
      </c>
      <c r="H237">
        <v>0</v>
      </c>
      <c r="I237">
        <v>6</v>
      </c>
      <c r="J237">
        <v>89.45</v>
      </c>
      <c r="K237">
        <v>18.399999999999999</v>
      </c>
      <c r="L237">
        <v>11.88</v>
      </c>
      <c r="N237" t="s">
        <v>47</v>
      </c>
      <c r="Q237">
        <v>1</v>
      </c>
      <c r="R237">
        <v>0</v>
      </c>
      <c r="S237" t="s">
        <v>52</v>
      </c>
      <c r="T237">
        <v>25</v>
      </c>
      <c r="U237">
        <v>197</v>
      </c>
      <c r="V237">
        <v>87</v>
      </c>
      <c r="W237" t="s">
        <v>35</v>
      </c>
      <c r="X237">
        <v>40.700000000000003</v>
      </c>
      <c r="Y237">
        <v>9.9</v>
      </c>
      <c r="Z237">
        <v>0.73</v>
      </c>
      <c r="AA237">
        <v>85.23</v>
      </c>
    </row>
    <row r="238" spans="1:27" x14ac:dyDescent="0.3">
      <c r="A238" t="s">
        <v>529</v>
      </c>
      <c r="B238" t="s">
        <v>37</v>
      </c>
      <c r="C238" t="s">
        <v>29</v>
      </c>
      <c r="D238" t="s">
        <v>530</v>
      </c>
      <c r="E238" t="s">
        <v>51</v>
      </c>
      <c r="F238" t="s">
        <v>41</v>
      </c>
      <c r="G238">
        <v>44</v>
      </c>
      <c r="H238">
        <v>0</v>
      </c>
      <c r="I238">
        <v>2</v>
      </c>
      <c r="J238">
        <v>62.48</v>
      </c>
      <c r="K238">
        <v>9.8000000000000007</v>
      </c>
      <c r="L238">
        <v>8.9700000000000006</v>
      </c>
      <c r="N238" t="s">
        <v>33</v>
      </c>
      <c r="P238">
        <v>77</v>
      </c>
      <c r="Q238">
        <v>0</v>
      </c>
      <c r="R238">
        <v>3</v>
      </c>
      <c r="S238" t="s">
        <v>34</v>
      </c>
      <c r="T238">
        <v>38</v>
      </c>
      <c r="U238">
        <v>180</v>
      </c>
      <c r="V238">
        <v>89</v>
      </c>
      <c r="W238" t="s">
        <v>44</v>
      </c>
      <c r="X238">
        <v>62.7</v>
      </c>
      <c r="Y238">
        <v>6.5</v>
      </c>
      <c r="Z238">
        <v>1.2</v>
      </c>
      <c r="AA238">
        <v>82.58</v>
      </c>
    </row>
    <row r="239" spans="1:27" x14ac:dyDescent="0.3">
      <c r="A239" t="s">
        <v>531</v>
      </c>
      <c r="B239" t="s">
        <v>68</v>
      </c>
      <c r="C239" t="s">
        <v>29</v>
      </c>
      <c r="D239" t="s">
        <v>532</v>
      </c>
      <c r="E239" t="s">
        <v>40</v>
      </c>
      <c r="F239" t="s">
        <v>41</v>
      </c>
      <c r="G239">
        <v>37</v>
      </c>
      <c r="H239">
        <v>2</v>
      </c>
      <c r="I239">
        <v>6</v>
      </c>
      <c r="J239">
        <v>89.07</v>
      </c>
      <c r="K239">
        <v>18.399999999999999</v>
      </c>
      <c r="L239">
        <v>9.8000000000000007</v>
      </c>
      <c r="N239" t="s">
        <v>42</v>
      </c>
      <c r="P239">
        <v>61</v>
      </c>
      <c r="Q239">
        <v>0</v>
      </c>
      <c r="R239">
        <v>0</v>
      </c>
      <c r="S239" t="s">
        <v>52</v>
      </c>
      <c r="T239">
        <v>19</v>
      </c>
      <c r="U239">
        <v>199</v>
      </c>
      <c r="V239">
        <v>85</v>
      </c>
      <c r="W239" t="s">
        <v>70</v>
      </c>
      <c r="X239">
        <v>53.8</v>
      </c>
      <c r="Y239">
        <v>6.07</v>
      </c>
      <c r="Z239">
        <v>1.32</v>
      </c>
      <c r="AA239">
        <v>70.540000000000006</v>
      </c>
    </row>
    <row r="240" spans="1:27" x14ac:dyDescent="0.3">
      <c r="A240" t="s">
        <v>533</v>
      </c>
      <c r="B240" t="s">
        <v>28</v>
      </c>
      <c r="C240" t="s">
        <v>38</v>
      </c>
      <c r="D240" t="s">
        <v>534</v>
      </c>
      <c r="E240" t="s">
        <v>51</v>
      </c>
      <c r="F240" t="s">
        <v>32</v>
      </c>
      <c r="G240">
        <v>85</v>
      </c>
      <c r="H240">
        <v>2</v>
      </c>
      <c r="I240">
        <v>4</v>
      </c>
      <c r="J240">
        <v>75.760000000000005</v>
      </c>
      <c r="K240">
        <v>14.2</v>
      </c>
      <c r="L240">
        <v>11.86</v>
      </c>
      <c r="N240" t="s">
        <v>33</v>
      </c>
      <c r="P240">
        <v>36</v>
      </c>
      <c r="Q240">
        <v>1</v>
      </c>
      <c r="R240">
        <v>2</v>
      </c>
      <c r="S240" t="s">
        <v>52</v>
      </c>
      <c r="T240">
        <v>21</v>
      </c>
      <c r="U240">
        <v>198</v>
      </c>
      <c r="V240">
        <v>80</v>
      </c>
      <c r="W240" t="s">
        <v>48</v>
      </c>
      <c r="X240">
        <v>48.7</v>
      </c>
      <c r="Y240">
        <v>9.08</v>
      </c>
      <c r="Z240">
        <v>1.05</v>
      </c>
      <c r="AA240">
        <v>93.78</v>
      </c>
    </row>
    <row r="241" spans="1:27" x14ac:dyDescent="0.3">
      <c r="A241" t="s">
        <v>535</v>
      </c>
      <c r="B241" t="s">
        <v>64</v>
      </c>
      <c r="C241" t="s">
        <v>29</v>
      </c>
      <c r="D241" t="s">
        <v>536</v>
      </c>
      <c r="E241" t="s">
        <v>80</v>
      </c>
      <c r="F241" t="s">
        <v>32</v>
      </c>
      <c r="G241">
        <v>73</v>
      </c>
      <c r="H241">
        <v>0</v>
      </c>
      <c r="I241">
        <v>5</v>
      </c>
      <c r="J241">
        <v>82.95</v>
      </c>
      <c r="K241">
        <v>16.100000000000001</v>
      </c>
      <c r="L241">
        <v>5.17</v>
      </c>
      <c r="N241" t="s">
        <v>42</v>
      </c>
      <c r="P241">
        <v>38</v>
      </c>
      <c r="Q241">
        <v>0</v>
      </c>
      <c r="R241">
        <v>4</v>
      </c>
      <c r="S241" t="s">
        <v>34</v>
      </c>
      <c r="T241">
        <v>32</v>
      </c>
      <c r="U241">
        <v>180</v>
      </c>
      <c r="V241">
        <v>87</v>
      </c>
      <c r="W241" t="s">
        <v>44</v>
      </c>
      <c r="X241">
        <v>67</v>
      </c>
      <c r="Y241">
        <v>9.23</v>
      </c>
      <c r="Z241">
        <v>1.47</v>
      </c>
      <c r="AA241">
        <v>72.069999999999993</v>
      </c>
    </row>
    <row r="242" spans="1:27" x14ac:dyDescent="0.3">
      <c r="A242" t="s">
        <v>537</v>
      </c>
      <c r="B242" t="s">
        <v>28</v>
      </c>
      <c r="C242" t="s">
        <v>38</v>
      </c>
      <c r="D242" t="s">
        <v>538</v>
      </c>
      <c r="E242" t="s">
        <v>40</v>
      </c>
      <c r="F242" t="s">
        <v>32</v>
      </c>
      <c r="G242">
        <v>54</v>
      </c>
      <c r="H242">
        <v>4</v>
      </c>
      <c r="I242">
        <v>0</v>
      </c>
      <c r="J242">
        <v>50.15</v>
      </c>
      <c r="K242">
        <v>5.2</v>
      </c>
      <c r="L242">
        <v>8.23</v>
      </c>
      <c r="N242" t="s">
        <v>47</v>
      </c>
      <c r="Q242">
        <v>0</v>
      </c>
      <c r="R242">
        <v>4</v>
      </c>
      <c r="S242" t="s">
        <v>43</v>
      </c>
      <c r="T242">
        <v>21</v>
      </c>
      <c r="U242">
        <v>169</v>
      </c>
      <c r="V242">
        <v>85</v>
      </c>
      <c r="W242" t="s">
        <v>48</v>
      </c>
      <c r="X242">
        <v>43.5</v>
      </c>
      <c r="Y242">
        <v>6.48</v>
      </c>
      <c r="Z242">
        <v>0.55000000000000004</v>
      </c>
      <c r="AA242">
        <v>84.23</v>
      </c>
    </row>
    <row r="243" spans="1:27" x14ac:dyDescent="0.3">
      <c r="A243" t="s">
        <v>539</v>
      </c>
      <c r="B243" t="s">
        <v>28</v>
      </c>
      <c r="C243" t="s">
        <v>29</v>
      </c>
      <c r="D243" t="s">
        <v>540</v>
      </c>
      <c r="E243" t="s">
        <v>56</v>
      </c>
      <c r="F243" t="s">
        <v>32</v>
      </c>
      <c r="G243">
        <v>80</v>
      </c>
      <c r="H243">
        <v>3</v>
      </c>
      <c r="I243">
        <v>6</v>
      </c>
      <c r="J243">
        <v>88.9</v>
      </c>
      <c r="K243">
        <v>18.399999999999999</v>
      </c>
      <c r="L243">
        <v>14.73</v>
      </c>
      <c r="N243" t="s">
        <v>43</v>
      </c>
      <c r="Q243">
        <v>0</v>
      </c>
      <c r="R243">
        <v>1</v>
      </c>
      <c r="S243" t="s">
        <v>34</v>
      </c>
      <c r="T243">
        <v>30</v>
      </c>
      <c r="U243">
        <v>197</v>
      </c>
      <c r="V243">
        <v>92</v>
      </c>
      <c r="W243" t="s">
        <v>35</v>
      </c>
      <c r="X243">
        <v>68.7</v>
      </c>
      <c r="Y243">
        <v>7.06</v>
      </c>
      <c r="Z243">
        <v>1</v>
      </c>
      <c r="AA243">
        <v>86.82</v>
      </c>
    </row>
    <row r="244" spans="1:27" x14ac:dyDescent="0.3">
      <c r="A244" t="s">
        <v>541</v>
      </c>
      <c r="B244" t="s">
        <v>28</v>
      </c>
      <c r="C244" t="s">
        <v>38</v>
      </c>
      <c r="D244" t="s">
        <v>542</v>
      </c>
      <c r="E244" t="s">
        <v>56</v>
      </c>
      <c r="F244" t="s">
        <v>41</v>
      </c>
      <c r="G244">
        <v>60</v>
      </c>
      <c r="H244">
        <v>3</v>
      </c>
      <c r="I244">
        <v>4</v>
      </c>
      <c r="J244">
        <v>75.709999999999994</v>
      </c>
      <c r="K244">
        <v>14.2</v>
      </c>
      <c r="L244">
        <v>10.8</v>
      </c>
      <c r="N244" t="s">
        <v>42</v>
      </c>
      <c r="P244">
        <v>37</v>
      </c>
      <c r="Q244">
        <v>0</v>
      </c>
      <c r="R244">
        <v>4</v>
      </c>
      <c r="S244" t="s">
        <v>34</v>
      </c>
      <c r="T244">
        <v>29</v>
      </c>
      <c r="U244">
        <v>163</v>
      </c>
      <c r="V244">
        <v>80</v>
      </c>
      <c r="W244" t="s">
        <v>70</v>
      </c>
      <c r="X244">
        <v>49.4</v>
      </c>
      <c r="Y244">
        <v>6.07</v>
      </c>
      <c r="Z244">
        <v>1.22</v>
      </c>
      <c r="AA244">
        <v>88.85</v>
      </c>
    </row>
    <row r="245" spans="1:27" x14ac:dyDescent="0.3">
      <c r="A245" t="s">
        <v>543</v>
      </c>
      <c r="B245" t="s">
        <v>37</v>
      </c>
      <c r="C245" t="s">
        <v>65</v>
      </c>
      <c r="D245" t="s">
        <v>544</v>
      </c>
      <c r="E245" t="s">
        <v>56</v>
      </c>
      <c r="F245" t="s">
        <v>41</v>
      </c>
      <c r="G245">
        <v>52</v>
      </c>
      <c r="H245">
        <v>1</v>
      </c>
      <c r="I245">
        <v>2</v>
      </c>
      <c r="J245">
        <v>62.28</v>
      </c>
      <c r="K245">
        <v>9.8000000000000007</v>
      </c>
      <c r="L245">
        <v>7.54</v>
      </c>
      <c r="N245" t="s">
        <v>42</v>
      </c>
      <c r="O245" s="1">
        <v>45123</v>
      </c>
      <c r="Q245">
        <v>0</v>
      </c>
      <c r="R245">
        <v>4</v>
      </c>
      <c r="S245" t="s">
        <v>52</v>
      </c>
      <c r="T245">
        <v>30</v>
      </c>
      <c r="U245">
        <v>179</v>
      </c>
      <c r="V245">
        <v>94</v>
      </c>
      <c r="W245" t="s">
        <v>53</v>
      </c>
      <c r="X245">
        <v>66.7</v>
      </c>
      <c r="Y245">
        <v>7.17</v>
      </c>
      <c r="Z245">
        <v>1.36</v>
      </c>
      <c r="AA245">
        <v>90.66</v>
      </c>
    </row>
    <row r="246" spans="1:27" x14ac:dyDescent="0.3">
      <c r="A246" t="s">
        <v>545</v>
      </c>
      <c r="B246" t="s">
        <v>37</v>
      </c>
      <c r="C246" t="s">
        <v>65</v>
      </c>
      <c r="D246" t="s">
        <v>546</v>
      </c>
      <c r="E246" t="s">
        <v>94</v>
      </c>
      <c r="F246" t="s">
        <v>32</v>
      </c>
      <c r="G246">
        <v>87</v>
      </c>
      <c r="H246">
        <v>4</v>
      </c>
      <c r="I246">
        <v>2</v>
      </c>
      <c r="J246">
        <v>62.23</v>
      </c>
      <c r="K246">
        <v>9.6</v>
      </c>
      <c r="L246">
        <v>10.220000000000001</v>
      </c>
      <c r="N246" t="s">
        <v>47</v>
      </c>
      <c r="P246">
        <v>44</v>
      </c>
      <c r="Q246">
        <v>1</v>
      </c>
      <c r="R246">
        <v>4</v>
      </c>
      <c r="S246" t="s">
        <v>43</v>
      </c>
      <c r="T246">
        <v>31</v>
      </c>
      <c r="U246">
        <v>176</v>
      </c>
      <c r="V246">
        <v>93</v>
      </c>
      <c r="W246" t="s">
        <v>53</v>
      </c>
      <c r="X246">
        <v>58.1</v>
      </c>
      <c r="Y246">
        <v>9.09</v>
      </c>
      <c r="Z246">
        <v>0.68</v>
      </c>
      <c r="AA246">
        <v>77.599999999999994</v>
      </c>
    </row>
    <row r="247" spans="1:27" x14ac:dyDescent="0.3">
      <c r="A247" t="s">
        <v>547</v>
      </c>
      <c r="B247" t="s">
        <v>68</v>
      </c>
      <c r="C247" t="s">
        <v>29</v>
      </c>
      <c r="D247" t="s">
        <v>548</v>
      </c>
      <c r="E247" t="s">
        <v>40</v>
      </c>
      <c r="F247" t="s">
        <v>32</v>
      </c>
      <c r="G247">
        <v>52</v>
      </c>
      <c r="H247">
        <v>2</v>
      </c>
      <c r="I247">
        <v>0</v>
      </c>
      <c r="J247">
        <v>50.11</v>
      </c>
      <c r="K247">
        <v>5.2</v>
      </c>
      <c r="L247">
        <v>8.43</v>
      </c>
      <c r="M247" s="1">
        <v>45181</v>
      </c>
      <c r="N247" t="s">
        <v>42</v>
      </c>
      <c r="O247" s="1">
        <v>45027</v>
      </c>
      <c r="P247">
        <v>17</v>
      </c>
      <c r="Q247">
        <v>0</v>
      </c>
      <c r="R247">
        <v>2</v>
      </c>
      <c r="S247" t="s">
        <v>34</v>
      </c>
      <c r="T247">
        <v>37</v>
      </c>
      <c r="U247">
        <v>166</v>
      </c>
      <c r="V247">
        <v>77</v>
      </c>
      <c r="W247" t="s">
        <v>70</v>
      </c>
      <c r="X247">
        <v>64.8</v>
      </c>
      <c r="Y247">
        <v>8.07</v>
      </c>
      <c r="Z247">
        <v>1.3</v>
      </c>
      <c r="AA247">
        <v>70.3</v>
      </c>
    </row>
    <row r="248" spans="1:27" x14ac:dyDescent="0.3">
      <c r="A248" t="s">
        <v>549</v>
      </c>
      <c r="B248" t="s">
        <v>68</v>
      </c>
      <c r="C248" t="s">
        <v>65</v>
      </c>
      <c r="D248" t="s">
        <v>550</v>
      </c>
      <c r="E248" t="s">
        <v>94</v>
      </c>
      <c r="F248" t="s">
        <v>32</v>
      </c>
      <c r="G248">
        <v>33</v>
      </c>
      <c r="H248">
        <v>0</v>
      </c>
      <c r="I248">
        <v>3</v>
      </c>
      <c r="J248">
        <v>70.69</v>
      </c>
      <c r="K248">
        <v>12</v>
      </c>
      <c r="L248">
        <v>10.32</v>
      </c>
      <c r="M248" s="1">
        <v>45155</v>
      </c>
      <c r="N248" t="s">
        <v>42</v>
      </c>
      <c r="Q248">
        <v>0</v>
      </c>
      <c r="R248">
        <v>4</v>
      </c>
      <c r="S248" t="s">
        <v>52</v>
      </c>
      <c r="T248">
        <v>35</v>
      </c>
      <c r="U248">
        <v>163</v>
      </c>
      <c r="V248">
        <v>70</v>
      </c>
      <c r="W248" t="s">
        <v>44</v>
      </c>
      <c r="X248">
        <v>69.5</v>
      </c>
      <c r="Y248">
        <v>7.39</v>
      </c>
      <c r="Z248">
        <v>1.05</v>
      </c>
      <c r="AA248">
        <v>91.7</v>
      </c>
    </row>
    <row r="249" spans="1:27" x14ac:dyDescent="0.3">
      <c r="A249" t="s">
        <v>551</v>
      </c>
      <c r="B249" t="s">
        <v>37</v>
      </c>
      <c r="C249" t="s">
        <v>29</v>
      </c>
      <c r="D249" t="s">
        <v>552</v>
      </c>
      <c r="E249" t="s">
        <v>56</v>
      </c>
      <c r="F249" t="s">
        <v>32</v>
      </c>
      <c r="G249">
        <v>40</v>
      </c>
      <c r="H249">
        <v>1</v>
      </c>
      <c r="I249">
        <v>6</v>
      </c>
      <c r="J249">
        <v>88.75</v>
      </c>
      <c r="K249">
        <v>18.399999999999999</v>
      </c>
      <c r="L249">
        <v>6.26</v>
      </c>
      <c r="M249" s="1">
        <v>45084</v>
      </c>
      <c r="N249" t="s">
        <v>43</v>
      </c>
      <c r="P249">
        <v>25</v>
      </c>
      <c r="Q249">
        <v>0</v>
      </c>
      <c r="R249">
        <v>4</v>
      </c>
      <c r="S249" t="s">
        <v>34</v>
      </c>
      <c r="T249">
        <v>23</v>
      </c>
      <c r="U249">
        <v>188</v>
      </c>
      <c r="V249">
        <v>82</v>
      </c>
      <c r="W249" t="s">
        <v>48</v>
      </c>
      <c r="X249">
        <v>48.7</v>
      </c>
      <c r="Y249">
        <v>7.49</v>
      </c>
      <c r="Z249">
        <v>0.9</v>
      </c>
      <c r="AA249">
        <v>86.07</v>
      </c>
    </row>
    <row r="250" spans="1:27" x14ac:dyDescent="0.3">
      <c r="A250" t="s">
        <v>553</v>
      </c>
      <c r="B250" t="s">
        <v>37</v>
      </c>
      <c r="C250" t="s">
        <v>38</v>
      </c>
      <c r="D250" t="s">
        <v>554</v>
      </c>
      <c r="E250" t="s">
        <v>31</v>
      </c>
      <c r="F250" t="s">
        <v>32</v>
      </c>
      <c r="G250">
        <v>67</v>
      </c>
      <c r="H250">
        <v>3</v>
      </c>
      <c r="I250">
        <v>1</v>
      </c>
      <c r="J250">
        <v>55.42</v>
      </c>
      <c r="K250">
        <v>6.7</v>
      </c>
      <c r="L250">
        <v>6.33</v>
      </c>
      <c r="N250" t="s">
        <v>47</v>
      </c>
      <c r="O250" s="1">
        <v>45183</v>
      </c>
      <c r="P250">
        <v>45</v>
      </c>
      <c r="Q250">
        <v>0</v>
      </c>
      <c r="R250">
        <v>4</v>
      </c>
      <c r="S250" t="s">
        <v>61</v>
      </c>
      <c r="T250">
        <v>28</v>
      </c>
      <c r="U250">
        <v>173</v>
      </c>
      <c r="V250">
        <v>81</v>
      </c>
      <c r="W250" t="s">
        <v>48</v>
      </c>
      <c r="X250">
        <v>68.8</v>
      </c>
      <c r="Y250">
        <v>6.01</v>
      </c>
      <c r="Z250">
        <v>0.63</v>
      </c>
      <c r="AA250">
        <v>95.08</v>
      </c>
    </row>
    <row r="251" spans="1:27" x14ac:dyDescent="0.3">
      <c r="A251" t="s">
        <v>555</v>
      </c>
      <c r="B251" t="s">
        <v>37</v>
      </c>
      <c r="C251" t="s">
        <v>29</v>
      </c>
      <c r="D251" t="s">
        <v>556</v>
      </c>
      <c r="E251" t="s">
        <v>31</v>
      </c>
      <c r="F251" t="s">
        <v>41</v>
      </c>
      <c r="G251">
        <v>39</v>
      </c>
      <c r="H251">
        <v>2</v>
      </c>
      <c r="I251">
        <v>2</v>
      </c>
      <c r="J251">
        <v>62.15</v>
      </c>
      <c r="K251">
        <v>9.4</v>
      </c>
      <c r="L251">
        <v>6.44</v>
      </c>
      <c r="N251" t="s">
        <v>42</v>
      </c>
      <c r="O251" s="1">
        <v>44987</v>
      </c>
      <c r="P251">
        <v>39</v>
      </c>
      <c r="Q251">
        <v>0</v>
      </c>
      <c r="R251">
        <v>0</v>
      </c>
      <c r="S251" t="s">
        <v>34</v>
      </c>
      <c r="T251">
        <v>19</v>
      </c>
      <c r="U251">
        <v>162</v>
      </c>
      <c r="V251">
        <v>76</v>
      </c>
      <c r="W251" t="s">
        <v>35</v>
      </c>
      <c r="X251">
        <v>51.7</v>
      </c>
      <c r="Y251">
        <v>7.2</v>
      </c>
      <c r="Z251">
        <v>1.37</v>
      </c>
      <c r="AA251">
        <v>94.64</v>
      </c>
    </row>
    <row r="252" spans="1:27" x14ac:dyDescent="0.3">
      <c r="A252" t="s">
        <v>557</v>
      </c>
      <c r="B252" t="s">
        <v>37</v>
      </c>
      <c r="C252" t="s">
        <v>29</v>
      </c>
      <c r="D252" t="s">
        <v>558</v>
      </c>
      <c r="E252" t="s">
        <v>94</v>
      </c>
      <c r="F252" t="s">
        <v>41</v>
      </c>
      <c r="G252">
        <v>27</v>
      </c>
      <c r="H252">
        <v>2</v>
      </c>
      <c r="I252">
        <v>5</v>
      </c>
      <c r="J252">
        <v>82.9</v>
      </c>
      <c r="K252">
        <v>16.100000000000001</v>
      </c>
      <c r="L252">
        <v>14.4</v>
      </c>
      <c r="N252" t="s">
        <v>43</v>
      </c>
      <c r="O252" s="1">
        <v>45072</v>
      </c>
      <c r="Q252">
        <v>0</v>
      </c>
      <c r="R252">
        <v>2</v>
      </c>
      <c r="S252" t="s">
        <v>52</v>
      </c>
      <c r="T252">
        <v>36</v>
      </c>
      <c r="U252">
        <v>183</v>
      </c>
      <c r="V252">
        <v>64</v>
      </c>
      <c r="W252" t="s">
        <v>62</v>
      </c>
      <c r="X252">
        <v>51.6</v>
      </c>
      <c r="Y252">
        <v>8.59</v>
      </c>
      <c r="Z252">
        <v>0.66</v>
      </c>
      <c r="AA252">
        <v>95.3</v>
      </c>
    </row>
    <row r="253" spans="1:27" x14ac:dyDescent="0.3">
      <c r="A253" t="s">
        <v>559</v>
      </c>
      <c r="B253" t="s">
        <v>64</v>
      </c>
      <c r="C253" t="s">
        <v>38</v>
      </c>
      <c r="D253" t="s">
        <v>560</v>
      </c>
      <c r="E253" t="s">
        <v>80</v>
      </c>
      <c r="F253" t="s">
        <v>32</v>
      </c>
      <c r="G253">
        <v>26</v>
      </c>
      <c r="H253">
        <v>0</v>
      </c>
      <c r="I253">
        <v>5</v>
      </c>
      <c r="J253">
        <v>82.58</v>
      </c>
      <c r="K253">
        <v>16</v>
      </c>
      <c r="L253">
        <v>12.33</v>
      </c>
      <c r="N253" t="s">
        <v>42</v>
      </c>
      <c r="Q253">
        <v>0</v>
      </c>
      <c r="R253">
        <v>1</v>
      </c>
      <c r="S253" t="s">
        <v>52</v>
      </c>
      <c r="T253">
        <v>36</v>
      </c>
      <c r="U253">
        <v>196</v>
      </c>
      <c r="V253">
        <v>70</v>
      </c>
      <c r="W253" t="s">
        <v>35</v>
      </c>
      <c r="X253">
        <v>50.2</v>
      </c>
      <c r="Y253">
        <v>9.9</v>
      </c>
      <c r="Z253">
        <v>0.81</v>
      </c>
      <c r="AA253">
        <v>84.55</v>
      </c>
    </row>
    <row r="254" spans="1:27" x14ac:dyDescent="0.3">
      <c r="A254" t="s">
        <v>561</v>
      </c>
      <c r="B254" t="s">
        <v>64</v>
      </c>
      <c r="C254" t="s">
        <v>29</v>
      </c>
      <c r="D254" t="s">
        <v>562</v>
      </c>
      <c r="E254" t="s">
        <v>51</v>
      </c>
      <c r="F254" t="s">
        <v>32</v>
      </c>
      <c r="G254">
        <v>86</v>
      </c>
      <c r="H254">
        <v>3</v>
      </c>
      <c r="I254">
        <v>2</v>
      </c>
      <c r="J254">
        <v>61.99</v>
      </c>
      <c r="K254">
        <v>9.4</v>
      </c>
      <c r="L254">
        <v>6.62</v>
      </c>
      <c r="N254" t="s">
        <v>43</v>
      </c>
      <c r="O254" s="1">
        <v>45211</v>
      </c>
      <c r="P254">
        <v>27</v>
      </c>
      <c r="Q254">
        <v>0</v>
      </c>
      <c r="R254">
        <v>0</v>
      </c>
      <c r="S254" t="s">
        <v>43</v>
      </c>
      <c r="T254">
        <v>22</v>
      </c>
      <c r="U254">
        <v>175</v>
      </c>
      <c r="V254">
        <v>89</v>
      </c>
      <c r="W254" t="s">
        <v>62</v>
      </c>
      <c r="X254">
        <v>56.2</v>
      </c>
      <c r="Y254">
        <v>9.39</v>
      </c>
      <c r="Z254">
        <v>0.79</v>
      </c>
      <c r="AA254">
        <v>80.010000000000005</v>
      </c>
    </row>
    <row r="255" spans="1:27" x14ac:dyDescent="0.3">
      <c r="A255" t="s">
        <v>563</v>
      </c>
      <c r="B255" t="s">
        <v>37</v>
      </c>
      <c r="C255" t="s">
        <v>29</v>
      </c>
      <c r="D255" t="s">
        <v>564</v>
      </c>
      <c r="E255" t="s">
        <v>31</v>
      </c>
      <c r="F255" t="s">
        <v>32</v>
      </c>
      <c r="G255">
        <v>36</v>
      </c>
      <c r="H255">
        <v>4</v>
      </c>
      <c r="I255">
        <v>3</v>
      </c>
      <c r="J255">
        <v>70.58</v>
      </c>
      <c r="K255">
        <v>12</v>
      </c>
      <c r="L255">
        <v>6.88</v>
      </c>
      <c r="N255" t="s">
        <v>43</v>
      </c>
      <c r="Q255">
        <v>0</v>
      </c>
      <c r="R255">
        <v>3</v>
      </c>
      <c r="S255" t="s">
        <v>52</v>
      </c>
      <c r="T255">
        <v>36</v>
      </c>
      <c r="U255">
        <v>163</v>
      </c>
      <c r="V255">
        <v>74</v>
      </c>
      <c r="W255" t="s">
        <v>70</v>
      </c>
      <c r="X255">
        <v>44.6</v>
      </c>
      <c r="Y255">
        <v>6.09</v>
      </c>
      <c r="Z255">
        <v>1.37</v>
      </c>
      <c r="AA255">
        <v>93.75</v>
      </c>
    </row>
    <row r="256" spans="1:27" x14ac:dyDescent="0.3">
      <c r="A256" t="s">
        <v>565</v>
      </c>
      <c r="B256" t="s">
        <v>37</v>
      </c>
      <c r="C256" t="s">
        <v>65</v>
      </c>
      <c r="D256" t="s">
        <v>566</v>
      </c>
      <c r="E256" t="s">
        <v>40</v>
      </c>
      <c r="F256" t="s">
        <v>41</v>
      </c>
      <c r="G256">
        <v>52</v>
      </c>
      <c r="H256">
        <v>2</v>
      </c>
      <c r="I256">
        <v>3</v>
      </c>
      <c r="J256">
        <v>70.48</v>
      </c>
      <c r="K256">
        <v>12</v>
      </c>
      <c r="L256">
        <v>12.31</v>
      </c>
      <c r="N256" t="s">
        <v>42</v>
      </c>
      <c r="Q256">
        <v>0</v>
      </c>
      <c r="R256">
        <v>2</v>
      </c>
      <c r="S256" t="s">
        <v>43</v>
      </c>
      <c r="T256">
        <v>19</v>
      </c>
      <c r="U256">
        <v>183</v>
      </c>
      <c r="V256">
        <v>86</v>
      </c>
      <c r="W256" t="s">
        <v>35</v>
      </c>
      <c r="X256">
        <v>56.6</v>
      </c>
      <c r="Y256">
        <v>9.59</v>
      </c>
      <c r="Z256">
        <v>1.17</v>
      </c>
      <c r="AA256">
        <v>83.54</v>
      </c>
    </row>
    <row r="257" spans="1:27" x14ac:dyDescent="0.3">
      <c r="A257" t="s">
        <v>567</v>
      </c>
      <c r="B257" t="s">
        <v>68</v>
      </c>
      <c r="C257" t="s">
        <v>38</v>
      </c>
      <c r="D257" t="s">
        <v>568</v>
      </c>
      <c r="E257" t="s">
        <v>31</v>
      </c>
      <c r="F257" t="s">
        <v>41</v>
      </c>
      <c r="G257">
        <v>67</v>
      </c>
      <c r="H257">
        <v>0</v>
      </c>
      <c r="I257">
        <v>4</v>
      </c>
      <c r="J257">
        <v>75.459999999999994</v>
      </c>
      <c r="K257">
        <v>14.2</v>
      </c>
      <c r="L257">
        <v>6.56</v>
      </c>
      <c r="M257" s="1">
        <v>44994</v>
      </c>
      <c r="N257" t="s">
        <v>43</v>
      </c>
      <c r="O257" s="1">
        <v>45213</v>
      </c>
      <c r="Q257">
        <v>1</v>
      </c>
      <c r="R257">
        <v>2</v>
      </c>
      <c r="S257" t="s">
        <v>34</v>
      </c>
      <c r="T257">
        <v>27</v>
      </c>
      <c r="U257">
        <v>193</v>
      </c>
      <c r="V257">
        <v>94</v>
      </c>
      <c r="W257" t="s">
        <v>35</v>
      </c>
      <c r="X257">
        <v>56.3</v>
      </c>
      <c r="Y257">
        <v>9.1300000000000008</v>
      </c>
      <c r="Z257">
        <v>1.3</v>
      </c>
      <c r="AA257">
        <v>75.5</v>
      </c>
    </row>
    <row r="258" spans="1:27" x14ac:dyDescent="0.3">
      <c r="A258" t="s">
        <v>569</v>
      </c>
      <c r="B258" t="s">
        <v>28</v>
      </c>
      <c r="C258" t="s">
        <v>38</v>
      </c>
      <c r="D258" t="s">
        <v>570</v>
      </c>
      <c r="E258" t="s">
        <v>94</v>
      </c>
      <c r="F258" t="s">
        <v>41</v>
      </c>
      <c r="G258">
        <v>78</v>
      </c>
      <c r="H258">
        <v>4</v>
      </c>
      <c r="I258">
        <v>5</v>
      </c>
      <c r="J258">
        <v>82.47</v>
      </c>
      <c r="K258">
        <v>15.9</v>
      </c>
      <c r="L258">
        <v>7.35</v>
      </c>
      <c r="N258" t="s">
        <v>42</v>
      </c>
      <c r="Q258">
        <v>0</v>
      </c>
      <c r="R258">
        <v>3</v>
      </c>
      <c r="S258" t="s">
        <v>61</v>
      </c>
      <c r="T258">
        <v>19</v>
      </c>
      <c r="U258">
        <v>189</v>
      </c>
      <c r="V258">
        <v>92</v>
      </c>
      <c r="W258" t="s">
        <v>53</v>
      </c>
      <c r="X258">
        <v>62.9</v>
      </c>
      <c r="Y258">
        <v>9.1199999999999992</v>
      </c>
      <c r="Z258">
        <v>0.75</v>
      </c>
      <c r="AA258">
        <v>95.65</v>
      </c>
    </row>
    <row r="259" spans="1:27" x14ac:dyDescent="0.3">
      <c r="A259" t="s">
        <v>571</v>
      </c>
      <c r="B259" t="s">
        <v>37</v>
      </c>
      <c r="C259" t="s">
        <v>38</v>
      </c>
      <c r="D259" t="s">
        <v>572</v>
      </c>
      <c r="E259" t="s">
        <v>75</v>
      </c>
      <c r="F259" t="s">
        <v>32</v>
      </c>
      <c r="G259">
        <v>41</v>
      </c>
      <c r="H259">
        <v>3</v>
      </c>
      <c r="I259">
        <v>4</v>
      </c>
      <c r="J259">
        <v>75.23</v>
      </c>
      <c r="K259">
        <v>14.2</v>
      </c>
      <c r="L259">
        <v>14.63</v>
      </c>
      <c r="N259" t="s">
        <v>42</v>
      </c>
      <c r="P259">
        <v>11</v>
      </c>
      <c r="Q259">
        <v>0</v>
      </c>
      <c r="R259">
        <v>3</v>
      </c>
      <c r="S259" t="s">
        <v>34</v>
      </c>
      <c r="T259">
        <v>28</v>
      </c>
      <c r="U259">
        <v>177</v>
      </c>
      <c r="V259">
        <v>79</v>
      </c>
      <c r="W259" t="s">
        <v>35</v>
      </c>
      <c r="X259">
        <v>65</v>
      </c>
      <c r="Y259">
        <v>7.83</v>
      </c>
      <c r="Z259">
        <v>1.1200000000000001</v>
      </c>
      <c r="AA259">
        <v>96.48</v>
      </c>
    </row>
    <row r="260" spans="1:27" x14ac:dyDescent="0.3">
      <c r="A260" t="s">
        <v>573</v>
      </c>
      <c r="B260" t="s">
        <v>68</v>
      </c>
      <c r="C260" t="s">
        <v>38</v>
      </c>
      <c r="D260" t="s">
        <v>574</v>
      </c>
      <c r="E260" t="s">
        <v>80</v>
      </c>
      <c r="F260" t="s">
        <v>41</v>
      </c>
      <c r="G260">
        <v>49</v>
      </c>
      <c r="H260">
        <v>2</v>
      </c>
      <c r="I260">
        <v>5</v>
      </c>
      <c r="J260">
        <v>82.41</v>
      </c>
      <c r="K260">
        <v>15.9</v>
      </c>
      <c r="L260">
        <v>7.55</v>
      </c>
      <c r="M260" s="1">
        <v>45124</v>
      </c>
      <c r="N260" t="s">
        <v>43</v>
      </c>
      <c r="O260" s="1">
        <v>45093</v>
      </c>
      <c r="Q260">
        <v>0</v>
      </c>
      <c r="R260">
        <v>3</v>
      </c>
      <c r="S260" t="s">
        <v>43</v>
      </c>
      <c r="T260">
        <v>35</v>
      </c>
      <c r="U260">
        <v>178</v>
      </c>
      <c r="V260">
        <v>75</v>
      </c>
      <c r="W260" t="s">
        <v>48</v>
      </c>
      <c r="X260">
        <v>53.2</v>
      </c>
      <c r="Y260">
        <v>7.59</v>
      </c>
      <c r="Z260">
        <v>1.07</v>
      </c>
      <c r="AA260">
        <v>83.99</v>
      </c>
    </row>
    <row r="261" spans="1:27" x14ac:dyDescent="0.3">
      <c r="A261" t="s">
        <v>575</v>
      </c>
      <c r="B261" t="s">
        <v>68</v>
      </c>
      <c r="C261" t="s">
        <v>38</v>
      </c>
      <c r="D261" t="s">
        <v>576</v>
      </c>
      <c r="E261" t="s">
        <v>31</v>
      </c>
      <c r="F261" t="s">
        <v>41</v>
      </c>
      <c r="G261">
        <v>57</v>
      </c>
      <c r="H261">
        <v>4</v>
      </c>
      <c r="I261">
        <v>6</v>
      </c>
      <c r="J261">
        <v>88.71</v>
      </c>
      <c r="K261">
        <v>18.3</v>
      </c>
      <c r="L261">
        <v>11.62</v>
      </c>
      <c r="N261" t="s">
        <v>43</v>
      </c>
      <c r="P261">
        <v>58</v>
      </c>
      <c r="Q261">
        <v>0</v>
      </c>
      <c r="R261">
        <v>1</v>
      </c>
      <c r="S261" t="s">
        <v>34</v>
      </c>
      <c r="T261">
        <v>32</v>
      </c>
      <c r="U261">
        <v>190</v>
      </c>
      <c r="V261">
        <v>93</v>
      </c>
      <c r="W261" t="s">
        <v>70</v>
      </c>
      <c r="X261">
        <v>49.1</v>
      </c>
      <c r="Y261">
        <v>7.21</v>
      </c>
      <c r="Z261">
        <v>1.33</v>
      </c>
      <c r="AA261">
        <v>72.27</v>
      </c>
    </row>
    <row r="262" spans="1:27" x14ac:dyDescent="0.3">
      <c r="A262" t="s">
        <v>577</v>
      </c>
      <c r="B262" t="s">
        <v>64</v>
      </c>
      <c r="C262" t="s">
        <v>38</v>
      </c>
      <c r="D262" t="s">
        <v>578</v>
      </c>
      <c r="E262" t="s">
        <v>56</v>
      </c>
      <c r="F262" t="s">
        <v>32</v>
      </c>
      <c r="G262">
        <v>70</v>
      </c>
      <c r="H262">
        <v>4</v>
      </c>
      <c r="I262">
        <v>6</v>
      </c>
      <c r="J262">
        <v>88.38</v>
      </c>
      <c r="K262">
        <v>18.2</v>
      </c>
      <c r="L262">
        <v>14.79</v>
      </c>
      <c r="N262" t="s">
        <v>33</v>
      </c>
      <c r="Q262">
        <v>0</v>
      </c>
      <c r="R262">
        <v>4</v>
      </c>
      <c r="S262" t="s">
        <v>34</v>
      </c>
      <c r="T262">
        <v>26</v>
      </c>
      <c r="U262">
        <v>178</v>
      </c>
      <c r="V262">
        <v>61</v>
      </c>
      <c r="W262" t="s">
        <v>53</v>
      </c>
      <c r="X262">
        <v>47.8</v>
      </c>
      <c r="Y262">
        <v>6.26</v>
      </c>
      <c r="Z262">
        <v>1.41</v>
      </c>
      <c r="AA262">
        <v>81.63</v>
      </c>
    </row>
    <row r="263" spans="1:27" x14ac:dyDescent="0.3">
      <c r="A263" t="s">
        <v>579</v>
      </c>
      <c r="B263" t="s">
        <v>28</v>
      </c>
      <c r="C263" t="s">
        <v>82</v>
      </c>
      <c r="D263" t="s">
        <v>580</v>
      </c>
      <c r="E263" t="s">
        <v>56</v>
      </c>
      <c r="F263" t="s">
        <v>32</v>
      </c>
      <c r="G263">
        <v>73</v>
      </c>
      <c r="H263">
        <v>1</v>
      </c>
      <c r="I263">
        <v>1</v>
      </c>
      <c r="J263">
        <v>55.21</v>
      </c>
      <c r="K263">
        <v>6.5</v>
      </c>
      <c r="L263">
        <v>8.74</v>
      </c>
      <c r="N263" t="s">
        <v>42</v>
      </c>
      <c r="P263">
        <v>86</v>
      </c>
      <c r="Q263">
        <v>0</v>
      </c>
      <c r="R263">
        <v>2</v>
      </c>
      <c r="S263" t="s">
        <v>61</v>
      </c>
      <c r="T263">
        <v>36</v>
      </c>
      <c r="U263">
        <v>178</v>
      </c>
      <c r="V263">
        <v>94</v>
      </c>
      <c r="W263" t="s">
        <v>53</v>
      </c>
      <c r="X263">
        <v>45.8</v>
      </c>
      <c r="Y263">
        <v>6.91</v>
      </c>
      <c r="Z263">
        <v>0.51</v>
      </c>
      <c r="AA263">
        <v>94.11</v>
      </c>
    </row>
    <row r="264" spans="1:27" x14ac:dyDescent="0.3">
      <c r="A264" t="s">
        <v>581</v>
      </c>
      <c r="B264" t="s">
        <v>28</v>
      </c>
      <c r="C264" t="s">
        <v>38</v>
      </c>
      <c r="D264" t="s">
        <v>582</v>
      </c>
      <c r="E264" t="s">
        <v>56</v>
      </c>
      <c r="F264" t="s">
        <v>41</v>
      </c>
      <c r="G264">
        <v>27</v>
      </c>
      <c r="H264">
        <v>2</v>
      </c>
      <c r="I264">
        <v>6</v>
      </c>
      <c r="J264">
        <v>88.35</v>
      </c>
      <c r="K264">
        <v>18.2</v>
      </c>
      <c r="L264">
        <v>5.18</v>
      </c>
      <c r="N264" t="s">
        <v>33</v>
      </c>
      <c r="Q264">
        <v>0</v>
      </c>
      <c r="R264">
        <v>4</v>
      </c>
      <c r="S264" t="s">
        <v>43</v>
      </c>
      <c r="T264">
        <v>26</v>
      </c>
      <c r="U264">
        <v>181</v>
      </c>
      <c r="V264">
        <v>99</v>
      </c>
      <c r="W264" t="s">
        <v>53</v>
      </c>
      <c r="X264">
        <v>41.7</v>
      </c>
      <c r="Y264">
        <v>6.99</v>
      </c>
      <c r="Z264">
        <v>1.17</v>
      </c>
      <c r="AA264">
        <v>97.05</v>
      </c>
    </row>
    <row r="265" spans="1:27" x14ac:dyDescent="0.3">
      <c r="A265" t="s">
        <v>583</v>
      </c>
      <c r="B265" t="s">
        <v>28</v>
      </c>
      <c r="C265" t="s">
        <v>29</v>
      </c>
      <c r="D265" t="s">
        <v>584</v>
      </c>
      <c r="E265" t="s">
        <v>94</v>
      </c>
      <c r="F265" t="s">
        <v>32</v>
      </c>
      <c r="G265">
        <v>46</v>
      </c>
      <c r="H265">
        <v>2</v>
      </c>
      <c r="I265">
        <v>1</v>
      </c>
      <c r="J265">
        <v>55.19</v>
      </c>
      <c r="K265">
        <v>6.5</v>
      </c>
      <c r="L265">
        <v>7.44</v>
      </c>
      <c r="N265" t="s">
        <v>47</v>
      </c>
      <c r="Q265">
        <v>1</v>
      </c>
      <c r="R265">
        <v>4</v>
      </c>
      <c r="S265" t="s">
        <v>52</v>
      </c>
      <c r="T265">
        <v>20</v>
      </c>
      <c r="U265">
        <v>183</v>
      </c>
      <c r="V265">
        <v>87</v>
      </c>
      <c r="W265" t="s">
        <v>70</v>
      </c>
      <c r="X265">
        <v>50.3</v>
      </c>
      <c r="Y265">
        <v>7.94</v>
      </c>
      <c r="Z265">
        <v>0.55000000000000004</v>
      </c>
      <c r="AA265">
        <v>76.099999999999994</v>
      </c>
    </row>
    <row r="266" spans="1:27" x14ac:dyDescent="0.3">
      <c r="A266" t="s">
        <v>585</v>
      </c>
      <c r="B266" t="s">
        <v>37</v>
      </c>
      <c r="C266" t="s">
        <v>38</v>
      </c>
      <c r="D266" t="s">
        <v>586</v>
      </c>
      <c r="E266" t="s">
        <v>56</v>
      </c>
      <c r="F266" t="s">
        <v>32</v>
      </c>
      <c r="G266">
        <v>46</v>
      </c>
      <c r="H266">
        <v>1</v>
      </c>
      <c r="I266">
        <v>6</v>
      </c>
      <c r="J266">
        <v>88.09</v>
      </c>
      <c r="K266">
        <v>18</v>
      </c>
      <c r="L266">
        <v>13.31</v>
      </c>
      <c r="N266" t="s">
        <v>42</v>
      </c>
      <c r="Q266">
        <v>0</v>
      </c>
      <c r="R266">
        <v>3</v>
      </c>
      <c r="S266" t="s">
        <v>52</v>
      </c>
      <c r="T266">
        <v>38</v>
      </c>
      <c r="U266">
        <v>171</v>
      </c>
      <c r="V266">
        <v>98</v>
      </c>
      <c r="W266" t="s">
        <v>44</v>
      </c>
      <c r="X266">
        <v>48.1</v>
      </c>
      <c r="Y266">
        <v>8.99</v>
      </c>
      <c r="Z266">
        <v>1.05</v>
      </c>
      <c r="AA266">
        <v>72.010000000000005</v>
      </c>
    </row>
    <row r="267" spans="1:27" x14ac:dyDescent="0.3">
      <c r="A267" t="s">
        <v>587</v>
      </c>
      <c r="B267" t="s">
        <v>37</v>
      </c>
      <c r="C267" t="s">
        <v>65</v>
      </c>
      <c r="D267" t="s">
        <v>588</v>
      </c>
      <c r="E267" t="s">
        <v>75</v>
      </c>
      <c r="F267" t="s">
        <v>32</v>
      </c>
      <c r="G267">
        <v>40</v>
      </c>
      <c r="H267">
        <v>3</v>
      </c>
      <c r="I267">
        <v>0</v>
      </c>
      <c r="J267">
        <v>50.05</v>
      </c>
      <c r="K267">
        <v>5.2</v>
      </c>
      <c r="L267">
        <v>13.65</v>
      </c>
      <c r="M267" s="1">
        <v>45111</v>
      </c>
      <c r="N267" t="s">
        <v>42</v>
      </c>
      <c r="O267" s="1">
        <v>45091</v>
      </c>
      <c r="P267">
        <v>13</v>
      </c>
      <c r="Q267">
        <v>0</v>
      </c>
      <c r="R267">
        <v>1</v>
      </c>
      <c r="S267" t="s">
        <v>52</v>
      </c>
      <c r="T267">
        <v>26</v>
      </c>
      <c r="U267">
        <v>189</v>
      </c>
      <c r="V267">
        <v>65</v>
      </c>
      <c r="W267" t="s">
        <v>44</v>
      </c>
      <c r="X267">
        <v>69</v>
      </c>
      <c r="Y267">
        <v>7.9</v>
      </c>
      <c r="Z267">
        <v>0.79</v>
      </c>
      <c r="AA267">
        <v>96.32</v>
      </c>
    </row>
    <row r="268" spans="1:27" x14ac:dyDescent="0.3">
      <c r="A268" t="s">
        <v>589</v>
      </c>
      <c r="B268" t="s">
        <v>28</v>
      </c>
      <c r="C268" t="s">
        <v>38</v>
      </c>
      <c r="D268" t="s">
        <v>590</v>
      </c>
      <c r="E268" t="s">
        <v>31</v>
      </c>
      <c r="F268" t="s">
        <v>41</v>
      </c>
      <c r="G268">
        <v>49</v>
      </c>
      <c r="H268">
        <v>0</v>
      </c>
      <c r="I268">
        <v>6</v>
      </c>
      <c r="J268">
        <v>87.87</v>
      </c>
      <c r="K268">
        <v>18</v>
      </c>
      <c r="L268">
        <v>12.69</v>
      </c>
      <c r="N268" t="s">
        <v>42</v>
      </c>
      <c r="Q268">
        <v>1</v>
      </c>
      <c r="R268">
        <v>0</v>
      </c>
      <c r="S268" t="s">
        <v>43</v>
      </c>
      <c r="T268">
        <v>31</v>
      </c>
      <c r="U268">
        <v>197</v>
      </c>
      <c r="V268">
        <v>68</v>
      </c>
      <c r="W268" t="s">
        <v>70</v>
      </c>
      <c r="X268">
        <v>56.7</v>
      </c>
      <c r="Y268">
        <v>6.23</v>
      </c>
      <c r="Z268">
        <v>0.81</v>
      </c>
      <c r="AA268">
        <v>81.680000000000007</v>
      </c>
    </row>
    <row r="269" spans="1:27" x14ac:dyDescent="0.3">
      <c r="A269" t="s">
        <v>591</v>
      </c>
      <c r="B269" t="s">
        <v>68</v>
      </c>
      <c r="C269" t="s">
        <v>38</v>
      </c>
      <c r="D269" t="s">
        <v>592</v>
      </c>
      <c r="E269" t="s">
        <v>40</v>
      </c>
      <c r="F269" t="s">
        <v>41</v>
      </c>
      <c r="G269">
        <v>47</v>
      </c>
      <c r="H269">
        <v>4</v>
      </c>
      <c r="I269">
        <v>4</v>
      </c>
      <c r="J269">
        <v>75.19</v>
      </c>
      <c r="K269">
        <v>13.9</v>
      </c>
      <c r="L269">
        <v>6.13</v>
      </c>
      <c r="N269" t="s">
        <v>33</v>
      </c>
      <c r="Q269">
        <v>1</v>
      </c>
      <c r="R269">
        <v>1</v>
      </c>
      <c r="S269" t="s">
        <v>52</v>
      </c>
      <c r="T269">
        <v>36</v>
      </c>
      <c r="U269">
        <v>190</v>
      </c>
      <c r="V269">
        <v>79</v>
      </c>
      <c r="W269" t="s">
        <v>48</v>
      </c>
      <c r="X269">
        <v>50.4</v>
      </c>
      <c r="Y269">
        <v>9.83</v>
      </c>
      <c r="Z269">
        <v>0.85</v>
      </c>
      <c r="AA269">
        <v>86.25</v>
      </c>
    </row>
    <row r="270" spans="1:27" x14ac:dyDescent="0.3">
      <c r="A270" t="s">
        <v>593</v>
      </c>
      <c r="B270" t="s">
        <v>64</v>
      </c>
      <c r="C270" t="s">
        <v>29</v>
      </c>
      <c r="D270" t="s">
        <v>594</v>
      </c>
      <c r="E270" t="s">
        <v>31</v>
      </c>
      <c r="F270" t="s">
        <v>32</v>
      </c>
      <c r="G270">
        <v>83</v>
      </c>
      <c r="H270">
        <v>1</v>
      </c>
      <c r="I270">
        <v>2</v>
      </c>
      <c r="J270">
        <v>61.87</v>
      </c>
      <c r="K270">
        <v>9.4</v>
      </c>
      <c r="L270">
        <v>12.96</v>
      </c>
      <c r="M270" s="1">
        <v>45027</v>
      </c>
      <c r="N270" t="s">
        <v>47</v>
      </c>
      <c r="Q270">
        <v>1</v>
      </c>
      <c r="R270">
        <v>4</v>
      </c>
      <c r="S270" t="s">
        <v>52</v>
      </c>
      <c r="T270">
        <v>24</v>
      </c>
      <c r="U270">
        <v>195</v>
      </c>
      <c r="V270">
        <v>60</v>
      </c>
      <c r="W270" t="s">
        <v>48</v>
      </c>
      <c r="X270">
        <v>57.4</v>
      </c>
      <c r="Y270">
        <v>9.77</v>
      </c>
      <c r="Z270">
        <v>1.1200000000000001</v>
      </c>
      <c r="AA270">
        <v>99.04</v>
      </c>
    </row>
    <row r="271" spans="1:27" x14ac:dyDescent="0.3">
      <c r="A271" t="s">
        <v>595</v>
      </c>
      <c r="B271" t="s">
        <v>64</v>
      </c>
      <c r="C271" t="s">
        <v>38</v>
      </c>
      <c r="D271" t="s">
        <v>596</v>
      </c>
      <c r="E271" t="s">
        <v>40</v>
      </c>
      <c r="F271" t="s">
        <v>32</v>
      </c>
      <c r="G271">
        <v>88</v>
      </c>
      <c r="H271">
        <v>0</v>
      </c>
      <c r="I271">
        <v>4</v>
      </c>
      <c r="J271">
        <v>75.03</v>
      </c>
      <c r="K271">
        <v>13.9</v>
      </c>
      <c r="L271">
        <v>14.19</v>
      </c>
      <c r="M271" s="1">
        <v>44944</v>
      </c>
      <c r="N271" t="s">
        <v>42</v>
      </c>
      <c r="O271" s="1">
        <v>45221</v>
      </c>
      <c r="Q271">
        <v>0</v>
      </c>
      <c r="R271">
        <v>1</v>
      </c>
      <c r="S271" t="s">
        <v>52</v>
      </c>
      <c r="T271">
        <v>33</v>
      </c>
      <c r="U271">
        <v>178</v>
      </c>
      <c r="V271">
        <v>67</v>
      </c>
      <c r="W271" t="s">
        <v>62</v>
      </c>
      <c r="X271">
        <v>44.2</v>
      </c>
      <c r="Y271">
        <v>9.14</v>
      </c>
      <c r="Z271">
        <v>0.83</v>
      </c>
      <c r="AA271">
        <v>72</v>
      </c>
    </row>
    <row r="272" spans="1:27" x14ac:dyDescent="0.3">
      <c r="A272" t="s">
        <v>597</v>
      </c>
      <c r="B272" t="s">
        <v>37</v>
      </c>
      <c r="C272" t="s">
        <v>65</v>
      </c>
      <c r="D272" t="s">
        <v>598</v>
      </c>
      <c r="E272" t="s">
        <v>40</v>
      </c>
      <c r="F272" t="s">
        <v>41</v>
      </c>
      <c r="G272">
        <v>80</v>
      </c>
      <c r="H272">
        <v>1</v>
      </c>
      <c r="I272">
        <v>2</v>
      </c>
      <c r="J272">
        <v>61.71</v>
      </c>
      <c r="K272">
        <v>9.3000000000000007</v>
      </c>
      <c r="L272">
        <v>11.01</v>
      </c>
      <c r="M272" s="1">
        <v>45074</v>
      </c>
      <c r="N272" t="s">
        <v>33</v>
      </c>
      <c r="Q272">
        <v>0</v>
      </c>
      <c r="R272">
        <v>3</v>
      </c>
      <c r="S272" t="s">
        <v>52</v>
      </c>
      <c r="T272">
        <v>33</v>
      </c>
      <c r="U272">
        <v>195</v>
      </c>
      <c r="V272">
        <v>82</v>
      </c>
      <c r="W272" t="s">
        <v>44</v>
      </c>
      <c r="X272">
        <v>53.3</v>
      </c>
      <c r="Y272">
        <v>9.9700000000000006</v>
      </c>
      <c r="Z272">
        <v>1.23</v>
      </c>
      <c r="AA272">
        <v>89.45</v>
      </c>
    </row>
    <row r="273" spans="1:27" x14ac:dyDescent="0.3">
      <c r="A273" t="s">
        <v>599</v>
      </c>
      <c r="B273" t="s">
        <v>68</v>
      </c>
      <c r="C273" t="s">
        <v>29</v>
      </c>
      <c r="D273" t="s">
        <v>600</v>
      </c>
      <c r="E273" t="s">
        <v>40</v>
      </c>
      <c r="F273" t="s">
        <v>32</v>
      </c>
      <c r="G273">
        <v>67</v>
      </c>
      <c r="H273">
        <v>2</v>
      </c>
      <c r="I273">
        <v>3</v>
      </c>
      <c r="J273">
        <v>69.849999999999994</v>
      </c>
      <c r="K273">
        <v>11.9</v>
      </c>
      <c r="L273">
        <v>14.41</v>
      </c>
      <c r="N273" t="s">
        <v>47</v>
      </c>
      <c r="Q273">
        <v>0</v>
      </c>
      <c r="R273">
        <v>0</v>
      </c>
      <c r="S273" t="s">
        <v>34</v>
      </c>
      <c r="T273">
        <v>18</v>
      </c>
      <c r="U273">
        <v>189</v>
      </c>
      <c r="V273">
        <v>62</v>
      </c>
      <c r="W273" t="s">
        <v>48</v>
      </c>
      <c r="X273">
        <v>58.8</v>
      </c>
      <c r="Y273">
        <v>8.18</v>
      </c>
      <c r="Z273">
        <v>0.9</v>
      </c>
      <c r="AA273">
        <v>72.22</v>
      </c>
    </row>
    <row r="274" spans="1:27" x14ac:dyDescent="0.3">
      <c r="A274" t="s">
        <v>601</v>
      </c>
      <c r="B274" t="s">
        <v>37</v>
      </c>
      <c r="C274" t="s">
        <v>38</v>
      </c>
      <c r="D274" t="s">
        <v>602</v>
      </c>
      <c r="E274" t="s">
        <v>94</v>
      </c>
      <c r="F274" t="s">
        <v>32</v>
      </c>
      <c r="G274">
        <v>38</v>
      </c>
      <c r="H274">
        <v>4</v>
      </c>
      <c r="I274">
        <v>4</v>
      </c>
      <c r="J274">
        <v>75.010000000000005</v>
      </c>
      <c r="K274">
        <v>13.8</v>
      </c>
      <c r="L274">
        <v>13.27</v>
      </c>
      <c r="N274" t="s">
        <v>42</v>
      </c>
      <c r="Q274">
        <v>0</v>
      </c>
      <c r="R274">
        <v>3</v>
      </c>
      <c r="S274" t="s">
        <v>43</v>
      </c>
      <c r="T274">
        <v>21</v>
      </c>
      <c r="U274">
        <v>192</v>
      </c>
      <c r="V274">
        <v>63</v>
      </c>
      <c r="W274" t="s">
        <v>53</v>
      </c>
      <c r="X274">
        <v>54.7</v>
      </c>
      <c r="Y274">
        <v>9.85</v>
      </c>
      <c r="Z274">
        <v>0.56999999999999995</v>
      </c>
      <c r="AA274">
        <v>81.260000000000005</v>
      </c>
    </row>
    <row r="275" spans="1:27" x14ac:dyDescent="0.3">
      <c r="A275" t="s">
        <v>603</v>
      </c>
      <c r="B275" t="s">
        <v>28</v>
      </c>
      <c r="C275" t="s">
        <v>29</v>
      </c>
      <c r="D275" t="s">
        <v>604</v>
      </c>
      <c r="E275" t="s">
        <v>94</v>
      </c>
      <c r="F275" t="s">
        <v>32</v>
      </c>
      <c r="G275">
        <v>23</v>
      </c>
      <c r="H275">
        <v>0</v>
      </c>
      <c r="I275">
        <v>3</v>
      </c>
      <c r="J275">
        <v>69.67</v>
      </c>
      <c r="K275">
        <v>11.8</v>
      </c>
      <c r="L275">
        <v>11.67</v>
      </c>
      <c r="N275" t="s">
        <v>47</v>
      </c>
      <c r="O275" s="1">
        <v>44997</v>
      </c>
      <c r="P275">
        <v>84</v>
      </c>
      <c r="Q275">
        <v>0</v>
      </c>
      <c r="R275">
        <v>0</v>
      </c>
      <c r="S275" t="s">
        <v>52</v>
      </c>
      <c r="T275">
        <v>21</v>
      </c>
      <c r="U275">
        <v>177</v>
      </c>
      <c r="V275">
        <v>84</v>
      </c>
      <c r="W275" t="s">
        <v>53</v>
      </c>
      <c r="X275">
        <v>52.1</v>
      </c>
      <c r="Y275">
        <v>6.3</v>
      </c>
      <c r="Z275">
        <v>1.28</v>
      </c>
      <c r="AA275">
        <v>94.11</v>
      </c>
    </row>
    <row r="276" spans="1:27" x14ac:dyDescent="0.3">
      <c r="A276" t="s">
        <v>605</v>
      </c>
      <c r="B276" t="s">
        <v>37</v>
      </c>
      <c r="C276" t="s">
        <v>65</v>
      </c>
      <c r="D276" t="s">
        <v>606</v>
      </c>
      <c r="E276" t="s">
        <v>56</v>
      </c>
      <c r="F276" t="s">
        <v>32</v>
      </c>
      <c r="G276">
        <v>54</v>
      </c>
      <c r="H276">
        <v>0</v>
      </c>
      <c r="I276">
        <v>1</v>
      </c>
      <c r="J276">
        <v>55.14</v>
      </c>
      <c r="K276">
        <v>6.5</v>
      </c>
      <c r="L276">
        <v>10.77</v>
      </c>
      <c r="N276" t="s">
        <v>43</v>
      </c>
      <c r="Q276">
        <v>0</v>
      </c>
      <c r="R276">
        <v>4</v>
      </c>
      <c r="S276" t="s">
        <v>34</v>
      </c>
      <c r="T276">
        <v>24</v>
      </c>
      <c r="U276">
        <v>187</v>
      </c>
      <c r="V276">
        <v>97</v>
      </c>
      <c r="W276" t="s">
        <v>53</v>
      </c>
      <c r="X276">
        <v>69.8</v>
      </c>
      <c r="Y276">
        <v>7.46</v>
      </c>
      <c r="Z276">
        <v>0.79</v>
      </c>
      <c r="AA276">
        <v>83</v>
      </c>
    </row>
    <row r="277" spans="1:27" x14ac:dyDescent="0.3">
      <c r="A277" t="s">
        <v>607</v>
      </c>
      <c r="B277" t="s">
        <v>37</v>
      </c>
      <c r="C277" t="s">
        <v>82</v>
      </c>
      <c r="D277" t="s">
        <v>608</v>
      </c>
      <c r="E277" t="s">
        <v>51</v>
      </c>
      <c r="F277" t="s">
        <v>41</v>
      </c>
      <c r="G277">
        <v>83</v>
      </c>
      <c r="H277">
        <v>0</v>
      </c>
      <c r="I277">
        <v>1</v>
      </c>
      <c r="J277">
        <v>54.93</v>
      </c>
      <c r="K277">
        <v>6.5</v>
      </c>
      <c r="L277">
        <v>8.49</v>
      </c>
      <c r="N277" t="s">
        <v>43</v>
      </c>
      <c r="P277">
        <v>16</v>
      </c>
      <c r="Q277">
        <v>1</v>
      </c>
      <c r="R277">
        <v>0</v>
      </c>
      <c r="S277" t="s">
        <v>61</v>
      </c>
      <c r="T277">
        <v>25</v>
      </c>
      <c r="U277">
        <v>170</v>
      </c>
      <c r="V277">
        <v>74</v>
      </c>
      <c r="W277" t="s">
        <v>53</v>
      </c>
      <c r="X277">
        <v>66.400000000000006</v>
      </c>
      <c r="Y277">
        <v>6.9</v>
      </c>
      <c r="Z277">
        <v>0.93</v>
      </c>
      <c r="AA277">
        <v>99.92</v>
      </c>
    </row>
    <row r="278" spans="1:27" x14ac:dyDescent="0.3">
      <c r="A278" t="s">
        <v>609</v>
      </c>
      <c r="B278" t="s">
        <v>37</v>
      </c>
      <c r="C278" t="s">
        <v>29</v>
      </c>
      <c r="D278" t="s">
        <v>610</v>
      </c>
      <c r="E278" t="s">
        <v>40</v>
      </c>
      <c r="F278" t="s">
        <v>32</v>
      </c>
      <c r="G278">
        <v>68</v>
      </c>
      <c r="H278">
        <v>0</v>
      </c>
      <c r="I278">
        <v>0</v>
      </c>
      <c r="J278">
        <v>50.01</v>
      </c>
      <c r="K278">
        <v>5.2</v>
      </c>
      <c r="L278">
        <v>6.59</v>
      </c>
      <c r="N278" t="s">
        <v>43</v>
      </c>
      <c r="Q278">
        <v>0</v>
      </c>
      <c r="R278">
        <v>0</v>
      </c>
      <c r="S278" t="s">
        <v>34</v>
      </c>
      <c r="T278">
        <v>34</v>
      </c>
      <c r="U278">
        <v>192</v>
      </c>
      <c r="V278">
        <v>80</v>
      </c>
      <c r="W278" t="s">
        <v>44</v>
      </c>
      <c r="X278">
        <v>58.7</v>
      </c>
      <c r="Y278">
        <v>6.78</v>
      </c>
      <c r="Z278">
        <v>1.19</v>
      </c>
      <c r="AA278">
        <v>86.77</v>
      </c>
    </row>
    <row r="279" spans="1:27" x14ac:dyDescent="0.3">
      <c r="A279" t="s">
        <v>611</v>
      </c>
      <c r="B279" t="s">
        <v>37</v>
      </c>
      <c r="C279" t="s">
        <v>38</v>
      </c>
      <c r="D279" t="s">
        <v>612</v>
      </c>
      <c r="E279" t="s">
        <v>40</v>
      </c>
      <c r="F279" t="s">
        <v>41</v>
      </c>
      <c r="G279">
        <v>36</v>
      </c>
      <c r="H279">
        <v>0</v>
      </c>
      <c r="I279">
        <v>6</v>
      </c>
      <c r="J279">
        <v>87.81</v>
      </c>
      <c r="K279">
        <v>18</v>
      </c>
      <c r="L279">
        <v>11.05</v>
      </c>
      <c r="N279" t="s">
        <v>43</v>
      </c>
      <c r="O279" s="1">
        <v>45000</v>
      </c>
      <c r="Q279">
        <v>1</v>
      </c>
      <c r="R279">
        <v>0</v>
      </c>
      <c r="S279" t="s">
        <v>61</v>
      </c>
      <c r="T279">
        <v>22</v>
      </c>
      <c r="U279">
        <v>176</v>
      </c>
      <c r="V279">
        <v>94</v>
      </c>
      <c r="W279" t="s">
        <v>35</v>
      </c>
      <c r="X279">
        <v>57.1</v>
      </c>
      <c r="Y279">
        <v>6.56</v>
      </c>
      <c r="Z279">
        <v>0.83</v>
      </c>
      <c r="AA279">
        <v>79.63</v>
      </c>
    </row>
    <row r="280" spans="1:27" x14ac:dyDescent="0.3">
      <c r="A280" t="s">
        <v>613</v>
      </c>
      <c r="B280" t="s">
        <v>64</v>
      </c>
      <c r="C280" t="s">
        <v>38</v>
      </c>
      <c r="D280" t="s">
        <v>614</v>
      </c>
      <c r="E280" t="s">
        <v>80</v>
      </c>
      <c r="F280" t="s">
        <v>41</v>
      </c>
      <c r="G280">
        <v>63</v>
      </c>
      <c r="H280">
        <v>1</v>
      </c>
      <c r="I280">
        <v>4</v>
      </c>
      <c r="J280">
        <v>74.47</v>
      </c>
      <c r="K280">
        <v>13.8</v>
      </c>
      <c r="L280">
        <v>8.18</v>
      </c>
      <c r="N280" t="s">
        <v>47</v>
      </c>
      <c r="O280" s="1">
        <v>44972</v>
      </c>
      <c r="Q280">
        <v>0</v>
      </c>
      <c r="R280">
        <v>1</v>
      </c>
      <c r="S280" t="s">
        <v>52</v>
      </c>
      <c r="T280">
        <v>24</v>
      </c>
      <c r="U280">
        <v>165</v>
      </c>
      <c r="V280">
        <v>73</v>
      </c>
      <c r="W280" t="s">
        <v>62</v>
      </c>
      <c r="X280">
        <v>58.6</v>
      </c>
      <c r="Y280">
        <v>8.49</v>
      </c>
      <c r="Z280">
        <v>0.56000000000000005</v>
      </c>
      <c r="AA280">
        <v>76.599999999999994</v>
      </c>
    </row>
    <row r="281" spans="1:27" x14ac:dyDescent="0.3">
      <c r="A281" t="s">
        <v>615</v>
      </c>
      <c r="B281" t="s">
        <v>68</v>
      </c>
      <c r="C281" t="s">
        <v>29</v>
      </c>
      <c r="D281" t="s">
        <v>616</v>
      </c>
      <c r="E281" t="s">
        <v>31</v>
      </c>
      <c r="F281" t="s">
        <v>41</v>
      </c>
      <c r="G281">
        <v>49</v>
      </c>
      <c r="H281">
        <v>4</v>
      </c>
      <c r="I281">
        <v>3</v>
      </c>
      <c r="J281">
        <v>69.45</v>
      </c>
      <c r="K281">
        <v>11.8</v>
      </c>
      <c r="L281">
        <v>13.66</v>
      </c>
      <c r="N281" t="s">
        <v>42</v>
      </c>
      <c r="Q281">
        <v>0</v>
      </c>
      <c r="R281">
        <v>1</v>
      </c>
      <c r="S281" t="s">
        <v>52</v>
      </c>
      <c r="T281">
        <v>37</v>
      </c>
      <c r="U281">
        <v>163</v>
      </c>
      <c r="V281">
        <v>95</v>
      </c>
      <c r="W281" t="s">
        <v>70</v>
      </c>
      <c r="X281">
        <v>46</v>
      </c>
      <c r="Y281">
        <v>9.1300000000000008</v>
      </c>
      <c r="Z281">
        <v>0.87</v>
      </c>
      <c r="AA281">
        <v>80.52</v>
      </c>
    </row>
  </sheetData>
  <sortState xmlns:xlrd2="http://schemas.microsoft.com/office/spreadsheetml/2017/richdata2" ref="A2:AC282">
    <sortCondition ref="A2:A282"/>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A8F63-463F-BA45-96AA-F5AF6872443E}">
  <dimension ref="A1:K4"/>
  <sheetViews>
    <sheetView zoomScaleNormal="150" zoomScaleSheetLayoutView="100" workbookViewId="0">
      <selection activeCell="K11" sqref="K11"/>
    </sheetView>
  </sheetViews>
  <sheetFormatPr defaultRowHeight="14.4" x14ac:dyDescent="0.3"/>
  <sheetData>
    <row r="1" spans="1:11" ht="30" customHeight="1" x14ac:dyDescent="0.5">
      <c r="A1" s="12" t="s">
        <v>7</v>
      </c>
    </row>
    <row r="2" spans="1:11" ht="15.6" x14ac:dyDescent="0.3">
      <c r="B2" s="11" t="s">
        <v>617</v>
      </c>
    </row>
    <row r="3" spans="1:11" ht="15.6" x14ac:dyDescent="0.3">
      <c r="B3" s="17" t="s">
        <v>618</v>
      </c>
      <c r="K3" s="13"/>
    </row>
    <row r="4" spans="1:11" ht="15.6" x14ac:dyDescent="0.3">
      <c r="B4" s="17" t="s">
        <v>619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AE8E0-ADB6-F048-B70A-AB433E549363}">
  <dimension ref="A1:X281"/>
  <sheetViews>
    <sheetView zoomScaleNormal="150" zoomScaleSheetLayoutView="100" workbookViewId="0">
      <selection activeCell="B4" sqref="B4"/>
    </sheetView>
  </sheetViews>
  <sheetFormatPr defaultRowHeight="14.4" x14ac:dyDescent="0.3"/>
  <cols>
    <col min="14" max="14" width="11.33203125" bestFit="1" customWidth="1"/>
    <col min="23" max="23" width="11.44140625" bestFit="1" customWidth="1"/>
  </cols>
  <sheetData>
    <row r="1" spans="1:24" ht="43.2" x14ac:dyDescent="0.5">
      <c r="A1" s="12" t="s">
        <v>620</v>
      </c>
      <c r="M1" s="2" t="s">
        <v>1</v>
      </c>
      <c r="N1" s="2" t="s">
        <v>2</v>
      </c>
      <c r="O1" s="2" t="s">
        <v>9</v>
      </c>
    </row>
    <row r="2" spans="1:24" ht="15.6" x14ac:dyDescent="0.3">
      <c r="B2" s="11" t="s">
        <v>617</v>
      </c>
      <c r="M2" t="s">
        <v>28</v>
      </c>
      <c r="N2" t="s">
        <v>29</v>
      </c>
      <c r="O2">
        <v>69.209999999999994</v>
      </c>
      <c r="Q2" s="68" t="s">
        <v>621</v>
      </c>
      <c r="R2" s="71">
        <f>MIN(O2:O281)</f>
        <v>50.01</v>
      </c>
      <c r="T2" s="107" t="s">
        <v>622</v>
      </c>
      <c r="U2" s="107"/>
      <c r="W2" s="107" t="s">
        <v>623</v>
      </c>
      <c r="X2" s="107"/>
    </row>
    <row r="3" spans="1:24" ht="15.6" x14ac:dyDescent="0.3">
      <c r="B3" s="17" t="s">
        <v>618</v>
      </c>
      <c r="M3" t="s">
        <v>37</v>
      </c>
      <c r="N3" t="s">
        <v>38</v>
      </c>
      <c r="O3">
        <v>94.97</v>
      </c>
      <c r="Q3" s="68" t="s">
        <v>624</v>
      </c>
      <c r="R3" s="71">
        <f>MAX(O2:O281)</f>
        <v>94.97</v>
      </c>
      <c r="T3" s="68" t="s">
        <v>28</v>
      </c>
      <c r="U3" s="71">
        <f>AVERAGEIFS($O$2:$O$281,$M$2:$M$281,T3)</f>
        <v>71.908450704225359</v>
      </c>
      <c r="W3" s="68" t="s">
        <v>29</v>
      </c>
      <c r="X3" s="71">
        <f>AVERAGEIFS($O$2:$O$281,$N$2:$N$281,W3)</f>
        <v>72.886732673267289</v>
      </c>
    </row>
    <row r="4" spans="1:24" ht="15.6" x14ac:dyDescent="0.3">
      <c r="B4" s="17" t="s">
        <v>619</v>
      </c>
      <c r="M4" t="s">
        <v>37</v>
      </c>
      <c r="N4" t="s">
        <v>29</v>
      </c>
      <c r="O4">
        <v>68.989999999999995</v>
      </c>
      <c r="Q4" s="68" t="s">
        <v>625</v>
      </c>
      <c r="R4" s="71">
        <f>AVERAGE(O2:O281)</f>
        <v>72.704035714285709</v>
      </c>
      <c r="T4" s="68" t="s">
        <v>64</v>
      </c>
      <c r="U4" s="71">
        <f>AVERAGEIFS($O$2:$O$281,$M$2:$M$281,T4)</f>
        <v>72.678030303030312</v>
      </c>
      <c r="W4" s="68" t="s">
        <v>38</v>
      </c>
      <c r="X4" s="71">
        <f>AVERAGEIFS($O$2:$O$281,$N$2:$N$281,W4)</f>
        <v>76.899349593495899</v>
      </c>
    </row>
    <row r="5" spans="1:24" x14ac:dyDescent="0.3">
      <c r="M5" t="s">
        <v>28</v>
      </c>
      <c r="N5" t="s">
        <v>29</v>
      </c>
      <c r="O5">
        <v>87.71</v>
      </c>
      <c r="Q5" s="68" t="s">
        <v>626</v>
      </c>
      <c r="R5" s="71">
        <f>MEDIAN(O2:O281)</f>
        <v>73.204999999999998</v>
      </c>
      <c r="T5" s="68" t="s">
        <v>37</v>
      </c>
      <c r="U5" s="71">
        <f>AVERAGEIFS($O$2:$O$281,$M$2:$M$281,T5)</f>
        <v>73.332567567567551</v>
      </c>
      <c r="W5" s="68" t="s">
        <v>65</v>
      </c>
      <c r="X5" s="71">
        <f>AVERAGEIFS($O$2:$O$281,$N$2:$N$281,W5)</f>
        <v>64.701250000000002</v>
      </c>
    </row>
    <row r="6" spans="1:24" x14ac:dyDescent="0.3">
      <c r="M6" t="s">
        <v>28</v>
      </c>
      <c r="N6" t="s">
        <v>38</v>
      </c>
      <c r="O6">
        <v>87.7</v>
      </c>
      <c r="Q6" s="68" t="s">
        <v>627</v>
      </c>
      <c r="R6" s="71">
        <f>R3-R2</f>
        <v>44.96</v>
      </c>
      <c r="T6" s="68" t="s">
        <v>68</v>
      </c>
      <c r="U6" s="71">
        <f>AVERAGEIFS($O$2:$O$281,$M$2:$M$281,T6)</f>
        <v>72.873478260869547</v>
      </c>
      <c r="W6" s="68" t="s">
        <v>82</v>
      </c>
      <c r="X6" s="71">
        <f>AVERAGEIFS($O$2:$O$281,$N$2:$N$281,W6)</f>
        <v>53.911249999999995</v>
      </c>
    </row>
    <row r="7" spans="1:24" x14ac:dyDescent="0.3">
      <c r="M7" t="s">
        <v>37</v>
      </c>
      <c r="N7" t="s">
        <v>38</v>
      </c>
      <c r="O7">
        <v>68.98</v>
      </c>
    </row>
    <row r="8" spans="1:24" x14ac:dyDescent="0.3">
      <c r="M8" t="s">
        <v>28</v>
      </c>
      <c r="N8" t="s">
        <v>38</v>
      </c>
      <c r="O8">
        <v>94.84</v>
      </c>
    </row>
    <row r="9" spans="1:24" x14ac:dyDescent="0.3">
      <c r="M9" t="s">
        <v>64</v>
      </c>
      <c r="N9" t="s">
        <v>65</v>
      </c>
      <c r="O9">
        <v>68.98</v>
      </c>
    </row>
    <row r="10" spans="1:24" x14ac:dyDescent="0.3">
      <c r="M10" t="s">
        <v>68</v>
      </c>
      <c r="N10" t="s">
        <v>29</v>
      </c>
      <c r="O10">
        <v>61.65</v>
      </c>
    </row>
    <row r="11" spans="1:24" x14ac:dyDescent="0.3">
      <c r="M11" t="s">
        <v>37</v>
      </c>
      <c r="N11" t="s">
        <v>29</v>
      </c>
      <c r="O11">
        <v>74.290000000000006</v>
      </c>
    </row>
    <row r="12" spans="1:24" x14ac:dyDescent="0.3">
      <c r="M12" t="s">
        <v>37</v>
      </c>
      <c r="N12" t="s">
        <v>38</v>
      </c>
      <c r="O12">
        <v>94.62</v>
      </c>
    </row>
    <row r="13" spans="1:24" x14ac:dyDescent="0.3">
      <c r="M13" t="s">
        <v>64</v>
      </c>
      <c r="N13" t="s">
        <v>29</v>
      </c>
      <c r="O13">
        <v>94.57</v>
      </c>
    </row>
    <row r="14" spans="1:24" x14ac:dyDescent="0.3">
      <c r="M14" t="s">
        <v>37</v>
      </c>
      <c r="N14" t="s">
        <v>29</v>
      </c>
      <c r="O14">
        <v>82.2</v>
      </c>
    </row>
    <row r="15" spans="1:24" x14ac:dyDescent="0.3">
      <c r="M15" t="s">
        <v>64</v>
      </c>
      <c r="N15" t="s">
        <v>82</v>
      </c>
      <c r="O15">
        <v>54.93</v>
      </c>
    </row>
    <row r="16" spans="1:24" x14ac:dyDescent="0.3">
      <c r="M16" t="s">
        <v>37</v>
      </c>
      <c r="N16" t="s">
        <v>38</v>
      </c>
      <c r="O16">
        <v>74.23</v>
      </c>
    </row>
    <row r="17" spans="1:15" x14ac:dyDescent="0.3">
      <c r="M17" t="s">
        <v>28</v>
      </c>
      <c r="N17" t="s">
        <v>29</v>
      </c>
      <c r="O17">
        <v>87.67</v>
      </c>
    </row>
    <row r="18" spans="1:15" x14ac:dyDescent="0.3">
      <c r="D18" s="41"/>
      <c r="M18" t="s">
        <v>68</v>
      </c>
      <c r="N18" t="s">
        <v>38</v>
      </c>
      <c r="O18">
        <v>94.51</v>
      </c>
    </row>
    <row r="19" spans="1:15" x14ac:dyDescent="0.3">
      <c r="D19" s="41"/>
      <c r="M19" t="s">
        <v>68</v>
      </c>
      <c r="N19" t="s">
        <v>65</v>
      </c>
      <c r="O19">
        <v>68.790000000000006</v>
      </c>
    </row>
    <row r="20" spans="1:15" x14ac:dyDescent="0.3">
      <c r="A20" t="s">
        <v>628</v>
      </c>
      <c r="D20" s="41"/>
      <c r="M20" t="s">
        <v>64</v>
      </c>
      <c r="N20" t="s">
        <v>65</v>
      </c>
      <c r="O20">
        <v>73.97</v>
      </c>
    </row>
    <row r="21" spans="1:15" x14ac:dyDescent="0.3">
      <c r="M21" t="s">
        <v>28</v>
      </c>
      <c r="N21" t="s">
        <v>29</v>
      </c>
      <c r="O21">
        <v>81.72</v>
      </c>
    </row>
    <row r="22" spans="1:15" x14ac:dyDescent="0.3">
      <c r="M22" t="s">
        <v>64</v>
      </c>
      <c r="N22" t="s">
        <v>29</v>
      </c>
      <c r="O22">
        <v>87.38</v>
      </c>
    </row>
    <row r="23" spans="1:15" x14ac:dyDescent="0.3">
      <c r="M23" t="s">
        <v>68</v>
      </c>
      <c r="N23" t="s">
        <v>29</v>
      </c>
      <c r="O23">
        <v>54.8</v>
      </c>
    </row>
    <row r="24" spans="1:15" x14ac:dyDescent="0.3">
      <c r="M24" t="s">
        <v>64</v>
      </c>
      <c r="N24" t="s">
        <v>38</v>
      </c>
      <c r="O24">
        <v>54.76</v>
      </c>
    </row>
    <row r="25" spans="1:15" x14ac:dyDescent="0.3">
      <c r="M25" t="s">
        <v>64</v>
      </c>
      <c r="N25" t="s">
        <v>29</v>
      </c>
      <c r="O25">
        <v>81.45</v>
      </c>
    </row>
    <row r="26" spans="1:15" x14ac:dyDescent="0.3">
      <c r="M26" t="s">
        <v>28</v>
      </c>
      <c r="N26" t="s">
        <v>65</v>
      </c>
      <c r="O26">
        <v>81.45</v>
      </c>
    </row>
    <row r="27" spans="1:15" x14ac:dyDescent="0.3">
      <c r="M27" t="s">
        <v>37</v>
      </c>
      <c r="N27" t="s">
        <v>65</v>
      </c>
      <c r="O27">
        <v>68.58</v>
      </c>
    </row>
    <row r="28" spans="1:15" x14ac:dyDescent="0.3">
      <c r="M28" t="s">
        <v>37</v>
      </c>
      <c r="N28" t="s">
        <v>38</v>
      </c>
      <c r="O28">
        <v>94.34</v>
      </c>
    </row>
    <row r="29" spans="1:15" x14ac:dyDescent="0.3">
      <c r="M29" t="s">
        <v>64</v>
      </c>
      <c r="N29" t="s">
        <v>38</v>
      </c>
      <c r="O29">
        <v>54.64</v>
      </c>
    </row>
    <row r="30" spans="1:15" x14ac:dyDescent="0.3">
      <c r="M30" t="s">
        <v>68</v>
      </c>
      <c r="N30" t="s">
        <v>29</v>
      </c>
      <c r="O30">
        <v>87.38</v>
      </c>
    </row>
    <row r="31" spans="1:15" x14ac:dyDescent="0.3">
      <c r="M31" t="s">
        <v>68</v>
      </c>
      <c r="N31" t="s">
        <v>38</v>
      </c>
      <c r="O31">
        <v>73.86</v>
      </c>
    </row>
    <row r="32" spans="1:15" x14ac:dyDescent="0.3">
      <c r="M32" t="s">
        <v>68</v>
      </c>
      <c r="N32" t="s">
        <v>29</v>
      </c>
      <c r="O32">
        <v>87.18</v>
      </c>
    </row>
    <row r="33" spans="13:15" x14ac:dyDescent="0.3">
      <c r="M33" t="s">
        <v>28</v>
      </c>
      <c r="N33" t="s">
        <v>29</v>
      </c>
      <c r="O33">
        <v>61.64</v>
      </c>
    </row>
    <row r="34" spans="13:15" x14ac:dyDescent="0.3">
      <c r="M34" t="s">
        <v>28</v>
      </c>
      <c r="N34" t="s">
        <v>65</v>
      </c>
      <c r="O34">
        <v>61.37</v>
      </c>
    </row>
    <row r="35" spans="13:15" x14ac:dyDescent="0.3">
      <c r="M35" t="s">
        <v>68</v>
      </c>
      <c r="N35" t="s">
        <v>38</v>
      </c>
      <c r="O35">
        <v>81.31</v>
      </c>
    </row>
    <row r="36" spans="13:15" x14ac:dyDescent="0.3">
      <c r="M36" t="s">
        <v>64</v>
      </c>
      <c r="N36" t="s">
        <v>38</v>
      </c>
      <c r="O36">
        <v>68.239999999999995</v>
      </c>
    </row>
    <row r="37" spans="13:15" x14ac:dyDescent="0.3">
      <c r="M37" t="s">
        <v>64</v>
      </c>
      <c r="N37" t="s">
        <v>65</v>
      </c>
      <c r="O37">
        <v>61.28</v>
      </c>
    </row>
    <row r="38" spans="13:15" x14ac:dyDescent="0.3">
      <c r="M38" t="s">
        <v>28</v>
      </c>
      <c r="N38" t="s">
        <v>65</v>
      </c>
      <c r="O38">
        <v>54.13</v>
      </c>
    </row>
    <row r="39" spans="13:15" x14ac:dyDescent="0.3">
      <c r="M39" t="s">
        <v>64</v>
      </c>
      <c r="N39" t="s">
        <v>29</v>
      </c>
      <c r="O39">
        <v>87.13</v>
      </c>
    </row>
    <row r="40" spans="13:15" x14ac:dyDescent="0.3">
      <c r="M40" t="s">
        <v>68</v>
      </c>
      <c r="N40" t="s">
        <v>29</v>
      </c>
      <c r="O40">
        <v>87.02</v>
      </c>
    </row>
    <row r="41" spans="13:15" x14ac:dyDescent="0.3">
      <c r="M41" t="s">
        <v>28</v>
      </c>
      <c r="N41" t="s">
        <v>65</v>
      </c>
      <c r="O41">
        <v>81.19</v>
      </c>
    </row>
    <row r="42" spans="13:15" x14ac:dyDescent="0.3">
      <c r="M42" t="s">
        <v>64</v>
      </c>
      <c r="N42" t="s">
        <v>38</v>
      </c>
      <c r="O42">
        <v>94.2</v>
      </c>
    </row>
    <row r="43" spans="13:15" x14ac:dyDescent="0.3">
      <c r="M43" t="s">
        <v>28</v>
      </c>
      <c r="N43" t="s">
        <v>38</v>
      </c>
      <c r="O43">
        <v>94.13</v>
      </c>
    </row>
    <row r="44" spans="13:15" x14ac:dyDescent="0.3">
      <c r="M44" t="s">
        <v>64</v>
      </c>
      <c r="N44" t="s">
        <v>38</v>
      </c>
      <c r="O44">
        <v>73.83</v>
      </c>
    </row>
    <row r="45" spans="13:15" x14ac:dyDescent="0.3">
      <c r="M45" t="s">
        <v>28</v>
      </c>
      <c r="N45" t="s">
        <v>65</v>
      </c>
      <c r="O45">
        <v>81.099999999999994</v>
      </c>
    </row>
    <row r="46" spans="13:15" x14ac:dyDescent="0.3">
      <c r="M46" t="s">
        <v>64</v>
      </c>
      <c r="N46" t="s">
        <v>65</v>
      </c>
      <c r="O46">
        <v>73.63</v>
      </c>
    </row>
    <row r="47" spans="13:15" x14ac:dyDescent="0.3">
      <c r="M47" t="s">
        <v>28</v>
      </c>
      <c r="N47" t="s">
        <v>38</v>
      </c>
      <c r="O47">
        <v>93.85</v>
      </c>
    </row>
    <row r="48" spans="13:15" x14ac:dyDescent="0.3">
      <c r="M48" t="s">
        <v>68</v>
      </c>
      <c r="N48" t="s">
        <v>29</v>
      </c>
      <c r="O48">
        <v>81.08</v>
      </c>
    </row>
    <row r="49" spans="13:15" x14ac:dyDescent="0.3">
      <c r="M49" t="s">
        <v>37</v>
      </c>
      <c r="N49" t="s">
        <v>29</v>
      </c>
      <c r="O49">
        <v>80.739999999999995</v>
      </c>
    </row>
    <row r="50" spans="13:15" x14ac:dyDescent="0.3">
      <c r="M50" t="s">
        <v>64</v>
      </c>
      <c r="N50" t="s">
        <v>29</v>
      </c>
      <c r="O50">
        <v>80.150000000000006</v>
      </c>
    </row>
    <row r="51" spans="13:15" x14ac:dyDescent="0.3">
      <c r="M51" t="s">
        <v>68</v>
      </c>
      <c r="N51" t="s">
        <v>38</v>
      </c>
      <c r="O51">
        <v>93.55</v>
      </c>
    </row>
    <row r="52" spans="13:15" x14ac:dyDescent="0.3">
      <c r="M52" t="s">
        <v>64</v>
      </c>
      <c r="N52" t="s">
        <v>38</v>
      </c>
      <c r="O52">
        <v>73.510000000000005</v>
      </c>
    </row>
    <row r="53" spans="13:15" x14ac:dyDescent="0.3">
      <c r="M53" t="s">
        <v>37</v>
      </c>
      <c r="N53" t="s">
        <v>38</v>
      </c>
      <c r="O53">
        <v>73.510000000000005</v>
      </c>
    </row>
    <row r="54" spans="13:15" x14ac:dyDescent="0.3">
      <c r="M54" t="s">
        <v>68</v>
      </c>
      <c r="N54" t="s">
        <v>29</v>
      </c>
      <c r="O54">
        <v>79.8</v>
      </c>
    </row>
    <row r="55" spans="13:15" x14ac:dyDescent="0.3">
      <c r="M55" t="s">
        <v>64</v>
      </c>
      <c r="N55" t="s">
        <v>38</v>
      </c>
      <c r="O55">
        <v>61.04</v>
      </c>
    </row>
    <row r="56" spans="13:15" x14ac:dyDescent="0.3">
      <c r="M56" t="s">
        <v>28</v>
      </c>
      <c r="N56" t="s">
        <v>38</v>
      </c>
      <c r="O56">
        <v>68.2</v>
      </c>
    </row>
    <row r="57" spans="13:15" x14ac:dyDescent="0.3">
      <c r="M57" t="s">
        <v>68</v>
      </c>
      <c r="N57" t="s">
        <v>38</v>
      </c>
      <c r="O57">
        <v>93.3</v>
      </c>
    </row>
    <row r="58" spans="13:15" x14ac:dyDescent="0.3">
      <c r="M58" t="s">
        <v>28</v>
      </c>
      <c r="N58" t="s">
        <v>29</v>
      </c>
      <c r="O58">
        <v>68.2</v>
      </c>
    </row>
    <row r="59" spans="13:15" x14ac:dyDescent="0.3">
      <c r="M59" t="s">
        <v>37</v>
      </c>
      <c r="N59" t="s">
        <v>65</v>
      </c>
      <c r="O59">
        <v>68.11</v>
      </c>
    </row>
    <row r="60" spans="13:15" x14ac:dyDescent="0.3">
      <c r="M60" t="s">
        <v>37</v>
      </c>
      <c r="N60" t="s">
        <v>29</v>
      </c>
      <c r="O60">
        <v>73.459999999999994</v>
      </c>
    </row>
    <row r="61" spans="13:15" x14ac:dyDescent="0.3">
      <c r="M61" t="s">
        <v>28</v>
      </c>
      <c r="N61" t="s">
        <v>29</v>
      </c>
      <c r="O61">
        <v>73.459999999999994</v>
      </c>
    </row>
    <row r="62" spans="13:15" x14ac:dyDescent="0.3">
      <c r="M62" t="s">
        <v>68</v>
      </c>
      <c r="N62" t="s">
        <v>29</v>
      </c>
      <c r="O62">
        <v>60.74</v>
      </c>
    </row>
    <row r="63" spans="13:15" x14ac:dyDescent="0.3">
      <c r="M63" t="s">
        <v>68</v>
      </c>
      <c r="N63" t="s">
        <v>65</v>
      </c>
      <c r="O63">
        <v>68.069999999999993</v>
      </c>
    </row>
    <row r="64" spans="13:15" x14ac:dyDescent="0.3">
      <c r="M64" t="s">
        <v>68</v>
      </c>
      <c r="N64" t="s">
        <v>65</v>
      </c>
      <c r="O64">
        <v>67.92</v>
      </c>
    </row>
    <row r="65" spans="13:15" x14ac:dyDescent="0.3">
      <c r="M65" t="s">
        <v>68</v>
      </c>
      <c r="N65" t="s">
        <v>29</v>
      </c>
      <c r="O65">
        <v>79.77</v>
      </c>
    </row>
    <row r="66" spans="13:15" x14ac:dyDescent="0.3">
      <c r="M66" t="s">
        <v>37</v>
      </c>
      <c r="N66" t="s">
        <v>29</v>
      </c>
      <c r="O66">
        <v>73.41</v>
      </c>
    </row>
    <row r="67" spans="13:15" x14ac:dyDescent="0.3">
      <c r="M67" t="s">
        <v>28</v>
      </c>
      <c r="N67" t="s">
        <v>29</v>
      </c>
      <c r="O67">
        <v>67.849999999999994</v>
      </c>
    </row>
    <row r="68" spans="13:15" x14ac:dyDescent="0.3">
      <c r="M68" t="s">
        <v>37</v>
      </c>
      <c r="N68" t="s">
        <v>29</v>
      </c>
      <c r="O68">
        <v>86.9</v>
      </c>
    </row>
    <row r="69" spans="13:15" x14ac:dyDescent="0.3">
      <c r="M69" t="s">
        <v>64</v>
      </c>
      <c r="N69" t="s">
        <v>29</v>
      </c>
      <c r="O69">
        <v>60.38</v>
      </c>
    </row>
    <row r="70" spans="13:15" x14ac:dyDescent="0.3">
      <c r="M70" t="s">
        <v>37</v>
      </c>
      <c r="N70" t="s">
        <v>38</v>
      </c>
      <c r="O70">
        <v>86.84</v>
      </c>
    </row>
    <row r="71" spans="13:15" x14ac:dyDescent="0.3">
      <c r="M71" t="s">
        <v>28</v>
      </c>
      <c r="N71" t="s">
        <v>29</v>
      </c>
      <c r="O71">
        <v>86.68</v>
      </c>
    </row>
    <row r="72" spans="13:15" x14ac:dyDescent="0.3">
      <c r="M72" t="s">
        <v>64</v>
      </c>
      <c r="N72" t="s">
        <v>29</v>
      </c>
      <c r="O72">
        <v>93.29</v>
      </c>
    </row>
    <row r="73" spans="13:15" x14ac:dyDescent="0.3">
      <c r="M73" t="s">
        <v>28</v>
      </c>
      <c r="N73" t="s">
        <v>29</v>
      </c>
      <c r="O73">
        <v>93.26</v>
      </c>
    </row>
    <row r="74" spans="13:15" x14ac:dyDescent="0.3">
      <c r="M74" t="s">
        <v>28</v>
      </c>
      <c r="N74" t="s">
        <v>29</v>
      </c>
      <c r="O74">
        <v>60.29</v>
      </c>
    </row>
    <row r="75" spans="13:15" x14ac:dyDescent="0.3">
      <c r="M75" t="s">
        <v>28</v>
      </c>
      <c r="N75" t="s">
        <v>38</v>
      </c>
      <c r="O75">
        <v>86.33</v>
      </c>
    </row>
    <row r="76" spans="13:15" x14ac:dyDescent="0.3">
      <c r="M76" t="s">
        <v>28</v>
      </c>
      <c r="N76" t="s">
        <v>29</v>
      </c>
      <c r="O76">
        <v>67.650000000000006</v>
      </c>
    </row>
    <row r="77" spans="13:15" x14ac:dyDescent="0.3">
      <c r="M77" t="s">
        <v>37</v>
      </c>
      <c r="N77" t="s">
        <v>38</v>
      </c>
      <c r="O77">
        <v>73.319999999999993</v>
      </c>
    </row>
    <row r="78" spans="13:15" x14ac:dyDescent="0.3">
      <c r="M78" t="s">
        <v>68</v>
      </c>
      <c r="N78" t="s">
        <v>65</v>
      </c>
      <c r="O78">
        <v>59.88</v>
      </c>
    </row>
    <row r="79" spans="13:15" x14ac:dyDescent="0.3">
      <c r="M79" t="s">
        <v>37</v>
      </c>
      <c r="N79" t="s">
        <v>65</v>
      </c>
      <c r="O79">
        <v>79.260000000000005</v>
      </c>
    </row>
    <row r="80" spans="13:15" x14ac:dyDescent="0.3">
      <c r="M80" t="s">
        <v>37</v>
      </c>
      <c r="N80" t="s">
        <v>38</v>
      </c>
      <c r="O80">
        <v>86.18</v>
      </c>
    </row>
    <row r="81" spans="13:15" x14ac:dyDescent="0.3">
      <c r="M81" t="s">
        <v>68</v>
      </c>
      <c r="N81" t="s">
        <v>38</v>
      </c>
      <c r="O81">
        <v>59.81</v>
      </c>
    </row>
    <row r="82" spans="13:15" x14ac:dyDescent="0.3">
      <c r="M82" t="s">
        <v>68</v>
      </c>
      <c r="N82" t="s">
        <v>38</v>
      </c>
      <c r="O82">
        <v>54.07</v>
      </c>
    </row>
    <row r="83" spans="13:15" x14ac:dyDescent="0.3">
      <c r="M83" t="s">
        <v>64</v>
      </c>
      <c r="N83" t="s">
        <v>65</v>
      </c>
      <c r="O83">
        <v>53.98</v>
      </c>
    </row>
    <row r="84" spans="13:15" x14ac:dyDescent="0.3">
      <c r="M84" t="s">
        <v>37</v>
      </c>
      <c r="N84" t="s">
        <v>29</v>
      </c>
      <c r="O84">
        <v>93.14</v>
      </c>
    </row>
    <row r="85" spans="13:15" x14ac:dyDescent="0.3">
      <c r="M85" t="s">
        <v>64</v>
      </c>
      <c r="N85" t="s">
        <v>38</v>
      </c>
      <c r="O85">
        <v>73.22</v>
      </c>
    </row>
    <row r="86" spans="13:15" x14ac:dyDescent="0.3">
      <c r="M86" t="s">
        <v>28</v>
      </c>
      <c r="N86" t="s">
        <v>29</v>
      </c>
      <c r="O86">
        <v>67.62</v>
      </c>
    </row>
    <row r="87" spans="13:15" x14ac:dyDescent="0.3">
      <c r="M87" t="s">
        <v>28</v>
      </c>
      <c r="N87" t="s">
        <v>38</v>
      </c>
      <c r="O87">
        <v>73.19</v>
      </c>
    </row>
    <row r="88" spans="13:15" x14ac:dyDescent="0.3">
      <c r="M88" t="s">
        <v>37</v>
      </c>
      <c r="N88" t="s">
        <v>38</v>
      </c>
      <c r="O88">
        <v>73.06</v>
      </c>
    </row>
    <row r="89" spans="13:15" x14ac:dyDescent="0.3">
      <c r="M89" t="s">
        <v>68</v>
      </c>
      <c r="N89" t="s">
        <v>38</v>
      </c>
      <c r="O89">
        <v>72.41</v>
      </c>
    </row>
    <row r="90" spans="13:15" x14ac:dyDescent="0.3">
      <c r="M90" t="s">
        <v>68</v>
      </c>
      <c r="N90" t="s">
        <v>38</v>
      </c>
      <c r="O90">
        <v>72.39</v>
      </c>
    </row>
    <row r="91" spans="13:15" x14ac:dyDescent="0.3">
      <c r="M91" t="s">
        <v>37</v>
      </c>
      <c r="N91" t="s">
        <v>38</v>
      </c>
      <c r="O91">
        <v>79.099999999999994</v>
      </c>
    </row>
    <row r="92" spans="13:15" x14ac:dyDescent="0.3">
      <c r="M92" t="s">
        <v>28</v>
      </c>
      <c r="N92" t="s">
        <v>38</v>
      </c>
      <c r="O92">
        <v>79.03</v>
      </c>
    </row>
    <row r="93" spans="13:15" x14ac:dyDescent="0.3">
      <c r="M93" t="s">
        <v>28</v>
      </c>
      <c r="N93" t="s">
        <v>38</v>
      </c>
      <c r="O93">
        <v>93.12</v>
      </c>
    </row>
    <row r="94" spans="13:15" x14ac:dyDescent="0.3">
      <c r="M94" t="s">
        <v>64</v>
      </c>
      <c r="N94" t="s">
        <v>65</v>
      </c>
      <c r="O94">
        <v>59.73</v>
      </c>
    </row>
    <row r="95" spans="13:15" x14ac:dyDescent="0.3">
      <c r="M95" t="s">
        <v>37</v>
      </c>
      <c r="N95" t="s">
        <v>38</v>
      </c>
      <c r="O95">
        <v>53.9</v>
      </c>
    </row>
    <row r="96" spans="13:15" x14ac:dyDescent="0.3">
      <c r="M96" t="s">
        <v>28</v>
      </c>
      <c r="N96" t="s">
        <v>38</v>
      </c>
      <c r="O96">
        <v>72.239999999999995</v>
      </c>
    </row>
    <row r="97" spans="13:15" x14ac:dyDescent="0.3">
      <c r="M97" t="s">
        <v>37</v>
      </c>
      <c r="N97" t="s">
        <v>38</v>
      </c>
      <c r="O97">
        <v>93.08</v>
      </c>
    </row>
    <row r="98" spans="13:15" x14ac:dyDescent="0.3">
      <c r="M98" t="s">
        <v>68</v>
      </c>
      <c r="N98" t="s">
        <v>65</v>
      </c>
      <c r="O98">
        <v>58.69</v>
      </c>
    </row>
    <row r="99" spans="13:15" x14ac:dyDescent="0.3">
      <c r="M99" t="s">
        <v>28</v>
      </c>
      <c r="N99" t="s">
        <v>38</v>
      </c>
      <c r="O99">
        <v>53.78</v>
      </c>
    </row>
    <row r="100" spans="13:15" x14ac:dyDescent="0.3">
      <c r="M100" t="s">
        <v>68</v>
      </c>
      <c r="N100" t="s">
        <v>29</v>
      </c>
      <c r="O100">
        <v>86.03</v>
      </c>
    </row>
    <row r="101" spans="13:15" x14ac:dyDescent="0.3">
      <c r="M101" t="s">
        <v>68</v>
      </c>
      <c r="N101" t="s">
        <v>29</v>
      </c>
      <c r="O101">
        <v>67.599999999999994</v>
      </c>
    </row>
    <row r="102" spans="13:15" x14ac:dyDescent="0.3">
      <c r="M102" t="s">
        <v>68</v>
      </c>
      <c r="N102" t="s">
        <v>38</v>
      </c>
      <c r="O102">
        <v>79</v>
      </c>
    </row>
    <row r="103" spans="13:15" x14ac:dyDescent="0.3">
      <c r="M103" t="s">
        <v>68</v>
      </c>
      <c r="N103" t="s">
        <v>38</v>
      </c>
      <c r="O103">
        <v>85.91</v>
      </c>
    </row>
    <row r="104" spans="13:15" x14ac:dyDescent="0.3">
      <c r="M104" t="s">
        <v>64</v>
      </c>
      <c r="N104" t="s">
        <v>65</v>
      </c>
      <c r="O104">
        <v>53.5</v>
      </c>
    </row>
    <row r="105" spans="13:15" x14ac:dyDescent="0.3">
      <c r="M105" t="s">
        <v>64</v>
      </c>
      <c r="N105" t="s">
        <v>38</v>
      </c>
      <c r="O105">
        <v>85.79</v>
      </c>
    </row>
    <row r="106" spans="13:15" x14ac:dyDescent="0.3">
      <c r="M106" t="s">
        <v>68</v>
      </c>
      <c r="N106" t="s">
        <v>29</v>
      </c>
      <c r="O106">
        <v>67.28</v>
      </c>
    </row>
    <row r="107" spans="13:15" x14ac:dyDescent="0.3">
      <c r="M107" t="s">
        <v>64</v>
      </c>
      <c r="N107" t="s">
        <v>38</v>
      </c>
      <c r="O107">
        <v>93.04</v>
      </c>
    </row>
    <row r="108" spans="13:15" x14ac:dyDescent="0.3">
      <c r="M108" t="s">
        <v>68</v>
      </c>
      <c r="N108" t="s">
        <v>82</v>
      </c>
      <c r="O108">
        <v>53.42</v>
      </c>
    </row>
    <row r="109" spans="13:15" x14ac:dyDescent="0.3">
      <c r="M109" t="s">
        <v>37</v>
      </c>
      <c r="N109" t="s">
        <v>29</v>
      </c>
      <c r="O109">
        <v>85.55</v>
      </c>
    </row>
    <row r="110" spans="13:15" x14ac:dyDescent="0.3">
      <c r="M110" t="s">
        <v>64</v>
      </c>
      <c r="N110" t="s">
        <v>38</v>
      </c>
      <c r="O110">
        <v>78.75</v>
      </c>
    </row>
    <row r="111" spans="13:15" x14ac:dyDescent="0.3">
      <c r="M111" t="s">
        <v>28</v>
      </c>
      <c r="N111" t="s">
        <v>65</v>
      </c>
      <c r="O111">
        <v>78.680000000000007</v>
      </c>
    </row>
    <row r="112" spans="13:15" x14ac:dyDescent="0.3">
      <c r="M112" t="s">
        <v>68</v>
      </c>
      <c r="N112" t="s">
        <v>29</v>
      </c>
      <c r="O112">
        <v>58.67</v>
      </c>
    </row>
    <row r="113" spans="13:15" x14ac:dyDescent="0.3">
      <c r="M113" t="s">
        <v>28</v>
      </c>
      <c r="N113" t="s">
        <v>38</v>
      </c>
      <c r="O113">
        <v>85.5</v>
      </c>
    </row>
    <row r="114" spans="13:15" x14ac:dyDescent="0.3">
      <c r="M114" t="s">
        <v>37</v>
      </c>
      <c r="N114" t="s">
        <v>38</v>
      </c>
      <c r="O114">
        <v>72.099999999999994</v>
      </c>
    </row>
    <row r="115" spans="13:15" x14ac:dyDescent="0.3">
      <c r="M115" t="s">
        <v>37</v>
      </c>
      <c r="N115" t="s">
        <v>29</v>
      </c>
      <c r="O115">
        <v>85.09</v>
      </c>
    </row>
    <row r="116" spans="13:15" x14ac:dyDescent="0.3">
      <c r="M116" t="s">
        <v>64</v>
      </c>
      <c r="N116" t="s">
        <v>38</v>
      </c>
      <c r="O116">
        <v>92.99</v>
      </c>
    </row>
    <row r="117" spans="13:15" x14ac:dyDescent="0.3">
      <c r="M117" t="s">
        <v>68</v>
      </c>
      <c r="N117" t="s">
        <v>38</v>
      </c>
      <c r="O117">
        <v>53.15</v>
      </c>
    </row>
    <row r="118" spans="13:15" x14ac:dyDescent="0.3">
      <c r="M118" t="s">
        <v>37</v>
      </c>
      <c r="N118" t="s">
        <v>65</v>
      </c>
      <c r="O118">
        <v>53.07</v>
      </c>
    </row>
    <row r="119" spans="13:15" x14ac:dyDescent="0.3">
      <c r="M119" t="s">
        <v>68</v>
      </c>
      <c r="N119" t="s">
        <v>38</v>
      </c>
      <c r="O119">
        <v>92.93</v>
      </c>
    </row>
    <row r="120" spans="13:15" x14ac:dyDescent="0.3">
      <c r="M120" t="s">
        <v>64</v>
      </c>
      <c r="N120" t="s">
        <v>29</v>
      </c>
      <c r="O120">
        <v>84.82</v>
      </c>
    </row>
    <row r="121" spans="13:15" x14ac:dyDescent="0.3">
      <c r="M121" t="s">
        <v>64</v>
      </c>
      <c r="N121" t="s">
        <v>38</v>
      </c>
      <c r="O121">
        <v>92.72</v>
      </c>
    </row>
    <row r="122" spans="13:15" x14ac:dyDescent="0.3">
      <c r="M122" t="s">
        <v>64</v>
      </c>
      <c r="N122" t="s">
        <v>38</v>
      </c>
      <c r="O122">
        <v>67.28</v>
      </c>
    </row>
    <row r="123" spans="13:15" x14ac:dyDescent="0.3">
      <c r="M123" t="s">
        <v>64</v>
      </c>
      <c r="N123" t="s">
        <v>38</v>
      </c>
      <c r="O123">
        <v>91.97</v>
      </c>
    </row>
    <row r="124" spans="13:15" x14ac:dyDescent="0.3">
      <c r="M124" t="s">
        <v>37</v>
      </c>
      <c r="N124" t="s">
        <v>38</v>
      </c>
      <c r="O124">
        <v>78.489999999999995</v>
      </c>
    </row>
    <row r="125" spans="13:15" x14ac:dyDescent="0.3">
      <c r="M125" t="s">
        <v>28</v>
      </c>
      <c r="N125" t="s">
        <v>38</v>
      </c>
      <c r="O125">
        <v>91.92</v>
      </c>
    </row>
    <row r="126" spans="13:15" x14ac:dyDescent="0.3">
      <c r="M126" t="s">
        <v>64</v>
      </c>
      <c r="N126" t="s">
        <v>38</v>
      </c>
      <c r="O126">
        <v>53.02</v>
      </c>
    </row>
    <row r="127" spans="13:15" x14ac:dyDescent="0.3">
      <c r="M127" t="s">
        <v>64</v>
      </c>
      <c r="N127" t="s">
        <v>38</v>
      </c>
      <c r="O127">
        <v>78.34</v>
      </c>
    </row>
    <row r="128" spans="13:15" x14ac:dyDescent="0.3">
      <c r="M128" t="s">
        <v>68</v>
      </c>
      <c r="N128" t="s">
        <v>38</v>
      </c>
      <c r="O128">
        <v>52.92</v>
      </c>
    </row>
    <row r="129" spans="13:15" x14ac:dyDescent="0.3">
      <c r="M129" t="s">
        <v>28</v>
      </c>
      <c r="N129" t="s">
        <v>29</v>
      </c>
      <c r="O129">
        <v>58.51</v>
      </c>
    </row>
    <row r="130" spans="13:15" x14ac:dyDescent="0.3">
      <c r="M130" t="s">
        <v>68</v>
      </c>
      <c r="N130" t="s">
        <v>38</v>
      </c>
      <c r="O130">
        <v>71.819999999999993</v>
      </c>
    </row>
    <row r="131" spans="13:15" x14ac:dyDescent="0.3">
      <c r="M131" t="s">
        <v>64</v>
      </c>
      <c r="N131" t="s">
        <v>65</v>
      </c>
      <c r="O131">
        <v>52.77</v>
      </c>
    </row>
    <row r="132" spans="13:15" x14ac:dyDescent="0.3">
      <c r="M132" t="s">
        <v>28</v>
      </c>
      <c r="N132" t="s">
        <v>38</v>
      </c>
      <c r="O132">
        <v>78.05</v>
      </c>
    </row>
    <row r="133" spans="13:15" x14ac:dyDescent="0.3">
      <c r="M133" t="s">
        <v>68</v>
      </c>
      <c r="N133" t="s">
        <v>29</v>
      </c>
      <c r="O133">
        <v>58.35</v>
      </c>
    </row>
    <row r="134" spans="13:15" x14ac:dyDescent="0.3">
      <c r="M134" t="s">
        <v>28</v>
      </c>
      <c r="N134" t="s">
        <v>65</v>
      </c>
      <c r="O134">
        <v>52.47</v>
      </c>
    </row>
    <row r="135" spans="13:15" x14ac:dyDescent="0.3">
      <c r="M135" t="s">
        <v>64</v>
      </c>
      <c r="N135" t="s">
        <v>65</v>
      </c>
      <c r="O135">
        <v>66.95</v>
      </c>
    </row>
    <row r="136" spans="13:15" x14ac:dyDescent="0.3">
      <c r="M136" t="s">
        <v>37</v>
      </c>
      <c r="N136" t="s">
        <v>38</v>
      </c>
      <c r="O136">
        <v>91.85</v>
      </c>
    </row>
    <row r="137" spans="13:15" x14ac:dyDescent="0.3">
      <c r="M137" t="s">
        <v>28</v>
      </c>
      <c r="N137" t="s">
        <v>65</v>
      </c>
      <c r="O137">
        <v>71.77</v>
      </c>
    </row>
    <row r="138" spans="13:15" x14ac:dyDescent="0.3">
      <c r="M138" t="s">
        <v>28</v>
      </c>
      <c r="N138" t="s">
        <v>29</v>
      </c>
      <c r="O138">
        <v>52.37</v>
      </c>
    </row>
    <row r="139" spans="13:15" x14ac:dyDescent="0.3">
      <c r="M139" t="s">
        <v>37</v>
      </c>
      <c r="N139" t="s">
        <v>29</v>
      </c>
      <c r="O139">
        <v>58.3</v>
      </c>
    </row>
    <row r="140" spans="13:15" x14ac:dyDescent="0.3">
      <c r="M140" t="s">
        <v>37</v>
      </c>
      <c r="N140" t="s">
        <v>38</v>
      </c>
      <c r="O140">
        <v>66.41</v>
      </c>
    </row>
    <row r="141" spans="13:15" x14ac:dyDescent="0.3">
      <c r="M141" t="s">
        <v>68</v>
      </c>
      <c r="N141" t="s">
        <v>29</v>
      </c>
      <c r="O141">
        <v>84.69</v>
      </c>
    </row>
    <row r="142" spans="13:15" x14ac:dyDescent="0.3">
      <c r="M142" t="s">
        <v>64</v>
      </c>
      <c r="N142" t="s">
        <v>82</v>
      </c>
      <c r="O142">
        <v>58.19</v>
      </c>
    </row>
    <row r="143" spans="13:15" x14ac:dyDescent="0.3">
      <c r="M143" t="s">
        <v>68</v>
      </c>
      <c r="N143" t="s">
        <v>38</v>
      </c>
      <c r="O143">
        <v>91.2</v>
      </c>
    </row>
    <row r="144" spans="13:15" x14ac:dyDescent="0.3">
      <c r="M144" t="s">
        <v>64</v>
      </c>
      <c r="N144" t="s">
        <v>65</v>
      </c>
      <c r="O144">
        <v>58.08</v>
      </c>
    </row>
    <row r="145" spans="13:15" x14ac:dyDescent="0.3">
      <c r="M145" t="s">
        <v>68</v>
      </c>
      <c r="N145" t="s">
        <v>38</v>
      </c>
      <c r="O145">
        <v>66.34</v>
      </c>
    </row>
    <row r="146" spans="13:15" x14ac:dyDescent="0.3">
      <c r="M146" t="s">
        <v>37</v>
      </c>
      <c r="N146" t="s">
        <v>65</v>
      </c>
      <c r="O146">
        <v>57.82</v>
      </c>
    </row>
    <row r="147" spans="13:15" x14ac:dyDescent="0.3">
      <c r="M147" t="s">
        <v>64</v>
      </c>
      <c r="N147" t="s">
        <v>29</v>
      </c>
      <c r="O147">
        <v>66.319999999999993</v>
      </c>
    </row>
    <row r="148" spans="13:15" x14ac:dyDescent="0.3">
      <c r="M148" t="s">
        <v>28</v>
      </c>
      <c r="N148" t="s">
        <v>38</v>
      </c>
      <c r="O148">
        <v>52.32</v>
      </c>
    </row>
    <row r="149" spans="13:15" x14ac:dyDescent="0.3">
      <c r="M149" t="s">
        <v>68</v>
      </c>
      <c r="N149" t="s">
        <v>38</v>
      </c>
      <c r="O149">
        <v>65.92</v>
      </c>
    </row>
    <row r="150" spans="13:15" x14ac:dyDescent="0.3">
      <c r="M150" t="s">
        <v>64</v>
      </c>
      <c r="N150" t="s">
        <v>38</v>
      </c>
      <c r="O150">
        <v>65.819999999999993</v>
      </c>
    </row>
    <row r="151" spans="13:15" x14ac:dyDescent="0.3">
      <c r="M151" t="s">
        <v>64</v>
      </c>
      <c r="N151" t="s">
        <v>38</v>
      </c>
      <c r="O151">
        <v>71.650000000000006</v>
      </c>
    </row>
    <row r="152" spans="13:15" x14ac:dyDescent="0.3">
      <c r="M152" t="s">
        <v>64</v>
      </c>
      <c r="N152" t="s">
        <v>29</v>
      </c>
      <c r="O152">
        <v>65.53</v>
      </c>
    </row>
    <row r="153" spans="13:15" x14ac:dyDescent="0.3">
      <c r="M153" t="s">
        <v>37</v>
      </c>
      <c r="N153" t="s">
        <v>38</v>
      </c>
      <c r="O153">
        <v>65.5</v>
      </c>
    </row>
    <row r="154" spans="13:15" x14ac:dyDescent="0.3">
      <c r="M154" t="s">
        <v>28</v>
      </c>
      <c r="N154" t="s">
        <v>38</v>
      </c>
      <c r="O154">
        <v>84.69</v>
      </c>
    </row>
    <row r="155" spans="13:15" x14ac:dyDescent="0.3">
      <c r="M155" t="s">
        <v>37</v>
      </c>
      <c r="N155" t="s">
        <v>82</v>
      </c>
      <c r="O155">
        <v>52.2</v>
      </c>
    </row>
    <row r="156" spans="13:15" x14ac:dyDescent="0.3">
      <c r="M156" t="s">
        <v>64</v>
      </c>
      <c r="N156" t="s">
        <v>38</v>
      </c>
      <c r="O156">
        <v>90.97</v>
      </c>
    </row>
    <row r="157" spans="13:15" x14ac:dyDescent="0.3">
      <c r="M157" t="s">
        <v>64</v>
      </c>
      <c r="N157" t="s">
        <v>65</v>
      </c>
      <c r="O157">
        <v>71.59</v>
      </c>
    </row>
    <row r="158" spans="13:15" x14ac:dyDescent="0.3">
      <c r="M158" t="s">
        <v>37</v>
      </c>
      <c r="N158" t="s">
        <v>38</v>
      </c>
      <c r="O158">
        <v>84.69</v>
      </c>
    </row>
    <row r="159" spans="13:15" x14ac:dyDescent="0.3">
      <c r="M159" t="s">
        <v>28</v>
      </c>
      <c r="N159" t="s">
        <v>29</v>
      </c>
      <c r="O159">
        <v>78.03</v>
      </c>
    </row>
    <row r="160" spans="13:15" x14ac:dyDescent="0.3">
      <c r="M160" t="s">
        <v>28</v>
      </c>
      <c r="N160" t="s">
        <v>29</v>
      </c>
      <c r="O160">
        <v>52.11</v>
      </c>
    </row>
    <row r="161" spans="13:15" x14ac:dyDescent="0.3">
      <c r="M161" t="s">
        <v>64</v>
      </c>
      <c r="N161" t="s">
        <v>38</v>
      </c>
      <c r="O161">
        <v>52.03</v>
      </c>
    </row>
    <row r="162" spans="13:15" x14ac:dyDescent="0.3">
      <c r="M162" t="s">
        <v>37</v>
      </c>
      <c r="N162" t="s">
        <v>38</v>
      </c>
      <c r="O162">
        <v>77.47</v>
      </c>
    </row>
    <row r="163" spans="13:15" x14ac:dyDescent="0.3">
      <c r="M163" t="s">
        <v>64</v>
      </c>
      <c r="N163" t="s">
        <v>38</v>
      </c>
      <c r="O163">
        <v>90.89</v>
      </c>
    </row>
    <row r="164" spans="13:15" x14ac:dyDescent="0.3">
      <c r="M164" t="s">
        <v>64</v>
      </c>
      <c r="N164" t="s">
        <v>29</v>
      </c>
      <c r="O164">
        <v>65.14</v>
      </c>
    </row>
    <row r="165" spans="13:15" x14ac:dyDescent="0.3">
      <c r="M165" t="s">
        <v>37</v>
      </c>
      <c r="N165" t="s">
        <v>29</v>
      </c>
      <c r="O165">
        <v>84.16</v>
      </c>
    </row>
    <row r="166" spans="13:15" x14ac:dyDescent="0.3">
      <c r="M166" t="s">
        <v>64</v>
      </c>
      <c r="N166" t="s">
        <v>29</v>
      </c>
      <c r="O166">
        <v>57.29</v>
      </c>
    </row>
    <row r="167" spans="13:15" x14ac:dyDescent="0.3">
      <c r="M167" t="s">
        <v>68</v>
      </c>
      <c r="N167" t="s">
        <v>38</v>
      </c>
      <c r="O167">
        <v>71.45</v>
      </c>
    </row>
    <row r="168" spans="13:15" x14ac:dyDescent="0.3">
      <c r="M168" t="s">
        <v>68</v>
      </c>
      <c r="N168" t="s">
        <v>29</v>
      </c>
      <c r="O168">
        <v>57.22</v>
      </c>
    </row>
    <row r="169" spans="13:15" x14ac:dyDescent="0.3">
      <c r="M169" t="s">
        <v>64</v>
      </c>
      <c r="N169" t="s">
        <v>38</v>
      </c>
      <c r="O169">
        <v>77.040000000000006</v>
      </c>
    </row>
    <row r="170" spans="13:15" x14ac:dyDescent="0.3">
      <c r="M170" t="s">
        <v>37</v>
      </c>
      <c r="N170" t="s">
        <v>82</v>
      </c>
      <c r="O170">
        <v>52</v>
      </c>
    </row>
    <row r="171" spans="13:15" x14ac:dyDescent="0.3">
      <c r="M171" t="s">
        <v>28</v>
      </c>
      <c r="N171" t="s">
        <v>38</v>
      </c>
      <c r="O171">
        <v>90.79</v>
      </c>
    </row>
    <row r="172" spans="13:15" x14ac:dyDescent="0.3">
      <c r="M172" t="s">
        <v>28</v>
      </c>
      <c r="N172" t="s">
        <v>29</v>
      </c>
      <c r="O172">
        <v>51.99</v>
      </c>
    </row>
    <row r="173" spans="13:15" x14ac:dyDescent="0.3">
      <c r="M173" t="s">
        <v>37</v>
      </c>
      <c r="N173" t="s">
        <v>38</v>
      </c>
      <c r="O173">
        <v>71.34</v>
      </c>
    </row>
    <row r="174" spans="13:15" x14ac:dyDescent="0.3">
      <c r="M174" t="s">
        <v>28</v>
      </c>
      <c r="N174" t="s">
        <v>29</v>
      </c>
      <c r="O174">
        <v>51.69</v>
      </c>
    </row>
    <row r="175" spans="13:15" x14ac:dyDescent="0.3">
      <c r="M175" t="s">
        <v>37</v>
      </c>
      <c r="N175" t="s">
        <v>38</v>
      </c>
      <c r="O175">
        <v>51.65</v>
      </c>
    </row>
    <row r="176" spans="13:15" x14ac:dyDescent="0.3">
      <c r="M176" t="s">
        <v>68</v>
      </c>
      <c r="N176" t="s">
        <v>65</v>
      </c>
      <c r="O176">
        <v>71.290000000000006</v>
      </c>
    </row>
    <row r="177" spans="13:15" x14ac:dyDescent="0.3">
      <c r="M177" t="s">
        <v>68</v>
      </c>
      <c r="N177" t="s">
        <v>29</v>
      </c>
      <c r="O177">
        <v>84.13</v>
      </c>
    </row>
    <row r="178" spans="13:15" x14ac:dyDescent="0.3">
      <c r="M178" t="s">
        <v>28</v>
      </c>
      <c r="N178" t="s">
        <v>29</v>
      </c>
      <c r="O178">
        <v>84.05</v>
      </c>
    </row>
    <row r="179" spans="13:15" x14ac:dyDescent="0.3">
      <c r="M179" t="s">
        <v>37</v>
      </c>
      <c r="N179" t="s">
        <v>65</v>
      </c>
      <c r="O179">
        <v>71.2</v>
      </c>
    </row>
    <row r="180" spans="13:15" x14ac:dyDescent="0.3">
      <c r="M180" t="s">
        <v>37</v>
      </c>
      <c r="N180" t="s">
        <v>38</v>
      </c>
      <c r="O180">
        <v>90.67</v>
      </c>
    </row>
    <row r="181" spans="13:15" x14ac:dyDescent="0.3">
      <c r="M181" t="s">
        <v>28</v>
      </c>
      <c r="N181" t="s">
        <v>38</v>
      </c>
      <c r="O181">
        <v>76.92</v>
      </c>
    </row>
    <row r="182" spans="13:15" x14ac:dyDescent="0.3">
      <c r="M182" t="s">
        <v>68</v>
      </c>
      <c r="N182" t="s">
        <v>65</v>
      </c>
      <c r="O182">
        <v>51.59</v>
      </c>
    </row>
    <row r="183" spans="13:15" x14ac:dyDescent="0.3">
      <c r="M183" t="s">
        <v>68</v>
      </c>
      <c r="N183" t="s">
        <v>38</v>
      </c>
      <c r="O183">
        <v>90.65</v>
      </c>
    </row>
    <row r="184" spans="13:15" x14ac:dyDescent="0.3">
      <c r="M184" t="s">
        <v>28</v>
      </c>
      <c r="N184" t="s">
        <v>29</v>
      </c>
      <c r="O184">
        <v>51.57</v>
      </c>
    </row>
    <row r="185" spans="13:15" x14ac:dyDescent="0.3">
      <c r="M185" t="s">
        <v>28</v>
      </c>
      <c r="N185" t="s">
        <v>38</v>
      </c>
      <c r="O185">
        <v>76.88</v>
      </c>
    </row>
    <row r="186" spans="13:15" x14ac:dyDescent="0.3">
      <c r="M186" t="s">
        <v>28</v>
      </c>
      <c r="N186" t="s">
        <v>29</v>
      </c>
      <c r="O186">
        <v>83.92</v>
      </c>
    </row>
    <row r="187" spans="13:15" x14ac:dyDescent="0.3">
      <c r="M187" t="s">
        <v>64</v>
      </c>
      <c r="N187" t="s">
        <v>38</v>
      </c>
      <c r="O187">
        <v>90.53</v>
      </c>
    </row>
    <row r="188" spans="13:15" x14ac:dyDescent="0.3">
      <c r="M188" t="s">
        <v>28</v>
      </c>
      <c r="N188" t="s">
        <v>29</v>
      </c>
      <c r="O188">
        <v>65.11</v>
      </c>
    </row>
    <row r="189" spans="13:15" x14ac:dyDescent="0.3">
      <c r="M189" t="s">
        <v>68</v>
      </c>
      <c r="N189" t="s">
        <v>29</v>
      </c>
      <c r="O189">
        <v>65.03</v>
      </c>
    </row>
    <row r="190" spans="13:15" x14ac:dyDescent="0.3">
      <c r="M190" t="s">
        <v>37</v>
      </c>
      <c r="N190" t="s">
        <v>38</v>
      </c>
      <c r="O190">
        <v>64.81</v>
      </c>
    </row>
    <row r="191" spans="13:15" x14ac:dyDescent="0.3">
      <c r="M191" t="s">
        <v>68</v>
      </c>
      <c r="N191" t="s">
        <v>38</v>
      </c>
      <c r="O191">
        <v>83.65</v>
      </c>
    </row>
    <row r="192" spans="13:15" x14ac:dyDescent="0.3">
      <c r="M192" t="s">
        <v>28</v>
      </c>
      <c r="N192" t="s">
        <v>29</v>
      </c>
      <c r="O192">
        <v>83.53</v>
      </c>
    </row>
    <row r="193" spans="13:15" x14ac:dyDescent="0.3">
      <c r="M193" t="s">
        <v>37</v>
      </c>
      <c r="N193" t="s">
        <v>38</v>
      </c>
      <c r="O193">
        <v>76.510000000000005</v>
      </c>
    </row>
    <row r="194" spans="13:15" x14ac:dyDescent="0.3">
      <c r="M194" t="s">
        <v>28</v>
      </c>
      <c r="N194" t="s">
        <v>29</v>
      </c>
      <c r="O194">
        <v>51.54</v>
      </c>
    </row>
    <row r="195" spans="13:15" x14ac:dyDescent="0.3">
      <c r="M195" t="s">
        <v>28</v>
      </c>
      <c r="N195" t="s">
        <v>29</v>
      </c>
      <c r="O195">
        <v>76.48</v>
      </c>
    </row>
    <row r="196" spans="13:15" x14ac:dyDescent="0.3">
      <c r="M196" t="s">
        <v>68</v>
      </c>
      <c r="N196" t="s">
        <v>29</v>
      </c>
      <c r="O196">
        <v>76.47</v>
      </c>
    </row>
    <row r="197" spans="13:15" x14ac:dyDescent="0.3">
      <c r="M197" t="s">
        <v>64</v>
      </c>
      <c r="N197" t="s">
        <v>29</v>
      </c>
      <c r="O197">
        <v>83.45</v>
      </c>
    </row>
    <row r="198" spans="13:15" x14ac:dyDescent="0.3">
      <c r="M198" t="s">
        <v>28</v>
      </c>
      <c r="N198" t="s">
        <v>38</v>
      </c>
      <c r="O198">
        <v>64.69</v>
      </c>
    </row>
    <row r="199" spans="13:15" x14ac:dyDescent="0.3">
      <c r="M199" t="s">
        <v>28</v>
      </c>
      <c r="N199" t="s">
        <v>65</v>
      </c>
      <c r="O199">
        <v>57.08</v>
      </c>
    </row>
    <row r="200" spans="13:15" x14ac:dyDescent="0.3">
      <c r="M200" t="s">
        <v>68</v>
      </c>
      <c r="N200" t="s">
        <v>38</v>
      </c>
      <c r="O200">
        <v>50.83</v>
      </c>
    </row>
    <row r="201" spans="13:15" x14ac:dyDescent="0.3">
      <c r="M201" t="s">
        <v>68</v>
      </c>
      <c r="N201" t="s">
        <v>29</v>
      </c>
      <c r="O201">
        <v>83.38</v>
      </c>
    </row>
    <row r="202" spans="13:15" x14ac:dyDescent="0.3">
      <c r="M202" t="s">
        <v>37</v>
      </c>
      <c r="N202" t="s">
        <v>29</v>
      </c>
      <c r="O202">
        <v>64.16</v>
      </c>
    </row>
    <row r="203" spans="13:15" x14ac:dyDescent="0.3">
      <c r="M203" t="s">
        <v>37</v>
      </c>
      <c r="N203" t="s">
        <v>38</v>
      </c>
      <c r="O203">
        <v>90.38</v>
      </c>
    </row>
    <row r="204" spans="13:15" x14ac:dyDescent="0.3">
      <c r="M204" t="s">
        <v>28</v>
      </c>
      <c r="N204" t="s">
        <v>38</v>
      </c>
      <c r="O204">
        <v>56.96</v>
      </c>
    </row>
    <row r="205" spans="13:15" x14ac:dyDescent="0.3">
      <c r="M205" t="s">
        <v>64</v>
      </c>
      <c r="N205" t="s">
        <v>65</v>
      </c>
      <c r="O205">
        <v>56.3</v>
      </c>
    </row>
    <row r="206" spans="13:15" x14ac:dyDescent="0.3">
      <c r="M206" t="s">
        <v>68</v>
      </c>
      <c r="N206" t="s">
        <v>29</v>
      </c>
      <c r="O206">
        <v>83.2</v>
      </c>
    </row>
    <row r="207" spans="13:15" x14ac:dyDescent="0.3">
      <c r="M207" t="s">
        <v>37</v>
      </c>
      <c r="N207" t="s">
        <v>65</v>
      </c>
      <c r="O207">
        <v>71.03</v>
      </c>
    </row>
    <row r="208" spans="13:15" x14ac:dyDescent="0.3">
      <c r="M208" t="s">
        <v>68</v>
      </c>
      <c r="N208" t="s">
        <v>38</v>
      </c>
      <c r="O208">
        <v>50.43</v>
      </c>
    </row>
    <row r="209" spans="13:15" x14ac:dyDescent="0.3">
      <c r="M209" t="s">
        <v>68</v>
      </c>
      <c r="N209" t="s">
        <v>29</v>
      </c>
      <c r="O209">
        <v>56.08</v>
      </c>
    </row>
    <row r="210" spans="13:15" x14ac:dyDescent="0.3">
      <c r="M210" t="s">
        <v>37</v>
      </c>
      <c r="N210" t="s">
        <v>29</v>
      </c>
      <c r="O210">
        <v>83.08</v>
      </c>
    </row>
    <row r="211" spans="13:15" x14ac:dyDescent="0.3">
      <c r="M211" t="s">
        <v>68</v>
      </c>
      <c r="N211" t="s">
        <v>29</v>
      </c>
      <c r="O211">
        <v>83.03</v>
      </c>
    </row>
    <row r="212" spans="13:15" x14ac:dyDescent="0.3">
      <c r="M212" t="s">
        <v>37</v>
      </c>
      <c r="N212" t="s">
        <v>65</v>
      </c>
      <c r="O212">
        <v>64.08</v>
      </c>
    </row>
    <row r="213" spans="13:15" x14ac:dyDescent="0.3">
      <c r="M213" t="s">
        <v>68</v>
      </c>
      <c r="N213" t="s">
        <v>38</v>
      </c>
      <c r="O213">
        <v>90.27</v>
      </c>
    </row>
    <row r="214" spans="13:15" x14ac:dyDescent="0.3">
      <c r="M214" t="s">
        <v>64</v>
      </c>
      <c r="N214" t="s">
        <v>65</v>
      </c>
      <c r="O214">
        <v>70.95</v>
      </c>
    </row>
    <row r="215" spans="13:15" x14ac:dyDescent="0.3">
      <c r="M215" t="s">
        <v>37</v>
      </c>
      <c r="N215" t="s">
        <v>82</v>
      </c>
      <c r="O215">
        <v>50.41</v>
      </c>
    </row>
    <row r="216" spans="13:15" x14ac:dyDescent="0.3">
      <c r="M216" t="s">
        <v>64</v>
      </c>
      <c r="N216" t="s">
        <v>38</v>
      </c>
      <c r="O216">
        <v>76.13</v>
      </c>
    </row>
    <row r="217" spans="13:15" x14ac:dyDescent="0.3">
      <c r="M217" t="s">
        <v>68</v>
      </c>
      <c r="N217" t="s">
        <v>38</v>
      </c>
      <c r="O217">
        <v>90.25</v>
      </c>
    </row>
    <row r="218" spans="13:15" x14ac:dyDescent="0.3">
      <c r="M218" t="s">
        <v>37</v>
      </c>
      <c r="N218" t="s">
        <v>29</v>
      </c>
      <c r="O218">
        <v>89.82</v>
      </c>
    </row>
    <row r="219" spans="13:15" x14ac:dyDescent="0.3">
      <c r="M219" t="s">
        <v>28</v>
      </c>
      <c r="N219" t="s">
        <v>65</v>
      </c>
      <c r="O219">
        <v>63.37</v>
      </c>
    </row>
    <row r="220" spans="13:15" x14ac:dyDescent="0.3">
      <c r="M220" t="s">
        <v>28</v>
      </c>
      <c r="N220" t="s">
        <v>38</v>
      </c>
      <c r="O220">
        <v>55.95</v>
      </c>
    </row>
    <row r="221" spans="13:15" x14ac:dyDescent="0.3">
      <c r="M221" t="s">
        <v>28</v>
      </c>
      <c r="N221" t="s">
        <v>65</v>
      </c>
      <c r="O221">
        <v>55.78</v>
      </c>
    </row>
    <row r="222" spans="13:15" x14ac:dyDescent="0.3">
      <c r="M222" t="s">
        <v>64</v>
      </c>
      <c r="N222" t="s">
        <v>65</v>
      </c>
      <c r="O222">
        <v>62.75</v>
      </c>
    </row>
    <row r="223" spans="13:15" x14ac:dyDescent="0.3">
      <c r="M223" t="s">
        <v>37</v>
      </c>
      <c r="N223" t="s">
        <v>38</v>
      </c>
      <c r="O223">
        <v>82.95</v>
      </c>
    </row>
    <row r="224" spans="13:15" x14ac:dyDescent="0.3">
      <c r="M224" t="s">
        <v>64</v>
      </c>
      <c r="N224" t="s">
        <v>29</v>
      </c>
      <c r="O224">
        <v>55.6</v>
      </c>
    </row>
    <row r="225" spans="13:15" x14ac:dyDescent="0.3">
      <c r="M225" t="s">
        <v>64</v>
      </c>
      <c r="N225" t="s">
        <v>65</v>
      </c>
      <c r="O225">
        <v>70.849999999999994</v>
      </c>
    </row>
    <row r="226" spans="13:15" x14ac:dyDescent="0.3">
      <c r="M226" t="s">
        <v>37</v>
      </c>
      <c r="N226" t="s">
        <v>38</v>
      </c>
      <c r="O226">
        <v>50.24</v>
      </c>
    </row>
    <row r="227" spans="13:15" x14ac:dyDescent="0.3">
      <c r="M227" t="s">
        <v>68</v>
      </c>
      <c r="N227" t="s">
        <v>38</v>
      </c>
      <c r="O227">
        <v>89.79</v>
      </c>
    </row>
    <row r="228" spans="13:15" x14ac:dyDescent="0.3">
      <c r="M228" t="s">
        <v>68</v>
      </c>
      <c r="N228" t="s">
        <v>29</v>
      </c>
      <c r="O228">
        <v>89.73</v>
      </c>
    </row>
    <row r="229" spans="13:15" x14ac:dyDescent="0.3">
      <c r="M229" t="s">
        <v>64</v>
      </c>
      <c r="N229" t="s">
        <v>29</v>
      </c>
      <c r="O229">
        <v>70.790000000000006</v>
      </c>
    </row>
    <row r="230" spans="13:15" x14ac:dyDescent="0.3">
      <c r="M230" t="s">
        <v>68</v>
      </c>
      <c r="N230" t="s">
        <v>29</v>
      </c>
      <c r="O230">
        <v>55.42</v>
      </c>
    </row>
    <row r="231" spans="13:15" x14ac:dyDescent="0.3">
      <c r="M231" t="s">
        <v>37</v>
      </c>
      <c r="N231" t="s">
        <v>38</v>
      </c>
      <c r="O231">
        <v>89.67</v>
      </c>
    </row>
    <row r="232" spans="13:15" x14ac:dyDescent="0.3">
      <c r="M232" t="s">
        <v>64</v>
      </c>
      <c r="N232" t="s">
        <v>38</v>
      </c>
      <c r="O232">
        <v>75.8</v>
      </c>
    </row>
    <row r="233" spans="13:15" x14ac:dyDescent="0.3">
      <c r="M233" t="s">
        <v>68</v>
      </c>
      <c r="N233" t="s">
        <v>29</v>
      </c>
      <c r="O233">
        <v>50.23</v>
      </c>
    </row>
    <row r="234" spans="13:15" x14ac:dyDescent="0.3">
      <c r="M234" t="s">
        <v>28</v>
      </c>
      <c r="N234" t="s">
        <v>29</v>
      </c>
      <c r="O234">
        <v>50.23</v>
      </c>
    </row>
    <row r="235" spans="13:15" x14ac:dyDescent="0.3">
      <c r="M235" t="s">
        <v>64</v>
      </c>
      <c r="N235" t="s">
        <v>29</v>
      </c>
      <c r="O235">
        <v>89.56</v>
      </c>
    </row>
    <row r="236" spans="13:15" x14ac:dyDescent="0.3">
      <c r="M236" t="s">
        <v>28</v>
      </c>
      <c r="N236" t="s">
        <v>38</v>
      </c>
      <c r="O236">
        <v>62.66</v>
      </c>
    </row>
    <row r="237" spans="13:15" x14ac:dyDescent="0.3">
      <c r="M237" t="s">
        <v>37</v>
      </c>
      <c r="N237" t="s">
        <v>29</v>
      </c>
      <c r="O237">
        <v>89.45</v>
      </c>
    </row>
    <row r="238" spans="13:15" x14ac:dyDescent="0.3">
      <c r="M238" t="s">
        <v>37</v>
      </c>
      <c r="N238" t="s">
        <v>29</v>
      </c>
      <c r="O238">
        <v>62.48</v>
      </c>
    </row>
    <row r="239" spans="13:15" x14ac:dyDescent="0.3">
      <c r="M239" t="s">
        <v>68</v>
      </c>
      <c r="N239" t="s">
        <v>29</v>
      </c>
      <c r="O239">
        <v>89.07</v>
      </c>
    </row>
    <row r="240" spans="13:15" x14ac:dyDescent="0.3">
      <c r="M240" t="s">
        <v>28</v>
      </c>
      <c r="N240" t="s">
        <v>38</v>
      </c>
      <c r="O240">
        <v>75.760000000000005</v>
      </c>
    </row>
    <row r="241" spans="13:15" x14ac:dyDescent="0.3">
      <c r="M241" t="s">
        <v>64</v>
      </c>
      <c r="N241" t="s">
        <v>29</v>
      </c>
      <c r="O241">
        <v>82.95</v>
      </c>
    </row>
    <row r="242" spans="13:15" x14ac:dyDescent="0.3">
      <c r="M242" t="s">
        <v>28</v>
      </c>
      <c r="N242" t="s">
        <v>38</v>
      </c>
      <c r="O242">
        <v>50.15</v>
      </c>
    </row>
    <row r="243" spans="13:15" x14ac:dyDescent="0.3">
      <c r="M243" t="s">
        <v>28</v>
      </c>
      <c r="N243" t="s">
        <v>29</v>
      </c>
      <c r="O243">
        <v>88.9</v>
      </c>
    </row>
    <row r="244" spans="13:15" x14ac:dyDescent="0.3">
      <c r="M244" t="s">
        <v>28</v>
      </c>
      <c r="N244" t="s">
        <v>38</v>
      </c>
      <c r="O244">
        <v>75.709999999999994</v>
      </c>
    </row>
    <row r="245" spans="13:15" x14ac:dyDescent="0.3">
      <c r="M245" t="s">
        <v>37</v>
      </c>
      <c r="N245" t="s">
        <v>65</v>
      </c>
      <c r="O245">
        <v>62.28</v>
      </c>
    </row>
    <row r="246" spans="13:15" x14ac:dyDescent="0.3">
      <c r="M246" t="s">
        <v>37</v>
      </c>
      <c r="N246" t="s">
        <v>65</v>
      </c>
      <c r="O246">
        <v>62.23</v>
      </c>
    </row>
    <row r="247" spans="13:15" x14ac:dyDescent="0.3">
      <c r="M247" t="s">
        <v>68</v>
      </c>
      <c r="N247" t="s">
        <v>29</v>
      </c>
      <c r="O247">
        <v>50.11</v>
      </c>
    </row>
    <row r="248" spans="13:15" x14ac:dyDescent="0.3">
      <c r="M248" t="s">
        <v>68</v>
      </c>
      <c r="N248" t="s">
        <v>65</v>
      </c>
      <c r="O248">
        <v>70.69</v>
      </c>
    </row>
    <row r="249" spans="13:15" x14ac:dyDescent="0.3">
      <c r="M249" t="s">
        <v>37</v>
      </c>
      <c r="N249" t="s">
        <v>29</v>
      </c>
      <c r="O249">
        <v>88.75</v>
      </c>
    </row>
    <row r="250" spans="13:15" x14ac:dyDescent="0.3">
      <c r="M250" t="s">
        <v>37</v>
      </c>
      <c r="N250" t="s">
        <v>38</v>
      </c>
      <c r="O250">
        <v>55.42</v>
      </c>
    </row>
    <row r="251" spans="13:15" x14ac:dyDescent="0.3">
      <c r="M251" t="s">
        <v>37</v>
      </c>
      <c r="N251" t="s">
        <v>29</v>
      </c>
      <c r="O251">
        <v>62.15</v>
      </c>
    </row>
    <row r="252" spans="13:15" x14ac:dyDescent="0.3">
      <c r="M252" t="s">
        <v>37</v>
      </c>
      <c r="N252" t="s">
        <v>29</v>
      </c>
      <c r="O252">
        <v>82.9</v>
      </c>
    </row>
    <row r="253" spans="13:15" x14ac:dyDescent="0.3">
      <c r="M253" t="s">
        <v>64</v>
      </c>
      <c r="N253" t="s">
        <v>38</v>
      </c>
      <c r="O253">
        <v>82.58</v>
      </c>
    </row>
    <row r="254" spans="13:15" x14ac:dyDescent="0.3">
      <c r="M254" t="s">
        <v>64</v>
      </c>
      <c r="N254" t="s">
        <v>29</v>
      </c>
      <c r="O254">
        <v>61.99</v>
      </c>
    </row>
    <row r="255" spans="13:15" x14ac:dyDescent="0.3">
      <c r="M255" t="s">
        <v>37</v>
      </c>
      <c r="N255" t="s">
        <v>29</v>
      </c>
      <c r="O255">
        <v>70.58</v>
      </c>
    </row>
    <row r="256" spans="13:15" x14ac:dyDescent="0.3">
      <c r="M256" t="s">
        <v>37</v>
      </c>
      <c r="N256" t="s">
        <v>65</v>
      </c>
      <c r="O256">
        <v>70.48</v>
      </c>
    </row>
    <row r="257" spans="13:15" x14ac:dyDescent="0.3">
      <c r="M257" t="s">
        <v>68</v>
      </c>
      <c r="N257" t="s">
        <v>38</v>
      </c>
      <c r="O257">
        <v>75.459999999999994</v>
      </c>
    </row>
    <row r="258" spans="13:15" x14ac:dyDescent="0.3">
      <c r="M258" t="s">
        <v>28</v>
      </c>
      <c r="N258" t="s">
        <v>38</v>
      </c>
      <c r="O258">
        <v>82.47</v>
      </c>
    </row>
    <row r="259" spans="13:15" x14ac:dyDescent="0.3">
      <c r="M259" t="s">
        <v>37</v>
      </c>
      <c r="N259" t="s">
        <v>38</v>
      </c>
      <c r="O259">
        <v>75.23</v>
      </c>
    </row>
    <row r="260" spans="13:15" x14ac:dyDescent="0.3">
      <c r="M260" t="s">
        <v>68</v>
      </c>
      <c r="N260" t="s">
        <v>38</v>
      </c>
      <c r="O260">
        <v>82.41</v>
      </c>
    </row>
    <row r="261" spans="13:15" x14ac:dyDescent="0.3">
      <c r="M261" t="s">
        <v>68</v>
      </c>
      <c r="N261" t="s">
        <v>38</v>
      </c>
      <c r="O261">
        <v>88.71</v>
      </c>
    </row>
    <row r="262" spans="13:15" x14ac:dyDescent="0.3">
      <c r="M262" t="s">
        <v>64</v>
      </c>
      <c r="N262" t="s">
        <v>38</v>
      </c>
      <c r="O262">
        <v>88.38</v>
      </c>
    </row>
    <row r="263" spans="13:15" x14ac:dyDescent="0.3">
      <c r="M263" t="s">
        <v>28</v>
      </c>
      <c r="N263" t="s">
        <v>82</v>
      </c>
      <c r="O263">
        <v>55.21</v>
      </c>
    </row>
    <row r="264" spans="13:15" x14ac:dyDescent="0.3">
      <c r="M264" t="s">
        <v>28</v>
      </c>
      <c r="N264" t="s">
        <v>38</v>
      </c>
      <c r="O264">
        <v>88.35</v>
      </c>
    </row>
    <row r="265" spans="13:15" x14ac:dyDescent="0.3">
      <c r="M265" t="s">
        <v>28</v>
      </c>
      <c r="N265" t="s">
        <v>29</v>
      </c>
      <c r="O265">
        <v>55.19</v>
      </c>
    </row>
    <row r="266" spans="13:15" x14ac:dyDescent="0.3">
      <c r="M266" t="s">
        <v>37</v>
      </c>
      <c r="N266" t="s">
        <v>38</v>
      </c>
      <c r="O266">
        <v>88.09</v>
      </c>
    </row>
    <row r="267" spans="13:15" x14ac:dyDescent="0.3">
      <c r="M267" t="s">
        <v>37</v>
      </c>
      <c r="N267" t="s">
        <v>65</v>
      </c>
      <c r="O267">
        <v>50.05</v>
      </c>
    </row>
    <row r="268" spans="13:15" x14ac:dyDescent="0.3">
      <c r="M268" t="s">
        <v>28</v>
      </c>
      <c r="N268" t="s">
        <v>38</v>
      </c>
      <c r="O268">
        <v>87.87</v>
      </c>
    </row>
    <row r="269" spans="13:15" x14ac:dyDescent="0.3">
      <c r="M269" t="s">
        <v>68</v>
      </c>
      <c r="N269" t="s">
        <v>38</v>
      </c>
      <c r="O269">
        <v>75.19</v>
      </c>
    </row>
    <row r="270" spans="13:15" x14ac:dyDescent="0.3">
      <c r="M270" t="s">
        <v>64</v>
      </c>
      <c r="N270" t="s">
        <v>29</v>
      </c>
      <c r="O270">
        <v>61.87</v>
      </c>
    </row>
    <row r="271" spans="13:15" x14ac:dyDescent="0.3">
      <c r="M271" t="s">
        <v>64</v>
      </c>
      <c r="N271" t="s">
        <v>38</v>
      </c>
      <c r="O271">
        <v>75.03</v>
      </c>
    </row>
    <row r="272" spans="13:15" x14ac:dyDescent="0.3">
      <c r="M272" t="s">
        <v>37</v>
      </c>
      <c r="N272" t="s">
        <v>65</v>
      </c>
      <c r="O272">
        <v>61.71</v>
      </c>
    </row>
    <row r="273" spans="13:15" x14ac:dyDescent="0.3">
      <c r="M273" t="s">
        <v>68</v>
      </c>
      <c r="N273" t="s">
        <v>29</v>
      </c>
      <c r="O273">
        <v>69.849999999999994</v>
      </c>
    </row>
    <row r="274" spans="13:15" x14ac:dyDescent="0.3">
      <c r="M274" t="s">
        <v>37</v>
      </c>
      <c r="N274" t="s">
        <v>38</v>
      </c>
      <c r="O274">
        <v>75.010000000000005</v>
      </c>
    </row>
    <row r="275" spans="13:15" x14ac:dyDescent="0.3">
      <c r="M275" t="s">
        <v>28</v>
      </c>
      <c r="N275" t="s">
        <v>29</v>
      </c>
      <c r="O275">
        <v>69.67</v>
      </c>
    </row>
    <row r="276" spans="13:15" x14ac:dyDescent="0.3">
      <c r="M276" t="s">
        <v>37</v>
      </c>
      <c r="N276" t="s">
        <v>65</v>
      </c>
      <c r="O276">
        <v>55.14</v>
      </c>
    </row>
    <row r="277" spans="13:15" x14ac:dyDescent="0.3">
      <c r="M277" t="s">
        <v>37</v>
      </c>
      <c r="N277" t="s">
        <v>82</v>
      </c>
      <c r="O277">
        <v>54.93</v>
      </c>
    </row>
    <row r="278" spans="13:15" x14ac:dyDescent="0.3">
      <c r="M278" t="s">
        <v>37</v>
      </c>
      <c r="N278" t="s">
        <v>29</v>
      </c>
      <c r="O278">
        <v>50.01</v>
      </c>
    </row>
    <row r="279" spans="13:15" x14ac:dyDescent="0.3">
      <c r="M279" t="s">
        <v>37</v>
      </c>
      <c r="N279" t="s">
        <v>38</v>
      </c>
      <c r="O279">
        <v>87.81</v>
      </c>
    </row>
    <row r="280" spans="13:15" x14ac:dyDescent="0.3">
      <c r="M280" t="s">
        <v>64</v>
      </c>
      <c r="N280" t="s">
        <v>38</v>
      </c>
      <c r="O280">
        <v>74.47</v>
      </c>
    </row>
    <row r="281" spans="13:15" x14ac:dyDescent="0.3">
      <c r="M281" t="s">
        <v>68</v>
      </c>
      <c r="N281" t="s">
        <v>29</v>
      </c>
      <c r="O281">
        <v>69.45</v>
      </c>
    </row>
  </sheetData>
  <mergeCells count="2">
    <mergeCell ref="T2:U2"/>
    <mergeCell ref="W2:X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AA078-4BDB-5543-A954-3F71EE8AA392}">
  <dimension ref="A1:AP281"/>
  <sheetViews>
    <sheetView topLeftCell="A51" zoomScaleNormal="150" zoomScaleSheetLayoutView="100" workbookViewId="0">
      <selection activeCell="B77" sqref="B77"/>
    </sheetView>
  </sheetViews>
  <sheetFormatPr defaultRowHeight="14.4" x14ac:dyDescent="0.3"/>
  <cols>
    <col min="2" max="2" width="65.6640625" bestFit="1" customWidth="1"/>
    <col min="3" max="3" width="15.5546875" bestFit="1" customWidth="1"/>
    <col min="5" max="5" width="15" bestFit="1" customWidth="1"/>
    <col min="6" max="6" width="9.6640625" bestFit="1" customWidth="1"/>
    <col min="7" max="7" width="10.6640625" bestFit="1" customWidth="1"/>
    <col min="14" max="14" width="8.44140625" bestFit="1" customWidth="1"/>
    <col min="15" max="15" width="7.33203125" bestFit="1" customWidth="1"/>
    <col min="16" max="18" width="10.33203125" bestFit="1" customWidth="1"/>
    <col min="19" max="19" width="8.33203125" bestFit="1" customWidth="1"/>
    <col min="20" max="20" width="9.88671875" bestFit="1" customWidth="1"/>
    <col min="21" max="21" width="6.6640625" bestFit="1" customWidth="1"/>
    <col min="22" max="22" width="6.44140625" bestFit="1" customWidth="1"/>
    <col min="23" max="23" width="8.6640625" bestFit="1" customWidth="1"/>
    <col min="24" max="24" width="9.109375" bestFit="1" customWidth="1"/>
    <col min="25" max="25" width="8.109375" bestFit="1" customWidth="1"/>
    <col min="26" max="26" width="18.109375" bestFit="1" customWidth="1"/>
    <col min="27" max="27" width="14.44140625" bestFit="1" customWidth="1"/>
    <col min="28" max="28" width="18.109375" bestFit="1" customWidth="1"/>
    <col min="29" max="29" width="8.6640625" bestFit="1" customWidth="1"/>
    <col min="30" max="30" width="8" bestFit="1" customWidth="1"/>
    <col min="31" max="31" width="10.109375" bestFit="1" customWidth="1"/>
    <col min="32" max="32" width="9.33203125" bestFit="1" customWidth="1"/>
    <col min="33" max="33" width="4.33203125" bestFit="1" customWidth="1"/>
    <col min="34" max="35" width="10.6640625" bestFit="1" customWidth="1"/>
    <col min="36" max="36" width="10.33203125" customWidth="1"/>
    <col min="37" max="37" width="8.6640625" bestFit="1" customWidth="1"/>
    <col min="38" max="38" width="11.6640625" bestFit="1" customWidth="1"/>
    <col min="39" max="39" width="7.109375" bestFit="1" customWidth="1"/>
    <col min="40" max="40" width="14.6640625" bestFit="1" customWidth="1"/>
    <col min="41" max="41" width="9.44140625" customWidth="1"/>
    <col min="42" max="42" width="29" bestFit="1" customWidth="1"/>
    <col min="43" max="43" width="13.88671875" bestFit="1" customWidth="1"/>
    <col min="44" max="44" width="11.5546875" bestFit="1" customWidth="1"/>
    <col min="45" max="45" width="15" bestFit="1" customWidth="1"/>
    <col min="46" max="46" width="9.6640625" bestFit="1" customWidth="1"/>
    <col min="47" max="47" width="10.6640625" bestFit="1" customWidth="1"/>
    <col min="48" max="48" width="3" bestFit="1" customWidth="1"/>
    <col min="49" max="49" width="29" bestFit="1" customWidth="1"/>
    <col min="50" max="50" width="13.88671875" bestFit="1" customWidth="1"/>
    <col min="51" max="51" width="11.5546875" bestFit="1" customWidth="1"/>
    <col min="52" max="52" width="15" bestFit="1" customWidth="1"/>
    <col min="53" max="53" width="9.6640625" bestFit="1" customWidth="1"/>
    <col min="54" max="54" width="10.6640625" bestFit="1" customWidth="1"/>
    <col min="55" max="309" width="8" bestFit="1" customWidth="1"/>
    <col min="310" max="310" width="11.33203125" bestFit="1" customWidth="1"/>
  </cols>
  <sheetData>
    <row r="1" spans="1:40" ht="57.6" x14ac:dyDescent="0.5">
      <c r="A1" s="12" t="s">
        <v>13</v>
      </c>
      <c r="N1" s="2" t="s">
        <v>0</v>
      </c>
      <c r="O1" s="2" t="s">
        <v>1</v>
      </c>
      <c r="P1" s="2" t="s">
        <v>2</v>
      </c>
      <c r="Q1" s="2" t="s">
        <v>3</v>
      </c>
      <c r="R1" s="2" t="s">
        <v>4</v>
      </c>
      <c r="S1" s="2" t="s">
        <v>5</v>
      </c>
      <c r="T1" s="2" t="s">
        <v>6</v>
      </c>
      <c r="U1" s="2" t="s">
        <v>7</v>
      </c>
      <c r="V1" s="2" t="s">
        <v>8</v>
      </c>
      <c r="W1" s="2" t="s">
        <v>9</v>
      </c>
      <c r="X1" s="2" t="s">
        <v>10</v>
      </c>
      <c r="Y1" s="2" t="s">
        <v>11</v>
      </c>
      <c r="Z1" s="2" t="s">
        <v>12</v>
      </c>
      <c r="AA1" s="2" t="s">
        <v>13</v>
      </c>
      <c r="AB1" s="2" t="s">
        <v>14</v>
      </c>
      <c r="AC1" s="2" t="s">
        <v>15</v>
      </c>
      <c r="AD1" s="2" t="s">
        <v>16</v>
      </c>
      <c r="AE1" s="2" t="s">
        <v>17</v>
      </c>
      <c r="AF1" s="2" t="s">
        <v>18</v>
      </c>
      <c r="AG1" s="2" t="s">
        <v>19</v>
      </c>
      <c r="AH1" s="2" t="s">
        <v>20</v>
      </c>
      <c r="AI1" s="2" t="s">
        <v>21</v>
      </c>
      <c r="AJ1" s="2" t="s">
        <v>22</v>
      </c>
      <c r="AK1" s="2" t="s">
        <v>23</v>
      </c>
      <c r="AL1" s="2" t="s">
        <v>24</v>
      </c>
      <c r="AM1" s="2" t="s">
        <v>25</v>
      </c>
      <c r="AN1" s="2" t="s">
        <v>26</v>
      </c>
    </row>
    <row r="2" spans="1:40" ht="15.6" x14ac:dyDescent="0.3">
      <c r="B2" s="11" t="s">
        <v>617</v>
      </c>
      <c r="N2" t="s">
        <v>27</v>
      </c>
      <c r="O2" t="s">
        <v>28</v>
      </c>
      <c r="P2" t="s">
        <v>29</v>
      </c>
      <c r="Q2" t="s">
        <v>30</v>
      </c>
      <c r="R2" t="s">
        <v>31</v>
      </c>
      <c r="S2" t="s">
        <v>32</v>
      </c>
      <c r="T2">
        <v>71</v>
      </c>
      <c r="U2">
        <v>0</v>
      </c>
      <c r="V2">
        <v>2</v>
      </c>
      <c r="W2">
        <v>69.209999999999994</v>
      </c>
      <c r="X2">
        <v>11.7</v>
      </c>
      <c r="Y2">
        <v>14.47</v>
      </c>
      <c r="AA2" t="s">
        <v>33</v>
      </c>
      <c r="AD2">
        <v>0</v>
      </c>
      <c r="AE2">
        <v>3</v>
      </c>
      <c r="AF2" t="s">
        <v>34</v>
      </c>
      <c r="AG2">
        <v>29</v>
      </c>
      <c r="AH2">
        <v>188</v>
      </c>
      <c r="AI2">
        <v>79</v>
      </c>
      <c r="AJ2" t="s">
        <v>35</v>
      </c>
      <c r="AK2">
        <v>66.099999999999994</v>
      </c>
      <c r="AL2">
        <v>7.58</v>
      </c>
      <c r="AM2">
        <v>1.08</v>
      </c>
      <c r="AN2">
        <v>98.33</v>
      </c>
    </row>
    <row r="3" spans="1:40" ht="15.6" x14ac:dyDescent="0.3">
      <c r="B3" s="17" t="s">
        <v>618</v>
      </c>
      <c r="N3" t="s">
        <v>36</v>
      </c>
      <c r="O3" t="s">
        <v>37</v>
      </c>
      <c r="P3" t="s">
        <v>38</v>
      </c>
      <c r="Q3" t="s">
        <v>39</v>
      </c>
      <c r="R3" t="s">
        <v>40</v>
      </c>
      <c r="S3" t="s">
        <v>41</v>
      </c>
      <c r="T3">
        <v>34</v>
      </c>
      <c r="U3">
        <v>2</v>
      </c>
      <c r="V3">
        <v>6</v>
      </c>
      <c r="W3">
        <v>94.97</v>
      </c>
      <c r="X3">
        <v>19.899999999999999</v>
      </c>
      <c r="Y3">
        <v>6.66</v>
      </c>
      <c r="AA3" t="s">
        <v>42</v>
      </c>
      <c r="AB3" s="1">
        <v>45025</v>
      </c>
      <c r="AC3">
        <v>57</v>
      </c>
      <c r="AD3">
        <v>0</v>
      </c>
      <c r="AE3">
        <v>2</v>
      </c>
      <c r="AF3" t="s">
        <v>43</v>
      </c>
      <c r="AG3">
        <v>27</v>
      </c>
      <c r="AH3">
        <v>195</v>
      </c>
      <c r="AI3">
        <v>86</v>
      </c>
      <c r="AJ3" t="s">
        <v>44</v>
      </c>
      <c r="AK3">
        <v>63</v>
      </c>
      <c r="AL3">
        <v>6.16</v>
      </c>
      <c r="AM3">
        <v>0.65</v>
      </c>
      <c r="AN3">
        <v>89.25</v>
      </c>
    </row>
    <row r="4" spans="1:40" ht="15.6" x14ac:dyDescent="0.3">
      <c r="B4" s="17" t="s">
        <v>619</v>
      </c>
      <c r="N4" t="s">
        <v>45</v>
      </c>
      <c r="O4" t="s">
        <v>37</v>
      </c>
      <c r="P4" t="s">
        <v>29</v>
      </c>
      <c r="Q4" t="s">
        <v>46</v>
      </c>
      <c r="R4" t="s">
        <v>31</v>
      </c>
      <c r="S4" t="s">
        <v>41</v>
      </c>
      <c r="T4">
        <v>91</v>
      </c>
      <c r="U4">
        <v>2</v>
      </c>
      <c r="V4">
        <v>2</v>
      </c>
      <c r="W4">
        <v>68.989999999999995</v>
      </c>
      <c r="X4">
        <v>11.6</v>
      </c>
      <c r="Y4">
        <v>12.71</v>
      </c>
      <c r="Z4" s="1">
        <v>45154</v>
      </c>
      <c r="AA4" t="s">
        <v>47</v>
      </c>
      <c r="AD4">
        <v>0</v>
      </c>
      <c r="AE4">
        <v>0</v>
      </c>
      <c r="AF4" t="s">
        <v>34</v>
      </c>
      <c r="AG4">
        <v>24</v>
      </c>
      <c r="AH4">
        <v>197</v>
      </c>
      <c r="AI4">
        <v>74</v>
      </c>
      <c r="AJ4" t="s">
        <v>48</v>
      </c>
      <c r="AK4">
        <v>63.7</v>
      </c>
      <c r="AL4">
        <v>7.9</v>
      </c>
      <c r="AM4">
        <v>1.31</v>
      </c>
      <c r="AN4">
        <v>90.14</v>
      </c>
    </row>
    <row r="5" spans="1:40" x14ac:dyDescent="0.3">
      <c r="N5" t="s">
        <v>49</v>
      </c>
      <c r="O5" t="s">
        <v>28</v>
      </c>
      <c r="P5" t="s">
        <v>29</v>
      </c>
      <c r="Q5" t="s">
        <v>50</v>
      </c>
      <c r="R5" t="s">
        <v>51</v>
      </c>
      <c r="S5" t="s">
        <v>32</v>
      </c>
      <c r="T5">
        <v>80</v>
      </c>
      <c r="U5">
        <v>0</v>
      </c>
      <c r="V5">
        <v>5</v>
      </c>
      <c r="W5">
        <v>87.71</v>
      </c>
      <c r="X5">
        <v>17.899999999999999</v>
      </c>
      <c r="Y5">
        <v>12.09</v>
      </c>
      <c r="AA5" t="s">
        <v>42</v>
      </c>
      <c r="AB5" s="1">
        <v>44973</v>
      </c>
      <c r="AD5">
        <v>0</v>
      </c>
      <c r="AE5">
        <v>4</v>
      </c>
      <c r="AF5" t="s">
        <v>52</v>
      </c>
      <c r="AG5">
        <v>30</v>
      </c>
      <c r="AH5">
        <v>198</v>
      </c>
      <c r="AI5">
        <v>65</v>
      </c>
      <c r="AJ5" t="s">
        <v>53</v>
      </c>
      <c r="AK5">
        <v>59.9</v>
      </c>
      <c r="AL5">
        <v>8.17</v>
      </c>
      <c r="AM5">
        <v>1.1399999999999999</v>
      </c>
      <c r="AN5">
        <v>88.97</v>
      </c>
    </row>
    <row r="6" spans="1:40" x14ac:dyDescent="0.3">
      <c r="N6" t="s">
        <v>54</v>
      </c>
      <c r="O6" t="s">
        <v>28</v>
      </c>
      <c r="P6" t="s">
        <v>38</v>
      </c>
      <c r="Q6" t="s">
        <v>55</v>
      </c>
      <c r="R6" t="s">
        <v>56</v>
      </c>
      <c r="S6" t="s">
        <v>41</v>
      </c>
      <c r="T6">
        <v>40</v>
      </c>
      <c r="U6">
        <v>4</v>
      </c>
      <c r="V6">
        <v>5</v>
      </c>
      <c r="W6">
        <v>87.7</v>
      </c>
      <c r="X6">
        <v>17.8</v>
      </c>
      <c r="Y6">
        <v>9.74</v>
      </c>
      <c r="AA6" t="s">
        <v>33</v>
      </c>
      <c r="AB6" s="1">
        <v>44943</v>
      </c>
      <c r="AD6">
        <v>0</v>
      </c>
      <c r="AE6">
        <v>4</v>
      </c>
      <c r="AF6" t="s">
        <v>34</v>
      </c>
      <c r="AG6">
        <v>24</v>
      </c>
      <c r="AH6">
        <v>196</v>
      </c>
      <c r="AI6">
        <v>73</v>
      </c>
      <c r="AJ6" t="s">
        <v>53</v>
      </c>
      <c r="AK6">
        <v>47.8</v>
      </c>
      <c r="AL6">
        <v>6.91</v>
      </c>
      <c r="AM6">
        <v>0.89</v>
      </c>
      <c r="AN6">
        <v>75.97</v>
      </c>
    </row>
    <row r="7" spans="1:40" x14ac:dyDescent="0.3">
      <c r="N7" t="s">
        <v>57</v>
      </c>
      <c r="O7" t="s">
        <v>37</v>
      </c>
      <c r="P7" t="s">
        <v>38</v>
      </c>
      <c r="Q7" t="s">
        <v>58</v>
      </c>
      <c r="R7" t="s">
        <v>31</v>
      </c>
      <c r="S7" t="s">
        <v>41</v>
      </c>
      <c r="T7">
        <v>94</v>
      </c>
      <c r="U7">
        <v>0</v>
      </c>
      <c r="V7">
        <v>2</v>
      </c>
      <c r="W7">
        <v>68.98</v>
      </c>
      <c r="X7">
        <v>11.6</v>
      </c>
      <c r="Y7">
        <v>5.58</v>
      </c>
      <c r="AA7" t="s">
        <v>42</v>
      </c>
      <c r="AC7">
        <v>22</v>
      </c>
      <c r="AD7">
        <v>0</v>
      </c>
      <c r="AE7">
        <v>0</v>
      </c>
      <c r="AF7" t="s">
        <v>52</v>
      </c>
      <c r="AG7">
        <v>34</v>
      </c>
      <c r="AH7">
        <v>194</v>
      </c>
      <c r="AI7">
        <v>70</v>
      </c>
      <c r="AJ7" t="s">
        <v>53</v>
      </c>
      <c r="AK7">
        <v>67.2</v>
      </c>
      <c r="AL7">
        <v>9.86</v>
      </c>
      <c r="AM7">
        <v>1.17</v>
      </c>
      <c r="AN7">
        <v>82.55</v>
      </c>
    </row>
    <row r="8" spans="1:40" x14ac:dyDescent="0.3">
      <c r="N8" t="s">
        <v>59</v>
      </c>
      <c r="O8" t="s">
        <v>28</v>
      </c>
      <c r="P8" t="s">
        <v>38</v>
      </c>
      <c r="Q8" t="s">
        <v>60</v>
      </c>
      <c r="R8" t="s">
        <v>56</v>
      </c>
      <c r="S8" t="s">
        <v>32</v>
      </c>
      <c r="T8">
        <v>94</v>
      </c>
      <c r="U8">
        <v>1</v>
      </c>
      <c r="V8">
        <v>6</v>
      </c>
      <c r="W8">
        <v>94.84</v>
      </c>
      <c r="X8">
        <v>19.899999999999999</v>
      </c>
      <c r="Y8">
        <v>5.75</v>
      </c>
      <c r="AA8" t="s">
        <v>42</v>
      </c>
      <c r="AD8">
        <v>0</v>
      </c>
      <c r="AE8">
        <v>0</v>
      </c>
      <c r="AF8" t="s">
        <v>61</v>
      </c>
      <c r="AG8">
        <v>27</v>
      </c>
      <c r="AH8">
        <v>166</v>
      </c>
      <c r="AI8">
        <v>98</v>
      </c>
      <c r="AJ8" t="s">
        <v>62</v>
      </c>
      <c r="AK8">
        <v>60.1</v>
      </c>
      <c r="AL8">
        <v>9.64</v>
      </c>
      <c r="AM8">
        <v>0.76</v>
      </c>
      <c r="AN8">
        <v>92.53</v>
      </c>
    </row>
    <row r="9" spans="1:40" x14ac:dyDescent="0.3">
      <c r="N9" t="s">
        <v>63</v>
      </c>
      <c r="O9" t="s">
        <v>64</v>
      </c>
      <c r="P9" t="s">
        <v>65</v>
      </c>
      <c r="Q9" t="s">
        <v>66</v>
      </c>
      <c r="R9" t="s">
        <v>31</v>
      </c>
      <c r="S9" t="s">
        <v>41</v>
      </c>
      <c r="T9">
        <v>43</v>
      </c>
      <c r="U9">
        <v>0</v>
      </c>
      <c r="V9">
        <v>2</v>
      </c>
      <c r="W9">
        <v>68.98</v>
      </c>
      <c r="X9">
        <v>11.5</v>
      </c>
      <c r="Y9">
        <v>13.52</v>
      </c>
      <c r="Z9" s="1">
        <v>45247</v>
      </c>
      <c r="AA9" t="s">
        <v>33</v>
      </c>
      <c r="AD9">
        <v>0</v>
      </c>
      <c r="AE9">
        <v>4</v>
      </c>
      <c r="AF9" t="s">
        <v>52</v>
      </c>
      <c r="AG9">
        <v>27</v>
      </c>
      <c r="AH9">
        <v>186</v>
      </c>
      <c r="AI9">
        <v>68</v>
      </c>
      <c r="AJ9" t="s">
        <v>48</v>
      </c>
      <c r="AK9">
        <v>56.8</v>
      </c>
      <c r="AL9">
        <v>8.89</v>
      </c>
      <c r="AM9">
        <v>0.85</v>
      </c>
      <c r="AN9">
        <v>73.040000000000006</v>
      </c>
    </row>
    <row r="10" spans="1:40" x14ac:dyDescent="0.3">
      <c r="N10" t="s">
        <v>67</v>
      </c>
      <c r="O10" t="s">
        <v>68</v>
      </c>
      <c r="P10" t="s">
        <v>29</v>
      </c>
      <c r="Q10" t="s">
        <v>69</v>
      </c>
      <c r="R10" t="s">
        <v>56</v>
      </c>
      <c r="S10" t="s">
        <v>32</v>
      </c>
      <c r="T10">
        <v>22</v>
      </c>
      <c r="U10">
        <v>2</v>
      </c>
      <c r="V10">
        <v>1</v>
      </c>
      <c r="W10">
        <v>61.65</v>
      </c>
      <c r="X10">
        <v>9.3000000000000007</v>
      </c>
      <c r="Y10">
        <v>14.9</v>
      </c>
      <c r="AA10" t="s">
        <v>43</v>
      </c>
      <c r="AD10">
        <v>0</v>
      </c>
      <c r="AE10">
        <v>2</v>
      </c>
      <c r="AF10" t="s">
        <v>34</v>
      </c>
      <c r="AG10">
        <v>21</v>
      </c>
      <c r="AH10">
        <v>187</v>
      </c>
      <c r="AI10">
        <v>85</v>
      </c>
      <c r="AJ10" t="s">
        <v>70</v>
      </c>
      <c r="AK10">
        <v>43.3</v>
      </c>
      <c r="AL10">
        <v>8.1300000000000008</v>
      </c>
      <c r="AM10">
        <v>1.42</v>
      </c>
      <c r="AN10">
        <v>78.34</v>
      </c>
    </row>
    <row r="11" spans="1:40" x14ac:dyDescent="0.3">
      <c r="N11" t="s">
        <v>71</v>
      </c>
      <c r="O11" t="s">
        <v>37</v>
      </c>
      <c r="P11" t="s">
        <v>29</v>
      </c>
      <c r="Q11" t="s">
        <v>72</v>
      </c>
      <c r="R11" t="s">
        <v>51</v>
      </c>
      <c r="S11" t="s">
        <v>32</v>
      </c>
      <c r="T11">
        <v>41</v>
      </c>
      <c r="U11">
        <v>0</v>
      </c>
      <c r="V11">
        <v>3</v>
      </c>
      <c r="W11">
        <v>74.290000000000006</v>
      </c>
      <c r="X11">
        <v>13.8</v>
      </c>
      <c r="Y11">
        <v>11.76</v>
      </c>
      <c r="AA11" t="s">
        <v>42</v>
      </c>
      <c r="AD11">
        <v>0</v>
      </c>
      <c r="AE11">
        <v>4</v>
      </c>
      <c r="AF11" t="s">
        <v>43</v>
      </c>
      <c r="AG11">
        <v>37</v>
      </c>
      <c r="AH11">
        <v>181</v>
      </c>
      <c r="AI11">
        <v>75</v>
      </c>
      <c r="AJ11" t="s">
        <v>53</v>
      </c>
      <c r="AK11">
        <v>53.4</v>
      </c>
      <c r="AL11">
        <v>9.48</v>
      </c>
      <c r="AM11">
        <v>0.79</v>
      </c>
      <c r="AN11">
        <v>78.290000000000006</v>
      </c>
    </row>
    <row r="12" spans="1:40" x14ac:dyDescent="0.3">
      <c r="N12" t="s">
        <v>73</v>
      </c>
      <c r="O12" t="s">
        <v>37</v>
      </c>
      <c r="P12" t="s">
        <v>38</v>
      </c>
      <c r="Q12" t="s">
        <v>74</v>
      </c>
      <c r="R12" t="s">
        <v>75</v>
      </c>
      <c r="S12" t="s">
        <v>32</v>
      </c>
      <c r="T12">
        <v>72</v>
      </c>
      <c r="U12">
        <v>4</v>
      </c>
      <c r="V12">
        <v>6</v>
      </c>
      <c r="W12">
        <v>94.62</v>
      </c>
      <c r="X12">
        <v>19.899999999999999</v>
      </c>
      <c r="Y12">
        <v>9.4600000000000009</v>
      </c>
      <c r="AA12" t="s">
        <v>33</v>
      </c>
      <c r="AD12">
        <v>0</v>
      </c>
      <c r="AE12">
        <v>0</v>
      </c>
      <c r="AF12" t="s">
        <v>61</v>
      </c>
      <c r="AG12">
        <v>21</v>
      </c>
      <c r="AH12">
        <v>173</v>
      </c>
      <c r="AI12">
        <v>64</v>
      </c>
      <c r="AJ12" t="s">
        <v>53</v>
      </c>
      <c r="AK12">
        <v>53.8</v>
      </c>
      <c r="AL12">
        <v>6.52</v>
      </c>
      <c r="AM12">
        <v>0.97</v>
      </c>
      <c r="AN12">
        <v>82.96</v>
      </c>
    </row>
    <row r="13" spans="1:40" x14ac:dyDescent="0.3">
      <c r="N13" t="s">
        <v>76</v>
      </c>
      <c r="O13" t="s">
        <v>64</v>
      </c>
      <c r="P13" t="s">
        <v>29</v>
      </c>
      <c r="Q13" t="s">
        <v>77</v>
      </c>
      <c r="R13" t="s">
        <v>56</v>
      </c>
      <c r="S13" t="s">
        <v>41</v>
      </c>
      <c r="T13">
        <v>21</v>
      </c>
      <c r="U13">
        <v>3</v>
      </c>
      <c r="V13">
        <v>6</v>
      </c>
      <c r="W13">
        <v>94.57</v>
      </c>
      <c r="X13">
        <v>19.8</v>
      </c>
      <c r="Y13">
        <v>11.48</v>
      </c>
      <c r="AA13" t="s">
        <v>33</v>
      </c>
      <c r="AD13">
        <v>0</v>
      </c>
      <c r="AE13">
        <v>3</v>
      </c>
      <c r="AF13" t="s">
        <v>61</v>
      </c>
      <c r="AG13">
        <v>39</v>
      </c>
      <c r="AH13">
        <v>166</v>
      </c>
      <c r="AI13">
        <v>69</v>
      </c>
      <c r="AJ13" t="s">
        <v>70</v>
      </c>
      <c r="AK13">
        <v>65.900000000000006</v>
      </c>
      <c r="AL13">
        <v>9.16</v>
      </c>
      <c r="AM13">
        <v>1.39</v>
      </c>
      <c r="AN13">
        <v>99.41</v>
      </c>
    </row>
    <row r="14" spans="1:40" x14ac:dyDescent="0.3">
      <c r="N14" t="s">
        <v>78</v>
      </c>
      <c r="O14" t="s">
        <v>37</v>
      </c>
      <c r="P14" t="s">
        <v>29</v>
      </c>
      <c r="Q14" t="s">
        <v>79</v>
      </c>
      <c r="R14" t="s">
        <v>80</v>
      </c>
      <c r="S14" t="s">
        <v>41</v>
      </c>
      <c r="T14">
        <v>49</v>
      </c>
      <c r="U14">
        <v>0</v>
      </c>
      <c r="V14">
        <v>4</v>
      </c>
      <c r="W14">
        <v>82.2</v>
      </c>
      <c r="X14">
        <v>15.7</v>
      </c>
      <c r="Y14">
        <v>10.94</v>
      </c>
      <c r="AA14" t="s">
        <v>47</v>
      </c>
      <c r="AC14">
        <v>82</v>
      </c>
      <c r="AD14">
        <v>1</v>
      </c>
      <c r="AE14">
        <v>1</v>
      </c>
      <c r="AF14" t="s">
        <v>52</v>
      </c>
      <c r="AG14">
        <v>24</v>
      </c>
      <c r="AH14">
        <v>196</v>
      </c>
      <c r="AI14">
        <v>62</v>
      </c>
      <c r="AJ14" t="s">
        <v>48</v>
      </c>
      <c r="AK14">
        <v>56.4</v>
      </c>
      <c r="AL14">
        <v>6.5</v>
      </c>
      <c r="AM14">
        <v>1.21</v>
      </c>
      <c r="AN14">
        <v>72.03</v>
      </c>
    </row>
    <row r="15" spans="1:40" x14ac:dyDescent="0.3">
      <c r="N15" t="s">
        <v>81</v>
      </c>
      <c r="O15" t="s">
        <v>64</v>
      </c>
      <c r="P15" t="s">
        <v>82</v>
      </c>
      <c r="Q15" t="s">
        <v>83</v>
      </c>
      <c r="R15" t="s">
        <v>75</v>
      </c>
      <c r="S15" t="s">
        <v>41</v>
      </c>
      <c r="T15">
        <v>57</v>
      </c>
      <c r="U15">
        <v>0</v>
      </c>
      <c r="V15">
        <v>0</v>
      </c>
      <c r="W15">
        <v>54.93</v>
      </c>
      <c r="X15">
        <v>6.5</v>
      </c>
      <c r="Y15">
        <v>8.84</v>
      </c>
      <c r="Z15" s="1">
        <v>45208</v>
      </c>
      <c r="AA15" t="s">
        <v>33</v>
      </c>
      <c r="AD15">
        <v>0</v>
      </c>
      <c r="AE15">
        <v>3</v>
      </c>
      <c r="AF15" t="s">
        <v>43</v>
      </c>
      <c r="AG15">
        <v>39</v>
      </c>
      <c r="AH15">
        <v>181</v>
      </c>
      <c r="AI15">
        <v>72</v>
      </c>
      <c r="AJ15" t="s">
        <v>48</v>
      </c>
      <c r="AK15">
        <v>51.4</v>
      </c>
      <c r="AL15">
        <v>9.18</v>
      </c>
      <c r="AM15">
        <v>0.56000000000000005</v>
      </c>
      <c r="AN15">
        <v>85.56</v>
      </c>
    </row>
    <row r="16" spans="1:40" x14ac:dyDescent="0.3">
      <c r="N16" t="s">
        <v>84</v>
      </c>
      <c r="O16" t="s">
        <v>37</v>
      </c>
      <c r="P16" t="s">
        <v>38</v>
      </c>
      <c r="Q16" t="s">
        <v>85</v>
      </c>
      <c r="R16" t="s">
        <v>75</v>
      </c>
      <c r="S16" t="s">
        <v>32</v>
      </c>
      <c r="T16">
        <v>21</v>
      </c>
      <c r="U16">
        <v>4</v>
      </c>
      <c r="V16">
        <v>3</v>
      </c>
      <c r="W16">
        <v>74.23</v>
      </c>
      <c r="X16">
        <v>13.8</v>
      </c>
      <c r="Y16">
        <v>5.66</v>
      </c>
      <c r="AA16" t="s">
        <v>47</v>
      </c>
      <c r="AB16" s="1">
        <v>44990</v>
      </c>
      <c r="AC16">
        <v>86</v>
      </c>
      <c r="AD16">
        <v>0</v>
      </c>
      <c r="AE16">
        <v>3</v>
      </c>
      <c r="AF16" t="s">
        <v>43</v>
      </c>
      <c r="AG16">
        <v>18</v>
      </c>
      <c r="AH16">
        <v>164</v>
      </c>
      <c r="AI16">
        <v>89</v>
      </c>
      <c r="AJ16" t="s">
        <v>35</v>
      </c>
      <c r="AK16">
        <v>69.3</v>
      </c>
      <c r="AL16">
        <v>7.1</v>
      </c>
      <c r="AM16">
        <v>0.65</v>
      </c>
      <c r="AN16">
        <v>75.38</v>
      </c>
    </row>
    <row r="17" spans="2:40" x14ac:dyDescent="0.3">
      <c r="N17" t="s">
        <v>86</v>
      </c>
      <c r="O17" t="s">
        <v>28</v>
      </c>
      <c r="P17" t="s">
        <v>29</v>
      </c>
      <c r="Q17" t="s">
        <v>87</v>
      </c>
      <c r="R17" t="s">
        <v>56</v>
      </c>
      <c r="S17" t="s">
        <v>32</v>
      </c>
      <c r="T17">
        <v>83</v>
      </c>
      <c r="U17">
        <v>2</v>
      </c>
      <c r="V17">
        <v>5</v>
      </c>
      <c r="W17">
        <v>87.67</v>
      </c>
      <c r="X17">
        <v>17.8</v>
      </c>
      <c r="Y17">
        <v>13.22</v>
      </c>
      <c r="Z17" s="1">
        <v>45213</v>
      </c>
      <c r="AA17" t="s">
        <v>47</v>
      </c>
      <c r="AB17" s="1">
        <v>45079</v>
      </c>
      <c r="AD17">
        <v>0</v>
      </c>
      <c r="AE17">
        <v>0</v>
      </c>
      <c r="AF17" t="s">
        <v>34</v>
      </c>
      <c r="AG17">
        <v>29</v>
      </c>
      <c r="AH17">
        <v>161</v>
      </c>
      <c r="AI17">
        <v>65</v>
      </c>
      <c r="AJ17" t="s">
        <v>35</v>
      </c>
      <c r="AK17">
        <v>43.3</v>
      </c>
      <c r="AL17">
        <v>9.51</v>
      </c>
      <c r="AM17">
        <v>0.51</v>
      </c>
      <c r="AN17">
        <v>99.12</v>
      </c>
    </row>
    <row r="18" spans="2:40" x14ac:dyDescent="0.3">
      <c r="N18" t="s">
        <v>88</v>
      </c>
      <c r="O18" t="s">
        <v>68</v>
      </c>
      <c r="P18" t="s">
        <v>38</v>
      </c>
      <c r="Q18" t="s">
        <v>89</v>
      </c>
      <c r="R18" t="s">
        <v>80</v>
      </c>
      <c r="S18" t="s">
        <v>41</v>
      </c>
      <c r="T18">
        <v>79</v>
      </c>
      <c r="U18">
        <v>4</v>
      </c>
      <c r="V18">
        <v>6</v>
      </c>
      <c r="W18">
        <v>94.51</v>
      </c>
      <c r="X18">
        <v>19.8</v>
      </c>
      <c r="Y18">
        <v>8.7200000000000006</v>
      </c>
      <c r="AA18" t="s">
        <v>33</v>
      </c>
      <c r="AC18">
        <v>40</v>
      </c>
      <c r="AD18">
        <v>0</v>
      </c>
      <c r="AE18">
        <v>4</v>
      </c>
      <c r="AF18" t="s">
        <v>34</v>
      </c>
      <c r="AG18">
        <v>30</v>
      </c>
      <c r="AH18">
        <v>186</v>
      </c>
      <c r="AI18">
        <v>76</v>
      </c>
      <c r="AJ18" t="s">
        <v>35</v>
      </c>
      <c r="AK18">
        <v>52.7</v>
      </c>
      <c r="AL18">
        <v>9.7799999999999994</v>
      </c>
      <c r="AM18">
        <v>1.1299999999999999</v>
      </c>
      <c r="AN18">
        <v>73.400000000000006</v>
      </c>
    </row>
    <row r="19" spans="2:40" x14ac:dyDescent="0.3">
      <c r="N19" t="s">
        <v>90</v>
      </c>
      <c r="O19" t="s">
        <v>68</v>
      </c>
      <c r="P19" t="s">
        <v>65</v>
      </c>
      <c r="Q19" t="s">
        <v>91</v>
      </c>
      <c r="R19" t="s">
        <v>80</v>
      </c>
      <c r="S19" t="s">
        <v>32</v>
      </c>
      <c r="T19">
        <v>40</v>
      </c>
      <c r="U19">
        <v>4</v>
      </c>
      <c r="V19">
        <v>2</v>
      </c>
      <c r="W19">
        <v>68.790000000000006</v>
      </c>
      <c r="X19">
        <v>11.4</v>
      </c>
      <c r="Y19">
        <v>13.19</v>
      </c>
      <c r="AA19" t="s">
        <v>42</v>
      </c>
      <c r="AD19">
        <v>0</v>
      </c>
      <c r="AE19">
        <v>2</v>
      </c>
      <c r="AF19" t="s">
        <v>34</v>
      </c>
      <c r="AG19">
        <v>27</v>
      </c>
      <c r="AH19">
        <v>180</v>
      </c>
      <c r="AI19">
        <v>78</v>
      </c>
      <c r="AJ19" t="s">
        <v>48</v>
      </c>
      <c r="AK19">
        <v>41.3</v>
      </c>
      <c r="AL19">
        <v>6.6</v>
      </c>
      <c r="AM19">
        <v>0.95</v>
      </c>
      <c r="AN19">
        <v>82.11</v>
      </c>
    </row>
    <row r="20" spans="2:40" x14ac:dyDescent="0.3">
      <c r="N20" t="s">
        <v>92</v>
      </c>
      <c r="O20" t="s">
        <v>64</v>
      </c>
      <c r="P20" t="s">
        <v>65</v>
      </c>
      <c r="Q20" t="s">
        <v>93</v>
      </c>
      <c r="R20" t="s">
        <v>94</v>
      </c>
      <c r="S20" t="s">
        <v>41</v>
      </c>
      <c r="T20">
        <v>52</v>
      </c>
      <c r="U20">
        <v>4</v>
      </c>
      <c r="V20">
        <v>3</v>
      </c>
      <c r="W20">
        <v>73.97</v>
      </c>
      <c r="X20">
        <v>13.7</v>
      </c>
      <c r="Y20">
        <v>7.53</v>
      </c>
      <c r="AA20" t="s">
        <v>33</v>
      </c>
      <c r="AB20" s="1">
        <v>45187</v>
      </c>
      <c r="AC20">
        <v>84</v>
      </c>
      <c r="AD20">
        <v>0</v>
      </c>
      <c r="AE20">
        <v>3</v>
      </c>
      <c r="AF20" t="s">
        <v>34</v>
      </c>
      <c r="AG20">
        <v>32</v>
      </c>
      <c r="AH20">
        <v>197</v>
      </c>
      <c r="AI20">
        <v>94</v>
      </c>
      <c r="AJ20" t="s">
        <v>44</v>
      </c>
      <c r="AK20">
        <v>62.2</v>
      </c>
      <c r="AL20">
        <v>7.85</v>
      </c>
      <c r="AM20">
        <v>0.63</v>
      </c>
      <c r="AN20">
        <v>92.14</v>
      </c>
    </row>
    <row r="21" spans="2:40" x14ac:dyDescent="0.3">
      <c r="N21" t="s">
        <v>95</v>
      </c>
      <c r="O21" t="s">
        <v>28</v>
      </c>
      <c r="P21" t="s">
        <v>29</v>
      </c>
      <c r="Q21" t="s">
        <v>96</v>
      </c>
      <c r="R21" t="s">
        <v>40</v>
      </c>
      <c r="S21" t="s">
        <v>41</v>
      </c>
      <c r="T21">
        <v>77</v>
      </c>
      <c r="U21">
        <v>4</v>
      </c>
      <c r="V21">
        <v>4</v>
      </c>
      <c r="W21">
        <v>81.72</v>
      </c>
      <c r="X21">
        <v>15.6</v>
      </c>
      <c r="Y21">
        <v>5.01</v>
      </c>
      <c r="AA21" t="s">
        <v>33</v>
      </c>
      <c r="AD21">
        <v>0</v>
      </c>
      <c r="AE21">
        <v>4</v>
      </c>
      <c r="AF21" t="s">
        <v>52</v>
      </c>
      <c r="AG21">
        <v>30</v>
      </c>
      <c r="AH21">
        <v>174</v>
      </c>
      <c r="AI21">
        <v>85</v>
      </c>
      <c r="AJ21" t="s">
        <v>53</v>
      </c>
      <c r="AK21">
        <v>67.5</v>
      </c>
      <c r="AL21">
        <v>9.92</v>
      </c>
      <c r="AM21">
        <v>1.46</v>
      </c>
      <c r="AN21">
        <v>91.14</v>
      </c>
    </row>
    <row r="22" spans="2:40" x14ac:dyDescent="0.3">
      <c r="B22" s="6" t="s">
        <v>629</v>
      </c>
      <c r="C22" s="6"/>
      <c r="N22" t="s">
        <v>97</v>
      </c>
      <c r="O22" t="s">
        <v>64</v>
      </c>
      <c r="P22" t="s">
        <v>29</v>
      </c>
      <c r="Q22" t="s">
        <v>98</v>
      </c>
      <c r="R22" t="s">
        <v>31</v>
      </c>
      <c r="S22" t="s">
        <v>41</v>
      </c>
      <c r="T22">
        <v>41</v>
      </c>
      <c r="U22">
        <v>1</v>
      </c>
      <c r="V22">
        <v>5</v>
      </c>
      <c r="W22">
        <v>87.38</v>
      </c>
      <c r="X22">
        <v>17.8</v>
      </c>
      <c r="Y22">
        <v>6.59</v>
      </c>
      <c r="AA22" t="s">
        <v>43</v>
      </c>
      <c r="AB22" s="1">
        <v>45120</v>
      </c>
      <c r="AC22">
        <v>77</v>
      </c>
      <c r="AD22">
        <v>1</v>
      </c>
      <c r="AE22">
        <v>2</v>
      </c>
      <c r="AF22" t="s">
        <v>52</v>
      </c>
      <c r="AG22">
        <v>39</v>
      </c>
      <c r="AH22">
        <v>180</v>
      </c>
      <c r="AI22">
        <v>64</v>
      </c>
      <c r="AJ22" t="s">
        <v>44</v>
      </c>
      <c r="AK22">
        <v>48.4</v>
      </c>
      <c r="AL22">
        <v>7.93</v>
      </c>
      <c r="AM22">
        <v>1.03</v>
      </c>
      <c r="AN22">
        <v>82.68</v>
      </c>
    </row>
    <row r="23" spans="2:40" x14ac:dyDescent="0.3">
      <c r="N23" t="s">
        <v>99</v>
      </c>
      <c r="O23" t="s">
        <v>68</v>
      </c>
      <c r="P23" t="s">
        <v>29</v>
      </c>
      <c r="Q23" t="s">
        <v>100</v>
      </c>
      <c r="R23" t="s">
        <v>75</v>
      </c>
      <c r="S23" t="s">
        <v>41</v>
      </c>
      <c r="T23">
        <v>68</v>
      </c>
      <c r="U23">
        <v>1</v>
      </c>
      <c r="V23">
        <v>0</v>
      </c>
      <c r="W23">
        <v>54.8</v>
      </c>
      <c r="X23">
        <v>6.4</v>
      </c>
      <c r="Y23">
        <v>9.69</v>
      </c>
      <c r="AA23" t="s">
        <v>47</v>
      </c>
      <c r="AB23" s="1">
        <v>45034</v>
      </c>
      <c r="AD23">
        <v>0</v>
      </c>
      <c r="AE23">
        <v>3</v>
      </c>
      <c r="AF23" t="s">
        <v>52</v>
      </c>
      <c r="AG23">
        <v>39</v>
      </c>
      <c r="AH23">
        <v>169</v>
      </c>
      <c r="AI23">
        <v>88</v>
      </c>
      <c r="AJ23" t="s">
        <v>70</v>
      </c>
      <c r="AK23">
        <v>65.8</v>
      </c>
      <c r="AL23">
        <v>9.4499999999999993</v>
      </c>
      <c r="AM23">
        <v>0.74</v>
      </c>
      <c r="AN23">
        <v>80.400000000000006</v>
      </c>
    </row>
    <row r="24" spans="2:40" x14ac:dyDescent="0.3">
      <c r="B24" s="4" t="s">
        <v>630</v>
      </c>
      <c r="C24" s="4" t="s">
        <v>631</v>
      </c>
      <c r="N24" t="s">
        <v>101</v>
      </c>
      <c r="O24" t="s">
        <v>64</v>
      </c>
      <c r="P24" t="s">
        <v>38</v>
      </c>
      <c r="Q24" t="s">
        <v>102</v>
      </c>
      <c r="R24" t="s">
        <v>80</v>
      </c>
      <c r="S24" t="s">
        <v>41</v>
      </c>
      <c r="T24">
        <v>78</v>
      </c>
      <c r="U24">
        <v>2</v>
      </c>
      <c r="V24">
        <v>0</v>
      </c>
      <c r="W24">
        <v>54.76</v>
      </c>
      <c r="X24">
        <v>6.4</v>
      </c>
      <c r="Y24">
        <v>14.44</v>
      </c>
      <c r="AA24" t="s">
        <v>43</v>
      </c>
      <c r="AD24">
        <v>0</v>
      </c>
      <c r="AE24">
        <v>2</v>
      </c>
      <c r="AF24" t="s">
        <v>34</v>
      </c>
      <c r="AG24">
        <v>38</v>
      </c>
      <c r="AH24">
        <v>182</v>
      </c>
      <c r="AI24">
        <v>96</v>
      </c>
      <c r="AJ24" t="s">
        <v>48</v>
      </c>
      <c r="AK24">
        <v>48.8</v>
      </c>
      <c r="AL24">
        <v>8.35</v>
      </c>
      <c r="AM24">
        <v>1</v>
      </c>
      <c r="AN24">
        <v>81.93</v>
      </c>
    </row>
    <row r="25" spans="2:40" x14ac:dyDescent="0.3">
      <c r="B25" s="4" t="s">
        <v>632</v>
      </c>
      <c r="C25" t="s">
        <v>28</v>
      </c>
      <c r="D25" t="s">
        <v>64</v>
      </c>
      <c r="E25" t="s">
        <v>37</v>
      </c>
      <c r="F25" t="s">
        <v>68</v>
      </c>
      <c r="G25" t="s">
        <v>633</v>
      </c>
      <c r="N25" t="s">
        <v>103</v>
      </c>
      <c r="O25" t="s">
        <v>64</v>
      </c>
      <c r="P25" t="s">
        <v>29</v>
      </c>
      <c r="Q25" t="s">
        <v>104</v>
      </c>
      <c r="R25" t="s">
        <v>51</v>
      </c>
      <c r="S25" t="s">
        <v>41</v>
      </c>
      <c r="T25">
        <v>61</v>
      </c>
      <c r="U25">
        <v>0</v>
      </c>
      <c r="V25">
        <v>4</v>
      </c>
      <c r="W25">
        <v>81.45</v>
      </c>
      <c r="X25">
        <v>15.6</v>
      </c>
      <c r="Y25">
        <v>6.02</v>
      </c>
      <c r="AA25" t="s">
        <v>43</v>
      </c>
      <c r="AB25" s="1">
        <v>45147</v>
      </c>
      <c r="AD25">
        <v>0</v>
      </c>
      <c r="AE25">
        <v>4</v>
      </c>
      <c r="AF25" t="s">
        <v>61</v>
      </c>
      <c r="AG25">
        <v>39</v>
      </c>
      <c r="AH25">
        <v>198</v>
      </c>
      <c r="AI25">
        <v>79</v>
      </c>
      <c r="AJ25" t="s">
        <v>53</v>
      </c>
      <c r="AK25">
        <v>67.3</v>
      </c>
      <c r="AL25">
        <v>7.5</v>
      </c>
      <c r="AM25">
        <v>1.18</v>
      </c>
      <c r="AN25">
        <v>77.930000000000007</v>
      </c>
    </row>
    <row r="26" spans="2:40" x14ac:dyDescent="0.3">
      <c r="B26" s="5" t="s">
        <v>33</v>
      </c>
      <c r="C26">
        <v>18</v>
      </c>
      <c r="D26">
        <v>19</v>
      </c>
      <c r="E26">
        <v>15</v>
      </c>
      <c r="F26">
        <v>20</v>
      </c>
      <c r="G26">
        <v>72</v>
      </c>
      <c r="N26" t="s">
        <v>105</v>
      </c>
      <c r="O26" t="s">
        <v>28</v>
      </c>
      <c r="P26" t="s">
        <v>65</v>
      </c>
      <c r="Q26" t="s">
        <v>106</v>
      </c>
      <c r="R26" t="s">
        <v>31</v>
      </c>
      <c r="S26" t="s">
        <v>41</v>
      </c>
      <c r="T26">
        <v>79</v>
      </c>
      <c r="U26">
        <v>4</v>
      </c>
      <c r="V26">
        <v>4</v>
      </c>
      <c r="W26">
        <v>81.45</v>
      </c>
      <c r="X26">
        <v>15.5</v>
      </c>
      <c r="Y26">
        <v>13.54</v>
      </c>
      <c r="AA26" t="s">
        <v>42</v>
      </c>
      <c r="AB26" s="1">
        <v>44964</v>
      </c>
      <c r="AC26">
        <v>13</v>
      </c>
      <c r="AD26">
        <v>0</v>
      </c>
      <c r="AE26">
        <v>1</v>
      </c>
      <c r="AF26" t="s">
        <v>43</v>
      </c>
      <c r="AG26">
        <v>26</v>
      </c>
      <c r="AH26">
        <v>164</v>
      </c>
      <c r="AI26">
        <v>80</v>
      </c>
      <c r="AJ26" t="s">
        <v>44</v>
      </c>
      <c r="AK26">
        <v>62.6</v>
      </c>
      <c r="AL26">
        <v>7.14</v>
      </c>
      <c r="AM26">
        <v>0.57999999999999996</v>
      </c>
      <c r="AN26">
        <v>76.16</v>
      </c>
    </row>
    <row r="27" spans="2:40" x14ac:dyDescent="0.3">
      <c r="B27" s="5" t="s">
        <v>42</v>
      </c>
      <c r="C27">
        <v>19</v>
      </c>
      <c r="D27">
        <v>14</v>
      </c>
      <c r="E27">
        <v>23</v>
      </c>
      <c r="F27">
        <v>18</v>
      </c>
      <c r="G27">
        <v>74</v>
      </c>
      <c r="N27" t="s">
        <v>107</v>
      </c>
      <c r="O27" t="s">
        <v>37</v>
      </c>
      <c r="P27" t="s">
        <v>65</v>
      </c>
      <c r="Q27" t="s">
        <v>108</v>
      </c>
      <c r="R27" t="s">
        <v>75</v>
      </c>
      <c r="S27" t="s">
        <v>32</v>
      </c>
      <c r="T27">
        <v>34</v>
      </c>
      <c r="U27">
        <v>0</v>
      </c>
      <c r="V27">
        <v>2</v>
      </c>
      <c r="W27">
        <v>68.58</v>
      </c>
      <c r="X27">
        <v>11.4</v>
      </c>
      <c r="Y27">
        <v>10.27</v>
      </c>
      <c r="AA27" t="s">
        <v>42</v>
      </c>
      <c r="AD27">
        <v>0</v>
      </c>
      <c r="AE27">
        <v>4</v>
      </c>
      <c r="AF27" t="s">
        <v>43</v>
      </c>
      <c r="AG27">
        <v>26</v>
      </c>
      <c r="AH27">
        <v>160</v>
      </c>
      <c r="AI27">
        <v>69</v>
      </c>
      <c r="AJ27" t="s">
        <v>53</v>
      </c>
      <c r="AK27">
        <v>64.099999999999994</v>
      </c>
      <c r="AL27">
        <v>6.81</v>
      </c>
      <c r="AM27">
        <v>0.77</v>
      </c>
      <c r="AN27">
        <v>84.49</v>
      </c>
    </row>
    <row r="28" spans="2:40" x14ac:dyDescent="0.3">
      <c r="B28" s="5" t="s">
        <v>47</v>
      </c>
      <c r="C28">
        <v>17</v>
      </c>
      <c r="D28">
        <v>20</v>
      </c>
      <c r="E28">
        <v>20</v>
      </c>
      <c r="F28">
        <v>18</v>
      </c>
      <c r="G28">
        <v>75</v>
      </c>
      <c r="N28" t="s">
        <v>109</v>
      </c>
      <c r="O28" t="s">
        <v>37</v>
      </c>
      <c r="P28" t="s">
        <v>38</v>
      </c>
      <c r="Q28" t="s">
        <v>110</v>
      </c>
      <c r="R28" t="s">
        <v>40</v>
      </c>
      <c r="S28" t="s">
        <v>41</v>
      </c>
      <c r="T28">
        <v>81</v>
      </c>
      <c r="U28">
        <v>0</v>
      </c>
      <c r="V28">
        <v>6</v>
      </c>
      <c r="W28">
        <v>94.34</v>
      </c>
      <c r="X28">
        <v>19.8</v>
      </c>
      <c r="Y28">
        <v>13.26</v>
      </c>
      <c r="Z28" s="1">
        <v>45122</v>
      </c>
      <c r="AA28" t="s">
        <v>47</v>
      </c>
      <c r="AD28">
        <v>0</v>
      </c>
      <c r="AE28">
        <v>0</v>
      </c>
      <c r="AF28" t="s">
        <v>61</v>
      </c>
      <c r="AG28">
        <v>32</v>
      </c>
      <c r="AH28">
        <v>172</v>
      </c>
      <c r="AI28">
        <v>64</v>
      </c>
      <c r="AJ28" t="s">
        <v>44</v>
      </c>
      <c r="AK28">
        <v>40.5</v>
      </c>
      <c r="AL28">
        <v>9.0500000000000007</v>
      </c>
      <c r="AM28">
        <v>1.31</v>
      </c>
      <c r="AN28">
        <v>78.06</v>
      </c>
    </row>
    <row r="29" spans="2:40" x14ac:dyDescent="0.3">
      <c r="B29" s="5" t="s">
        <v>43</v>
      </c>
      <c r="C29">
        <v>17</v>
      </c>
      <c r="D29">
        <v>13</v>
      </c>
      <c r="E29">
        <v>16</v>
      </c>
      <c r="F29">
        <v>13</v>
      </c>
      <c r="G29">
        <v>59</v>
      </c>
      <c r="N29" t="s">
        <v>111</v>
      </c>
      <c r="O29" t="s">
        <v>64</v>
      </c>
      <c r="P29" t="s">
        <v>38</v>
      </c>
      <c r="Q29" t="s">
        <v>112</v>
      </c>
      <c r="R29" t="s">
        <v>40</v>
      </c>
      <c r="S29" t="s">
        <v>41</v>
      </c>
      <c r="T29">
        <v>81</v>
      </c>
      <c r="U29">
        <v>2</v>
      </c>
      <c r="V29">
        <v>0</v>
      </c>
      <c r="W29">
        <v>54.64</v>
      </c>
      <c r="X29">
        <v>6.4</v>
      </c>
      <c r="Y29">
        <v>7.98</v>
      </c>
      <c r="AA29" t="s">
        <v>47</v>
      </c>
      <c r="AD29">
        <v>0</v>
      </c>
      <c r="AE29">
        <v>2</v>
      </c>
      <c r="AF29" t="s">
        <v>34</v>
      </c>
      <c r="AG29">
        <v>27</v>
      </c>
      <c r="AH29">
        <v>180</v>
      </c>
      <c r="AI29">
        <v>95</v>
      </c>
      <c r="AJ29" t="s">
        <v>48</v>
      </c>
      <c r="AK29">
        <v>68.900000000000006</v>
      </c>
      <c r="AL29">
        <v>7.55</v>
      </c>
      <c r="AM29">
        <v>0.96</v>
      </c>
      <c r="AN29">
        <v>78.62</v>
      </c>
    </row>
    <row r="30" spans="2:40" x14ac:dyDescent="0.3">
      <c r="B30" s="5" t="s">
        <v>633</v>
      </c>
      <c r="C30">
        <v>71</v>
      </c>
      <c r="D30">
        <v>66</v>
      </c>
      <c r="E30">
        <v>74</v>
      </c>
      <c r="F30">
        <v>69</v>
      </c>
      <c r="G30">
        <v>280</v>
      </c>
      <c r="N30" t="s">
        <v>113</v>
      </c>
      <c r="O30" t="s">
        <v>68</v>
      </c>
      <c r="P30" t="s">
        <v>29</v>
      </c>
      <c r="Q30" t="s">
        <v>114</v>
      </c>
      <c r="R30" t="s">
        <v>31</v>
      </c>
      <c r="S30" t="s">
        <v>41</v>
      </c>
      <c r="T30">
        <v>66</v>
      </c>
      <c r="U30">
        <v>4</v>
      </c>
      <c r="V30">
        <v>5</v>
      </c>
      <c r="W30">
        <v>87.38</v>
      </c>
      <c r="X30">
        <v>17.8</v>
      </c>
      <c r="Y30">
        <v>13.4</v>
      </c>
      <c r="AA30" t="s">
        <v>47</v>
      </c>
      <c r="AD30">
        <v>1</v>
      </c>
      <c r="AE30">
        <v>1</v>
      </c>
      <c r="AF30" t="s">
        <v>34</v>
      </c>
      <c r="AG30">
        <v>27</v>
      </c>
      <c r="AH30">
        <v>185</v>
      </c>
      <c r="AI30">
        <v>65</v>
      </c>
      <c r="AJ30" t="s">
        <v>62</v>
      </c>
      <c r="AK30">
        <v>61.8</v>
      </c>
      <c r="AL30">
        <v>8.0500000000000007</v>
      </c>
      <c r="AM30">
        <v>1.05</v>
      </c>
      <c r="AN30">
        <v>89.7</v>
      </c>
    </row>
    <row r="31" spans="2:40" x14ac:dyDescent="0.3">
      <c r="N31" t="s">
        <v>115</v>
      </c>
      <c r="O31" t="s">
        <v>68</v>
      </c>
      <c r="P31" t="s">
        <v>38</v>
      </c>
      <c r="Q31" t="s">
        <v>116</v>
      </c>
      <c r="R31" t="s">
        <v>40</v>
      </c>
      <c r="S31" t="s">
        <v>32</v>
      </c>
      <c r="T31">
        <v>81</v>
      </c>
      <c r="U31">
        <v>4</v>
      </c>
      <c r="V31">
        <v>3</v>
      </c>
      <c r="W31">
        <v>73.86</v>
      </c>
      <c r="X31">
        <v>13.6</v>
      </c>
      <c r="Y31">
        <v>12.73</v>
      </c>
      <c r="AA31" t="s">
        <v>33</v>
      </c>
      <c r="AC31">
        <v>28</v>
      </c>
      <c r="AD31">
        <v>0</v>
      </c>
      <c r="AE31">
        <v>2</v>
      </c>
      <c r="AF31" t="s">
        <v>43</v>
      </c>
      <c r="AG31">
        <v>25</v>
      </c>
      <c r="AH31">
        <v>180</v>
      </c>
      <c r="AI31">
        <v>85</v>
      </c>
      <c r="AJ31" t="s">
        <v>53</v>
      </c>
      <c r="AK31">
        <v>49.1</v>
      </c>
      <c r="AL31">
        <v>7.97</v>
      </c>
      <c r="AM31">
        <v>0.93</v>
      </c>
      <c r="AN31">
        <v>99.06</v>
      </c>
    </row>
    <row r="32" spans="2:40" x14ac:dyDescent="0.3">
      <c r="B32" s="7" t="s">
        <v>33</v>
      </c>
      <c r="C32">
        <v>72</v>
      </c>
      <c r="N32" t="s">
        <v>117</v>
      </c>
      <c r="O32" t="s">
        <v>68</v>
      </c>
      <c r="P32" t="s">
        <v>29</v>
      </c>
      <c r="Q32" t="s">
        <v>118</v>
      </c>
      <c r="R32" t="s">
        <v>56</v>
      </c>
      <c r="S32" t="s">
        <v>32</v>
      </c>
      <c r="T32">
        <v>70</v>
      </c>
      <c r="U32">
        <v>3</v>
      </c>
      <c r="V32">
        <v>5</v>
      </c>
      <c r="W32">
        <v>87.18</v>
      </c>
      <c r="X32">
        <v>17.7</v>
      </c>
      <c r="Y32">
        <v>7.3</v>
      </c>
      <c r="Z32" s="1">
        <v>45122</v>
      </c>
      <c r="AA32" t="s">
        <v>33</v>
      </c>
      <c r="AB32" s="1">
        <v>45116</v>
      </c>
      <c r="AC32">
        <v>79</v>
      </c>
      <c r="AD32">
        <v>1</v>
      </c>
      <c r="AE32">
        <v>2</v>
      </c>
      <c r="AF32" t="s">
        <v>61</v>
      </c>
      <c r="AG32">
        <v>33</v>
      </c>
      <c r="AH32">
        <v>177</v>
      </c>
      <c r="AI32">
        <v>63</v>
      </c>
      <c r="AJ32" t="s">
        <v>62</v>
      </c>
      <c r="AK32">
        <v>64.900000000000006</v>
      </c>
      <c r="AL32">
        <v>8.31</v>
      </c>
      <c r="AM32">
        <v>0.54</v>
      </c>
      <c r="AN32">
        <v>88.11</v>
      </c>
    </row>
    <row r="33" spans="2:40" x14ac:dyDescent="0.3">
      <c r="B33" s="7" t="s">
        <v>42</v>
      </c>
      <c r="C33">
        <v>74</v>
      </c>
      <c r="N33" t="s">
        <v>119</v>
      </c>
      <c r="O33" t="s">
        <v>28</v>
      </c>
      <c r="P33" t="s">
        <v>29</v>
      </c>
      <c r="Q33" t="s">
        <v>120</v>
      </c>
      <c r="R33" t="s">
        <v>75</v>
      </c>
      <c r="S33" t="s">
        <v>41</v>
      </c>
      <c r="T33">
        <v>74</v>
      </c>
      <c r="U33">
        <v>0</v>
      </c>
      <c r="V33">
        <v>1</v>
      </c>
      <c r="W33">
        <v>61.64</v>
      </c>
      <c r="X33">
        <v>9.1999999999999993</v>
      </c>
      <c r="Y33">
        <v>6.31</v>
      </c>
      <c r="Z33" s="1">
        <v>45186</v>
      </c>
      <c r="AA33" t="s">
        <v>43</v>
      </c>
      <c r="AC33">
        <v>22</v>
      </c>
      <c r="AD33">
        <v>0</v>
      </c>
      <c r="AE33">
        <v>3</v>
      </c>
      <c r="AF33" t="s">
        <v>43</v>
      </c>
      <c r="AG33">
        <v>34</v>
      </c>
      <c r="AH33">
        <v>196</v>
      </c>
      <c r="AI33">
        <v>98</v>
      </c>
      <c r="AJ33" t="s">
        <v>70</v>
      </c>
      <c r="AK33">
        <v>48.4</v>
      </c>
      <c r="AL33">
        <v>9.4600000000000009</v>
      </c>
      <c r="AM33">
        <v>0.67</v>
      </c>
      <c r="AN33">
        <v>72.31</v>
      </c>
    </row>
    <row r="34" spans="2:40" x14ac:dyDescent="0.3">
      <c r="B34" s="7" t="s">
        <v>47</v>
      </c>
      <c r="C34">
        <v>75</v>
      </c>
      <c r="N34" t="s">
        <v>121</v>
      </c>
      <c r="O34" t="s">
        <v>28</v>
      </c>
      <c r="P34" t="s">
        <v>65</v>
      </c>
      <c r="Q34" t="s">
        <v>122</v>
      </c>
      <c r="R34" t="s">
        <v>56</v>
      </c>
      <c r="S34" t="s">
        <v>32</v>
      </c>
      <c r="T34">
        <v>83</v>
      </c>
      <c r="U34">
        <v>0</v>
      </c>
      <c r="V34">
        <v>1</v>
      </c>
      <c r="W34">
        <v>61.37</v>
      </c>
      <c r="X34">
        <v>9.1999999999999993</v>
      </c>
      <c r="Y34">
        <v>13.68</v>
      </c>
      <c r="AA34" t="s">
        <v>42</v>
      </c>
      <c r="AC34">
        <v>32</v>
      </c>
      <c r="AD34">
        <v>0</v>
      </c>
      <c r="AE34">
        <v>0</v>
      </c>
      <c r="AF34" t="s">
        <v>61</v>
      </c>
      <c r="AG34">
        <v>22</v>
      </c>
      <c r="AH34">
        <v>191</v>
      </c>
      <c r="AI34">
        <v>98</v>
      </c>
      <c r="AJ34" t="s">
        <v>48</v>
      </c>
      <c r="AK34">
        <v>66.2</v>
      </c>
      <c r="AL34">
        <v>9.92</v>
      </c>
      <c r="AM34">
        <v>0.95</v>
      </c>
      <c r="AN34">
        <v>72.27</v>
      </c>
    </row>
    <row r="35" spans="2:40" x14ac:dyDescent="0.3">
      <c r="B35" s="7" t="s">
        <v>43</v>
      </c>
      <c r="C35">
        <v>59</v>
      </c>
      <c r="N35" t="s">
        <v>123</v>
      </c>
      <c r="O35" t="s">
        <v>68</v>
      </c>
      <c r="P35" t="s">
        <v>38</v>
      </c>
      <c r="Q35" t="s">
        <v>124</v>
      </c>
      <c r="R35" t="s">
        <v>56</v>
      </c>
      <c r="S35" t="s">
        <v>32</v>
      </c>
      <c r="T35">
        <v>22</v>
      </c>
      <c r="U35">
        <v>1</v>
      </c>
      <c r="V35">
        <v>4</v>
      </c>
      <c r="W35">
        <v>81.31</v>
      </c>
      <c r="X35">
        <v>15.5</v>
      </c>
      <c r="Y35">
        <v>14.63</v>
      </c>
      <c r="AA35" t="s">
        <v>33</v>
      </c>
      <c r="AB35" s="1">
        <v>45185</v>
      </c>
      <c r="AD35">
        <v>0</v>
      </c>
      <c r="AE35">
        <v>2</v>
      </c>
      <c r="AF35" t="s">
        <v>43</v>
      </c>
      <c r="AG35">
        <v>21</v>
      </c>
      <c r="AH35">
        <v>195</v>
      </c>
      <c r="AI35">
        <v>94</v>
      </c>
      <c r="AJ35" t="s">
        <v>62</v>
      </c>
      <c r="AK35">
        <v>43.4</v>
      </c>
      <c r="AL35">
        <v>7.63</v>
      </c>
      <c r="AM35">
        <v>0.71</v>
      </c>
      <c r="AN35">
        <v>98.54</v>
      </c>
    </row>
    <row r="36" spans="2:40" x14ac:dyDescent="0.3">
      <c r="B36" s="7" t="s">
        <v>625</v>
      </c>
      <c r="C36" s="10">
        <f>AVERAGE(C32:C35)</f>
        <v>70</v>
      </c>
      <c r="N36" t="s">
        <v>125</v>
      </c>
      <c r="O36" t="s">
        <v>64</v>
      </c>
      <c r="P36" t="s">
        <v>38</v>
      </c>
      <c r="Q36" t="s">
        <v>126</v>
      </c>
      <c r="R36" t="s">
        <v>75</v>
      </c>
      <c r="S36" t="s">
        <v>32</v>
      </c>
      <c r="T36">
        <v>70</v>
      </c>
      <c r="U36">
        <v>3</v>
      </c>
      <c r="V36">
        <v>2</v>
      </c>
      <c r="W36">
        <v>68.239999999999995</v>
      </c>
      <c r="X36">
        <v>11.4</v>
      </c>
      <c r="Y36">
        <v>5.31</v>
      </c>
      <c r="AA36" t="s">
        <v>43</v>
      </c>
      <c r="AD36">
        <v>1</v>
      </c>
      <c r="AE36">
        <v>4</v>
      </c>
      <c r="AF36" t="s">
        <v>52</v>
      </c>
      <c r="AG36">
        <v>35</v>
      </c>
      <c r="AH36">
        <v>176</v>
      </c>
      <c r="AI36">
        <v>60</v>
      </c>
      <c r="AJ36" t="s">
        <v>48</v>
      </c>
      <c r="AK36">
        <v>61.1</v>
      </c>
      <c r="AL36">
        <v>9.31</v>
      </c>
      <c r="AM36">
        <v>0.55000000000000004</v>
      </c>
      <c r="AN36">
        <v>78.92</v>
      </c>
    </row>
    <row r="37" spans="2:40" x14ac:dyDescent="0.3">
      <c r="N37" t="s">
        <v>127</v>
      </c>
      <c r="O37" t="s">
        <v>64</v>
      </c>
      <c r="P37" t="s">
        <v>65</v>
      </c>
      <c r="Q37" t="s">
        <v>128</v>
      </c>
      <c r="R37" t="s">
        <v>51</v>
      </c>
      <c r="S37" t="s">
        <v>41</v>
      </c>
      <c r="T37">
        <v>26</v>
      </c>
      <c r="U37">
        <v>1</v>
      </c>
      <c r="V37">
        <v>1</v>
      </c>
      <c r="W37">
        <v>61.28</v>
      </c>
      <c r="X37">
        <v>9.1999999999999993</v>
      </c>
      <c r="Y37">
        <v>12.31</v>
      </c>
      <c r="AA37" t="s">
        <v>33</v>
      </c>
      <c r="AC37">
        <v>84</v>
      </c>
      <c r="AD37">
        <v>0</v>
      </c>
      <c r="AE37">
        <v>4</v>
      </c>
      <c r="AF37" t="s">
        <v>52</v>
      </c>
      <c r="AG37">
        <v>36</v>
      </c>
      <c r="AH37">
        <v>194</v>
      </c>
      <c r="AI37">
        <v>83</v>
      </c>
      <c r="AJ37" t="s">
        <v>70</v>
      </c>
      <c r="AK37">
        <v>56.2</v>
      </c>
      <c r="AL37">
        <v>9.06</v>
      </c>
      <c r="AM37">
        <v>1.34</v>
      </c>
      <c r="AN37">
        <v>72.760000000000005</v>
      </c>
    </row>
    <row r="38" spans="2:40" x14ac:dyDescent="0.3">
      <c r="B38" s="8" t="s">
        <v>634</v>
      </c>
      <c r="C38" s="6"/>
      <c r="N38" t="s">
        <v>129</v>
      </c>
      <c r="O38" t="s">
        <v>28</v>
      </c>
      <c r="P38" t="s">
        <v>65</v>
      </c>
      <c r="Q38" t="s">
        <v>130</v>
      </c>
      <c r="R38" t="s">
        <v>31</v>
      </c>
      <c r="S38" t="s">
        <v>32</v>
      </c>
      <c r="T38">
        <v>40</v>
      </c>
      <c r="U38">
        <v>1</v>
      </c>
      <c r="V38">
        <v>0</v>
      </c>
      <c r="W38">
        <v>54.13</v>
      </c>
      <c r="X38">
        <v>6.4</v>
      </c>
      <c r="Y38">
        <v>14.1</v>
      </c>
      <c r="AA38" t="s">
        <v>47</v>
      </c>
      <c r="AB38" s="1">
        <v>45194</v>
      </c>
      <c r="AD38">
        <v>0</v>
      </c>
      <c r="AE38">
        <v>3</v>
      </c>
      <c r="AF38" t="s">
        <v>52</v>
      </c>
      <c r="AG38">
        <v>21</v>
      </c>
      <c r="AH38">
        <v>170</v>
      </c>
      <c r="AI38">
        <v>95</v>
      </c>
      <c r="AJ38" t="s">
        <v>35</v>
      </c>
      <c r="AK38">
        <v>42.9</v>
      </c>
      <c r="AL38">
        <v>8.2899999999999991</v>
      </c>
      <c r="AM38">
        <v>1.48</v>
      </c>
      <c r="AN38">
        <v>87.97</v>
      </c>
    </row>
    <row r="39" spans="2:40" x14ac:dyDescent="0.3">
      <c r="N39" t="s">
        <v>131</v>
      </c>
      <c r="O39" t="s">
        <v>64</v>
      </c>
      <c r="P39" t="s">
        <v>29</v>
      </c>
      <c r="Q39" t="s">
        <v>132</v>
      </c>
      <c r="R39" t="s">
        <v>40</v>
      </c>
      <c r="S39" t="s">
        <v>41</v>
      </c>
      <c r="T39">
        <v>92</v>
      </c>
      <c r="U39">
        <v>1</v>
      </c>
      <c r="V39">
        <v>5</v>
      </c>
      <c r="W39">
        <v>87.13</v>
      </c>
      <c r="X39">
        <v>17.5</v>
      </c>
      <c r="Y39">
        <v>13.57</v>
      </c>
      <c r="AA39" t="s">
        <v>42</v>
      </c>
      <c r="AC39">
        <v>10</v>
      </c>
      <c r="AD39">
        <v>0</v>
      </c>
      <c r="AE39">
        <v>0</v>
      </c>
      <c r="AF39" t="s">
        <v>61</v>
      </c>
      <c r="AG39">
        <v>24</v>
      </c>
      <c r="AH39">
        <v>180</v>
      </c>
      <c r="AI39">
        <v>65</v>
      </c>
      <c r="AJ39" t="s">
        <v>48</v>
      </c>
      <c r="AK39">
        <v>47.3</v>
      </c>
      <c r="AL39">
        <v>9.82</v>
      </c>
      <c r="AM39">
        <v>1.29</v>
      </c>
      <c r="AN39">
        <v>88.71</v>
      </c>
    </row>
    <row r="40" spans="2:40" x14ac:dyDescent="0.3">
      <c r="B40" s="4" t="s">
        <v>635</v>
      </c>
      <c r="C40" s="4" t="s">
        <v>631</v>
      </c>
      <c r="N40" t="s">
        <v>133</v>
      </c>
      <c r="O40" t="s">
        <v>68</v>
      </c>
      <c r="P40" t="s">
        <v>29</v>
      </c>
      <c r="Q40" t="s">
        <v>134</v>
      </c>
      <c r="R40" t="s">
        <v>75</v>
      </c>
      <c r="S40" t="s">
        <v>32</v>
      </c>
      <c r="T40">
        <v>58</v>
      </c>
      <c r="U40">
        <v>2</v>
      </c>
      <c r="V40">
        <v>5</v>
      </c>
      <c r="W40">
        <v>87.02</v>
      </c>
      <c r="X40">
        <v>17.399999999999999</v>
      </c>
      <c r="Y40">
        <v>14.65</v>
      </c>
      <c r="Z40" s="1">
        <v>45121</v>
      </c>
      <c r="AA40" t="s">
        <v>47</v>
      </c>
      <c r="AB40" s="1">
        <v>45170</v>
      </c>
      <c r="AD40">
        <v>0</v>
      </c>
      <c r="AE40">
        <v>0</v>
      </c>
      <c r="AF40" t="s">
        <v>61</v>
      </c>
      <c r="AG40">
        <v>27</v>
      </c>
      <c r="AH40">
        <v>185</v>
      </c>
      <c r="AI40">
        <v>90</v>
      </c>
      <c r="AJ40" t="s">
        <v>35</v>
      </c>
      <c r="AK40">
        <v>40.4</v>
      </c>
      <c r="AL40">
        <v>6.8</v>
      </c>
      <c r="AM40">
        <v>1.35</v>
      </c>
      <c r="AN40">
        <v>89.46</v>
      </c>
    </row>
    <row r="41" spans="2:40" x14ac:dyDescent="0.3">
      <c r="B41" s="4" t="s">
        <v>632</v>
      </c>
      <c r="C41" t="s">
        <v>33</v>
      </c>
      <c r="D41" t="s">
        <v>42</v>
      </c>
      <c r="E41" t="s">
        <v>47</v>
      </c>
      <c r="F41" t="s">
        <v>43</v>
      </c>
      <c r="G41" t="s">
        <v>633</v>
      </c>
      <c r="N41" t="s">
        <v>135</v>
      </c>
      <c r="O41" t="s">
        <v>28</v>
      </c>
      <c r="P41" t="s">
        <v>65</v>
      </c>
      <c r="Q41" t="s">
        <v>136</v>
      </c>
      <c r="R41" t="s">
        <v>94</v>
      </c>
      <c r="S41" t="s">
        <v>41</v>
      </c>
      <c r="T41">
        <v>37</v>
      </c>
      <c r="U41">
        <v>2</v>
      </c>
      <c r="V41">
        <v>4</v>
      </c>
      <c r="W41">
        <v>81.19</v>
      </c>
      <c r="X41">
        <v>15.5</v>
      </c>
      <c r="Y41">
        <v>12.6</v>
      </c>
      <c r="Z41" s="1">
        <v>45264</v>
      </c>
      <c r="AA41" t="s">
        <v>42</v>
      </c>
      <c r="AC41">
        <v>63</v>
      </c>
      <c r="AD41">
        <v>0</v>
      </c>
      <c r="AE41">
        <v>4</v>
      </c>
      <c r="AF41" t="s">
        <v>43</v>
      </c>
      <c r="AG41">
        <v>35</v>
      </c>
      <c r="AH41">
        <v>163</v>
      </c>
      <c r="AI41">
        <v>79</v>
      </c>
      <c r="AJ41" t="s">
        <v>44</v>
      </c>
      <c r="AK41">
        <v>54.1</v>
      </c>
      <c r="AL41">
        <v>6.44</v>
      </c>
      <c r="AM41">
        <v>0.74</v>
      </c>
      <c r="AN41">
        <v>78.02</v>
      </c>
    </row>
    <row r="42" spans="2:40" x14ac:dyDescent="0.3">
      <c r="B42" s="5" t="s">
        <v>28</v>
      </c>
      <c r="C42">
        <v>48</v>
      </c>
      <c r="D42" s="9">
        <v>50.875</v>
      </c>
      <c r="E42" s="9">
        <v>40.200000000000003</v>
      </c>
      <c r="F42">
        <v>52</v>
      </c>
      <c r="G42" s="9">
        <v>48.18181818181818</v>
      </c>
      <c r="N42" t="s">
        <v>137</v>
      </c>
      <c r="O42" t="s">
        <v>64</v>
      </c>
      <c r="P42" t="s">
        <v>38</v>
      </c>
      <c r="Q42" t="s">
        <v>138</v>
      </c>
      <c r="R42" t="s">
        <v>56</v>
      </c>
      <c r="S42" t="s">
        <v>41</v>
      </c>
      <c r="T42">
        <v>23</v>
      </c>
      <c r="U42">
        <v>1</v>
      </c>
      <c r="V42">
        <v>6</v>
      </c>
      <c r="W42">
        <v>94.2</v>
      </c>
      <c r="X42">
        <v>19.8</v>
      </c>
      <c r="Y42">
        <v>9.42</v>
      </c>
      <c r="AA42" t="s">
        <v>43</v>
      </c>
      <c r="AC42">
        <v>80</v>
      </c>
      <c r="AD42">
        <v>0</v>
      </c>
      <c r="AE42">
        <v>1</v>
      </c>
      <c r="AF42" t="s">
        <v>52</v>
      </c>
      <c r="AG42">
        <v>36</v>
      </c>
      <c r="AH42">
        <v>193</v>
      </c>
      <c r="AI42">
        <v>83</v>
      </c>
      <c r="AJ42" t="s">
        <v>48</v>
      </c>
      <c r="AK42">
        <v>49</v>
      </c>
      <c r="AL42">
        <v>9.42</v>
      </c>
      <c r="AM42">
        <v>1.46</v>
      </c>
      <c r="AN42">
        <v>70.45</v>
      </c>
    </row>
    <row r="43" spans="2:40" x14ac:dyDescent="0.3">
      <c r="B43" s="5" t="s">
        <v>64</v>
      </c>
      <c r="C43" s="9">
        <v>64.285714285714292</v>
      </c>
      <c r="D43" s="9">
        <v>38.833333333333336</v>
      </c>
      <c r="E43" s="9">
        <v>65.5</v>
      </c>
      <c r="F43">
        <v>49</v>
      </c>
      <c r="G43" s="9">
        <v>53.157894736842103</v>
      </c>
      <c r="N43" t="s">
        <v>139</v>
      </c>
      <c r="O43" t="s">
        <v>28</v>
      </c>
      <c r="P43" t="s">
        <v>38</v>
      </c>
      <c r="Q43" t="s">
        <v>140</v>
      </c>
      <c r="R43" t="s">
        <v>75</v>
      </c>
      <c r="S43" t="s">
        <v>41</v>
      </c>
      <c r="T43">
        <v>79</v>
      </c>
      <c r="U43">
        <v>3</v>
      </c>
      <c r="V43">
        <v>6</v>
      </c>
      <c r="W43">
        <v>94.13</v>
      </c>
      <c r="X43">
        <v>19.600000000000001</v>
      </c>
      <c r="Y43">
        <v>8.1199999999999992</v>
      </c>
      <c r="AA43" t="s">
        <v>42</v>
      </c>
      <c r="AD43">
        <v>0</v>
      </c>
      <c r="AE43">
        <v>3</v>
      </c>
      <c r="AF43" t="s">
        <v>52</v>
      </c>
      <c r="AG43">
        <v>21</v>
      </c>
      <c r="AH43">
        <v>177</v>
      </c>
      <c r="AI43">
        <v>84</v>
      </c>
      <c r="AJ43" t="s">
        <v>48</v>
      </c>
      <c r="AK43">
        <v>58</v>
      </c>
      <c r="AL43">
        <v>7.76</v>
      </c>
      <c r="AM43">
        <v>0.7</v>
      </c>
      <c r="AN43">
        <v>98.95</v>
      </c>
    </row>
    <row r="44" spans="2:40" x14ac:dyDescent="0.3">
      <c r="B44" s="5" t="s">
        <v>37</v>
      </c>
      <c r="C44" s="9">
        <v>58.666666666666664</v>
      </c>
      <c r="D44">
        <v>41</v>
      </c>
      <c r="E44" s="9">
        <v>56.625</v>
      </c>
      <c r="F44" s="9">
        <v>37.666666666666664</v>
      </c>
      <c r="G44" s="9">
        <v>47.583333333333336</v>
      </c>
      <c r="N44" t="s">
        <v>141</v>
      </c>
      <c r="O44" t="s">
        <v>64</v>
      </c>
      <c r="P44" t="s">
        <v>38</v>
      </c>
      <c r="Q44" t="s">
        <v>142</v>
      </c>
      <c r="R44" t="s">
        <v>80</v>
      </c>
      <c r="S44" t="s">
        <v>41</v>
      </c>
      <c r="T44">
        <v>33</v>
      </c>
      <c r="U44">
        <v>0</v>
      </c>
      <c r="V44">
        <v>3</v>
      </c>
      <c r="W44">
        <v>73.83</v>
      </c>
      <c r="X44">
        <v>13.6</v>
      </c>
      <c r="Y44">
        <v>8.2100000000000009</v>
      </c>
      <c r="AA44" t="s">
        <v>33</v>
      </c>
      <c r="AD44">
        <v>0</v>
      </c>
      <c r="AE44">
        <v>3</v>
      </c>
      <c r="AF44" t="s">
        <v>52</v>
      </c>
      <c r="AG44">
        <v>27</v>
      </c>
      <c r="AH44">
        <v>199</v>
      </c>
      <c r="AI44">
        <v>95</v>
      </c>
      <c r="AJ44" t="s">
        <v>48</v>
      </c>
      <c r="AK44">
        <v>48.9</v>
      </c>
      <c r="AL44">
        <v>9.39</v>
      </c>
      <c r="AM44">
        <v>1.45</v>
      </c>
      <c r="AN44">
        <v>77.53</v>
      </c>
    </row>
    <row r="45" spans="2:40" x14ac:dyDescent="0.3">
      <c r="B45" s="5" t="s">
        <v>68</v>
      </c>
      <c r="C45" s="9">
        <v>56.1</v>
      </c>
      <c r="D45" s="9">
        <v>46.8</v>
      </c>
      <c r="E45" s="9">
        <v>50.25</v>
      </c>
      <c r="F45">
        <v>40.6</v>
      </c>
      <c r="G45" s="9">
        <v>49.958333333333336</v>
      </c>
      <c r="N45" t="s">
        <v>143</v>
      </c>
      <c r="O45" t="s">
        <v>28</v>
      </c>
      <c r="P45" t="s">
        <v>65</v>
      </c>
      <c r="Q45" t="s">
        <v>144</v>
      </c>
      <c r="R45" t="s">
        <v>51</v>
      </c>
      <c r="S45" t="s">
        <v>41</v>
      </c>
      <c r="T45">
        <v>28</v>
      </c>
      <c r="U45">
        <v>3</v>
      </c>
      <c r="V45">
        <v>4</v>
      </c>
      <c r="W45">
        <v>81.099999999999994</v>
      </c>
      <c r="X45">
        <v>15.5</v>
      </c>
      <c r="Y45">
        <v>12.24</v>
      </c>
      <c r="Z45" s="1">
        <v>45063</v>
      </c>
      <c r="AA45" t="s">
        <v>47</v>
      </c>
      <c r="AB45" s="1">
        <v>45005</v>
      </c>
      <c r="AC45">
        <v>24</v>
      </c>
      <c r="AD45">
        <v>0</v>
      </c>
      <c r="AE45">
        <v>4</v>
      </c>
      <c r="AF45" t="s">
        <v>61</v>
      </c>
      <c r="AG45">
        <v>18</v>
      </c>
      <c r="AH45">
        <v>194</v>
      </c>
      <c r="AI45">
        <v>80</v>
      </c>
      <c r="AJ45" t="s">
        <v>48</v>
      </c>
      <c r="AK45">
        <v>49</v>
      </c>
      <c r="AL45">
        <v>9.57</v>
      </c>
      <c r="AM45">
        <v>1.49</v>
      </c>
      <c r="AN45">
        <v>90.28</v>
      </c>
    </row>
    <row r="46" spans="2:40" x14ac:dyDescent="0.3">
      <c r="B46" s="5" t="s">
        <v>633</v>
      </c>
      <c r="C46" s="9">
        <v>57.458333333333336</v>
      </c>
      <c r="D46" s="9">
        <v>44.653846153846153</v>
      </c>
      <c r="E46" s="9">
        <v>51.89473684210526</v>
      </c>
      <c r="F46" s="9">
        <v>44.25</v>
      </c>
      <c r="G46" s="9">
        <v>49.561797752808985</v>
      </c>
      <c r="N46" t="s">
        <v>145</v>
      </c>
      <c r="O46" t="s">
        <v>64</v>
      </c>
      <c r="P46" t="s">
        <v>65</v>
      </c>
      <c r="Q46" t="s">
        <v>146</v>
      </c>
      <c r="R46" t="s">
        <v>94</v>
      </c>
      <c r="S46" t="s">
        <v>41</v>
      </c>
      <c r="T46">
        <v>72</v>
      </c>
      <c r="U46">
        <v>4</v>
      </c>
      <c r="V46">
        <v>3</v>
      </c>
      <c r="W46">
        <v>73.63</v>
      </c>
      <c r="X46">
        <v>13.6</v>
      </c>
      <c r="Y46">
        <v>12.46</v>
      </c>
      <c r="AA46" t="s">
        <v>33</v>
      </c>
      <c r="AB46" s="1">
        <v>45041</v>
      </c>
      <c r="AC46">
        <v>74</v>
      </c>
      <c r="AD46">
        <v>0</v>
      </c>
      <c r="AE46">
        <v>4</v>
      </c>
      <c r="AF46" t="s">
        <v>34</v>
      </c>
      <c r="AG46">
        <v>35</v>
      </c>
      <c r="AH46">
        <v>188</v>
      </c>
      <c r="AI46">
        <v>89</v>
      </c>
      <c r="AJ46" t="s">
        <v>62</v>
      </c>
      <c r="AK46">
        <v>62.3</v>
      </c>
      <c r="AL46">
        <v>6.25</v>
      </c>
      <c r="AM46">
        <v>1.21</v>
      </c>
      <c r="AN46">
        <v>91.2</v>
      </c>
    </row>
    <row r="47" spans="2:40" x14ac:dyDescent="0.3">
      <c r="N47" t="s">
        <v>147</v>
      </c>
      <c r="O47" t="s">
        <v>28</v>
      </c>
      <c r="P47" t="s">
        <v>38</v>
      </c>
      <c r="Q47" t="s">
        <v>148</v>
      </c>
      <c r="R47" t="s">
        <v>94</v>
      </c>
      <c r="S47" t="s">
        <v>32</v>
      </c>
      <c r="T47">
        <v>21</v>
      </c>
      <c r="U47">
        <v>2</v>
      </c>
      <c r="V47">
        <v>6</v>
      </c>
      <c r="W47">
        <v>93.85</v>
      </c>
      <c r="X47">
        <v>19.600000000000001</v>
      </c>
      <c r="Y47">
        <v>7</v>
      </c>
      <c r="AA47" t="s">
        <v>33</v>
      </c>
      <c r="AB47" s="1">
        <v>45094</v>
      </c>
      <c r="AC47">
        <v>85</v>
      </c>
      <c r="AD47">
        <v>0</v>
      </c>
      <c r="AE47">
        <v>1</v>
      </c>
      <c r="AF47" t="s">
        <v>34</v>
      </c>
      <c r="AG47">
        <v>22</v>
      </c>
      <c r="AH47">
        <v>188</v>
      </c>
      <c r="AI47">
        <v>83</v>
      </c>
      <c r="AJ47" t="s">
        <v>53</v>
      </c>
      <c r="AK47">
        <v>41.4</v>
      </c>
      <c r="AL47">
        <v>9.5299999999999994</v>
      </c>
      <c r="AM47">
        <v>1.48</v>
      </c>
      <c r="AN47">
        <v>88.3</v>
      </c>
    </row>
    <row r="48" spans="2:40" x14ac:dyDescent="0.3">
      <c r="B48" s="8" t="s">
        <v>636</v>
      </c>
      <c r="C48" s="6"/>
      <c r="N48" t="s">
        <v>149</v>
      </c>
      <c r="O48" t="s">
        <v>68</v>
      </c>
      <c r="P48" t="s">
        <v>29</v>
      </c>
      <c r="Q48" t="s">
        <v>150</v>
      </c>
      <c r="R48" t="s">
        <v>75</v>
      </c>
      <c r="S48" t="s">
        <v>32</v>
      </c>
      <c r="T48">
        <v>79</v>
      </c>
      <c r="U48">
        <v>0</v>
      </c>
      <c r="V48">
        <v>4</v>
      </c>
      <c r="W48">
        <v>81.08</v>
      </c>
      <c r="X48">
        <v>15.5</v>
      </c>
      <c r="Y48">
        <v>13.68</v>
      </c>
      <c r="AA48" t="s">
        <v>47</v>
      </c>
      <c r="AC48">
        <v>80</v>
      </c>
      <c r="AD48">
        <v>1</v>
      </c>
      <c r="AE48">
        <v>1</v>
      </c>
      <c r="AF48" t="s">
        <v>52</v>
      </c>
      <c r="AG48">
        <v>32</v>
      </c>
      <c r="AH48">
        <v>197</v>
      </c>
      <c r="AI48">
        <v>89</v>
      </c>
      <c r="AJ48" t="s">
        <v>53</v>
      </c>
      <c r="AK48">
        <v>67.099999999999994</v>
      </c>
      <c r="AL48">
        <v>7.79</v>
      </c>
      <c r="AM48">
        <v>1.07</v>
      </c>
      <c r="AN48">
        <v>79.39</v>
      </c>
    </row>
    <row r="49" spans="2:42" x14ac:dyDescent="0.3">
      <c r="N49" t="s">
        <v>151</v>
      </c>
      <c r="O49" t="s">
        <v>37</v>
      </c>
      <c r="P49" t="s">
        <v>29</v>
      </c>
      <c r="Q49" t="s">
        <v>152</v>
      </c>
      <c r="R49" t="s">
        <v>75</v>
      </c>
      <c r="S49" t="s">
        <v>32</v>
      </c>
      <c r="T49">
        <v>90</v>
      </c>
      <c r="U49">
        <v>0</v>
      </c>
      <c r="V49">
        <v>4</v>
      </c>
      <c r="W49">
        <v>80.739999999999995</v>
      </c>
      <c r="X49">
        <v>15.5</v>
      </c>
      <c r="Y49">
        <v>12.15</v>
      </c>
      <c r="AA49" t="s">
        <v>47</v>
      </c>
      <c r="AC49">
        <v>24</v>
      </c>
      <c r="AD49">
        <v>0</v>
      </c>
      <c r="AE49">
        <v>0</v>
      </c>
      <c r="AF49" t="s">
        <v>61</v>
      </c>
      <c r="AG49">
        <v>34</v>
      </c>
      <c r="AH49">
        <v>180</v>
      </c>
      <c r="AI49">
        <v>81</v>
      </c>
      <c r="AJ49" t="s">
        <v>70</v>
      </c>
      <c r="AK49">
        <v>65.599999999999994</v>
      </c>
      <c r="AL49">
        <v>8.0399999999999991</v>
      </c>
      <c r="AM49">
        <v>0.76</v>
      </c>
      <c r="AN49">
        <v>78.13</v>
      </c>
    </row>
    <row r="50" spans="2:42" x14ac:dyDescent="0.3">
      <c r="B50" s="4" t="s">
        <v>632</v>
      </c>
      <c r="C50" t="s">
        <v>637</v>
      </c>
      <c r="N50" t="s">
        <v>153</v>
      </c>
      <c r="O50" t="s">
        <v>64</v>
      </c>
      <c r="P50" t="s">
        <v>29</v>
      </c>
      <c r="Q50" t="s">
        <v>154</v>
      </c>
      <c r="R50" t="s">
        <v>56</v>
      </c>
      <c r="S50" t="s">
        <v>32</v>
      </c>
      <c r="T50">
        <v>63</v>
      </c>
      <c r="U50">
        <v>4</v>
      </c>
      <c r="V50">
        <v>4</v>
      </c>
      <c r="W50">
        <v>80.150000000000006</v>
      </c>
      <c r="X50">
        <v>15.4</v>
      </c>
      <c r="Y50">
        <v>10.63</v>
      </c>
      <c r="AA50" t="s">
        <v>33</v>
      </c>
      <c r="AB50" s="1">
        <v>45147</v>
      </c>
      <c r="AD50">
        <v>0</v>
      </c>
      <c r="AE50">
        <v>3</v>
      </c>
      <c r="AF50" t="s">
        <v>52</v>
      </c>
      <c r="AG50">
        <v>20</v>
      </c>
      <c r="AH50">
        <v>172</v>
      </c>
      <c r="AI50">
        <v>87</v>
      </c>
      <c r="AJ50" t="s">
        <v>35</v>
      </c>
      <c r="AK50">
        <v>60</v>
      </c>
      <c r="AL50">
        <v>8.51</v>
      </c>
      <c r="AM50">
        <v>0.94</v>
      </c>
      <c r="AN50">
        <v>87.93</v>
      </c>
    </row>
    <row r="51" spans="2:42" x14ac:dyDescent="0.3">
      <c r="B51" s="5" t="s">
        <v>33</v>
      </c>
      <c r="C51" s="9">
        <v>28.180555555555557</v>
      </c>
      <c r="N51" t="s">
        <v>155</v>
      </c>
      <c r="O51" t="s">
        <v>68</v>
      </c>
      <c r="P51" t="s">
        <v>38</v>
      </c>
      <c r="Q51" t="s">
        <v>156</v>
      </c>
      <c r="R51" t="s">
        <v>31</v>
      </c>
      <c r="S51" t="s">
        <v>41</v>
      </c>
      <c r="T51">
        <v>27</v>
      </c>
      <c r="U51">
        <v>4</v>
      </c>
      <c r="V51">
        <v>6</v>
      </c>
      <c r="W51">
        <v>93.55</v>
      </c>
      <c r="X51">
        <v>19.5</v>
      </c>
      <c r="Y51">
        <v>9.7200000000000006</v>
      </c>
      <c r="AA51" t="s">
        <v>33</v>
      </c>
      <c r="AD51">
        <v>0</v>
      </c>
      <c r="AE51">
        <v>3</v>
      </c>
      <c r="AF51" t="s">
        <v>34</v>
      </c>
      <c r="AG51">
        <v>29</v>
      </c>
      <c r="AH51">
        <v>176</v>
      </c>
      <c r="AI51">
        <v>66</v>
      </c>
      <c r="AJ51" t="s">
        <v>53</v>
      </c>
      <c r="AK51">
        <v>57.8</v>
      </c>
      <c r="AL51">
        <v>9.7100000000000009</v>
      </c>
      <c r="AM51">
        <v>1.0900000000000001</v>
      </c>
      <c r="AN51">
        <v>95.98</v>
      </c>
    </row>
    <row r="52" spans="2:42" x14ac:dyDescent="0.3">
      <c r="B52" s="5" t="s">
        <v>42</v>
      </c>
      <c r="C52" s="9">
        <v>28.351351351351351</v>
      </c>
      <c r="N52" t="s">
        <v>157</v>
      </c>
      <c r="O52" t="s">
        <v>64</v>
      </c>
      <c r="P52" t="s">
        <v>38</v>
      </c>
      <c r="Q52" t="s">
        <v>158</v>
      </c>
      <c r="R52" t="s">
        <v>94</v>
      </c>
      <c r="S52" t="s">
        <v>41</v>
      </c>
      <c r="T52">
        <v>66</v>
      </c>
      <c r="U52">
        <v>1</v>
      </c>
      <c r="V52">
        <v>3</v>
      </c>
      <c r="W52">
        <v>73.510000000000005</v>
      </c>
      <c r="X52">
        <v>13.4</v>
      </c>
      <c r="Y52">
        <v>10.43</v>
      </c>
      <c r="AA52" t="s">
        <v>43</v>
      </c>
      <c r="AB52" s="1">
        <v>44945</v>
      </c>
      <c r="AD52">
        <v>0</v>
      </c>
      <c r="AE52">
        <v>4</v>
      </c>
      <c r="AF52" t="s">
        <v>52</v>
      </c>
      <c r="AG52">
        <v>19</v>
      </c>
      <c r="AH52">
        <v>168</v>
      </c>
      <c r="AI52">
        <v>94</v>
      </c>
      <c r="AJ52" t="s">
        <v>53</v>
      </c>
      <c r="AK52">
        <v>66.8</v>
      </c>
      <c r="AL52">
        <v>6.08</v>
      </c>
      <c r="AM52">
        <v>0.56999999999999995</v>
      </c>
      <c r="AN52">
        <v>98.4</v>
      </c>
    </row>
    <row r="53" spans="2:42" x14ac:dyDescent="0.3">
      <c r="B53" s="5" t="s">
        <v>47</v>
      </c>
      <c r="C53" s="9">
        <v>27.44</v>
      </c>
      <c r="N53" t="s">
        <v>159</v>
      </c>
      <c r="O53" t="s">
        <v>37</v>
      </c>
      <c r="P53" t="s">
        <v>38</v>
      </c>
      <c r="Q53" t="s">
        <v>160</v>
      </c>
      <c r="R53" t="s">
        <v>94</v>
      </c>
      <c r="S53" t="s">
        <v>41</v>
      </c>
      <c r="T53">
        <v>54</v>
      </c>
      <c r="U53">
        <v>2</v>
      </c>
      <c r="V53">
        <v>3</v>
      </c>
      <c r="W53">
        <v>73.510000000000005</v>
      </c>
      <c r="X53">
        <v>13.4</v>
      </c>
      <c r="Y53">
        <v>6.59</v>
      </c>
      <c r="AA53" t="s">
        <v>33</v>
      </c>
      <c r="AC53">
        <v>30</v>
      </c>
      <c r="AD53">
        <v>0</v>
      </c>
      <c r="AE53">
        <v>0</v>
      </c>
      <c r="AF53" t="s">
        <v>43</v>
      </c>
      <c r="AG53">
        <v>18</v>
      </c>
      <c r="AH53">
        <v>160</v>
      </c>
      <c r="AI53">
        <v>87</v>
      </c>
      <c r="AJ53" t="s">
        <v>44</v>
      </c>
      <c r="AK53">
        <v>45.6</v>
      </c>
      <c r="AL53">
        <v>7.91</v>
      </c>
      <c r="AM53">
        <v>1.1200000000000001</v>
      </c>
      <c r="AN53">
        <v>73.180000000000007</v>
      </c>
    </row>
    <row r="54" spans="2:42" x14ac:dyDescent="0.3">
      <c r="B54" s="5" t="s">
        <v>43</v>
      </c>
      <c r="C54" s="9">
        <v>28.067796610169491</v>
      </c>
      <c r="N54" t="s">
        <v>161</v>
      </c>
      <c r="O54" t="s">
        <v>68</v>
      </c>
      <c r="P54" t="s">
        <v>29</v>
      </c>
      <c r="Q54" t="s">
        <v>162</v>
      </c>
      <c r="R54" t="s">
        <v>75</v>
      </c>
      <c r="S54" t="s">
        <v>32</v>
      </c>
      <c r="T54">
        <v>55</v>
      </c>
      <c r="U54">
        <v>2</v>
      </c>
      <c r="V54">
        <v>4</v>
      </c>
      <c r="W54">
        <v>79.8</v>
      </c>
      <c r="X54">
        <v>15.4</v>
      </c>
      <c r="Y54">
        <v>7.04</v>
      </c>
      <c r="AA54" t="s">
        <v>47</v>
      </c>
      <c r="AD54">
        <v>1</v>
      </c>
      <c r="AE54">
        <v>3</v>
      </c>
      <c r="AF54" t="s">
        <v>43</v>
      </c>
      <c r="AG54">
        <v>38</v>
      </c>
      <c r="AH54">
        <v>161</v>
      </c>
      <c r="AI54">
        <v>73</v>
      </c>
      <c r="AJ54" t="s">
        <v>48</v>
      </c>
      <c r="AK54">
        <v>42.4</v>
      </c>
      <c r="AL54">
        <v>8.75</v>
      </c>
      <c r="AM54">
        <v>1.48</v>
      </c>
      <c r="AN54">
        <v>74.64</v>
      </c>
    </row>
    <row r="55" spans="2:42" x14ac:dyDescent="0.3">
      <c r="B55" s="5" t="s">
        <v>633</v>
      </c>
      <c r="C55" s="9">
        <v>28.00357142857143</v>
      </c>
      <c r="N55" t="s">
        <v>163</v>
      </c>
      <c r="O55" t="s">
        <v>64</v>
      </c>
      <c r="P55" t="s">
        <v>38</v>
      </c>
      <c r="Q55" t="s">
        <v>164</v>
      </c>
      <c r="R55" t="s">
        <v>51</v>
      </c>
      <c r="S55" t="s">
        <v>32</v>
      </c>
      <c r="T55">
        <v>69</v>
      </c>
      <c r="U55">
        <v>3</v>
      </c>
      <c r="V55">
        <v>1</v>
      </c>
      <c r="W55">
        <v>61.04</v>
      </c>
      <c r="X55">
        <v>9.1999999999999993</v>
      </c>
      <c r="Y55">
        <v>5.91</v>
      </c>
      <c r="AA55" t="s">
        <v>47</v>
      </c>
      <c r="AB55" s="1">
        <v>45159</v>
      </c>
      <c r="AD55">
        <v>0</v>
      </c>
      <c r="AE55">
        <v>0</v>
      </c>
      <c r="AF55" t="s">
        <v>34</v>
      </c>
      <c r="AG55">
        <v>34</v>
      </c>
      <c r="AH55">
        <v>188</v>
      </c>
      <c r="AI55">
        <v>69</v>
      </c>
      <c r="AJ55" t="s">
        <v>48</v>
      </c>
      <c r="AK55">
        <v>47.2</v>
      </c>
      <c r="AL55">
        <v>8.89</v>
      </c>
      <c r="AM55">
        <v>0.69</v>
      </c>
      <c r="AN55">
        <v>98.34</v>
      </c>
      <c r="AP55" s="5"/>
    </row>
    <row r="56" spans="2:42" x14ac:dyDescent="0.3">
      <c r="N56" t="s">
        <v>165</v>
      </c>
      <c r="O56" t="s">
        <v>28</v>
      </c>
      <c r="P56" t="s">
        <v>38</v>
      </c>
      <c r="Q56" t="s">
        <v>166</v>
      </c>
      <c r="R56" t="s">
        <v>51</v>
      </c>
      <c r="S56" t="s">
        <v>32</v>
      </c>
      <c r="T56">
        <v>23</v>
      </c>
      <c r="U56">
        <v>1</v>
      </c>
      <c r="V56">
        <v>2</v>
      </c>
      <c r="W56">
        <v>68.2</v>
      </c>
      <c r="X56">
        <v>11.3</v>
      </c>
      <c r="Y56">
        <v>6.54</v>
      </c>
      <c r="AA56" t="s">
        <v>33</v>
      </c>
      <c r="AD56">
        <v>0</v>
      </c>
      <c r="AE56">
        <v>0</v>
      </c>
      <c r="AF56" t="s">
        <v>61</v>
      </c>
      <c r="AG56">
        <v>39</v>
      </c>
      <c r="AH56">
        <v>192</v>
      </c>
      <c r="AI56">
        <v>75</v>
      </c>
      <c r="AJ56" t="s">
        <v>48</v>
      </c>
      <c r="AK56">
        <v>63.8</v>
      </c>
      <c r="AL56">
        <v>8.77</v>
      </c>
      <c r="AM56">
        <v>1.29</v>
      </c>
      <c r="AN56">
        <v>92.1</v>
      </c>
      <c r="AP56" s="5"/>
    </row>
    <row r="57" spans="2:42" x14ac:dyDescent="0.3">
      <c r="B57" s="8" t="s">
        <v>638</v>
      </c>
      <c r="C57" s="6"/>
      <c r="N57" t="s">
        <v>167</v>
      </c>
      <c r="O57" t="s">
        <v>68</v>
      </c>
      <c r="P57" t="s">
        <v>38</v>
      </c>
      <c r="Q57" t="s">
        <v>168</v>
      </c>
      <c r="R57" t="s">
        <v>56</v>
      </c>
      <c r="S57" t="s">
        <v>41</v>
      </c>
      <c r="T57">
        <v>21</v>
      </c>
      <c r="U57">
        <v>1</v>
      </c>
      <c r="V57">
        <v>6</v>
      </c>
      <c r="W57">
        <v>93.3</v>
      </c>
      <c r="X57">
        <v>19.5</v>
      </c>
      <c r="Y57">
        <v>9.5399999999999991</v>
      </c>
      <c r="AA57" t="s">
        <v>33</v>
      </c>
      <c r="AD57">
        <v>0</v>
      </c>
      <c r="AE57">
        <v>4</v>
      </c>
      <c r="AF57" t="s">
        <v>52</v>
      </c>
      <c r="AG57">
        <v>33</v>
      </c>
      <c r="AH57">
        <v>169</v>
      </c>
      <c r="AI57">
        <v>75</v>
      </c>
      <c r="AJ57" t="s">
        <v>70</v>
      </c>
      <c r="AK57">
        <v>41</v>
      </c>
      <c r="AL57">
        <v>6.54</v>
      </c>
      <c r="AM57">
        <v>1.41</v>
      </c>
      <c r="AN57">
        <v>96.49</v>
      </c>
      <c r="AP57" s="5"/>
    </row>
    <row r="58" spans="2:42" x14ac:dyDescent="0.3">
      <c r="N58" t="s">
        <v>169</v>
      </c>
      <c r="O58" t="s">
        <v>28</v>
      </c>
      <c r="P58" t="s">
        <v>29</v>
      </c>
      <c r="Q58" t="s">
        <v>170</v>
      </c>
      <c r="R58" t="s">
        <v>31</v>
      </c>
      <c r="S58" t="s">
        <v>32</v>
      </c>
      <c r="T58">
        <v>25</v>
      </c>
      <c r="U58">
        <v>1</v>
      </c>
      <c r="V58">
        <v>2</v>
      </c>
      <c r="W58">
        <v>68.2</v>
      </c>
      <c r="X58">
        <v>11.3</v>
      </c>
      <c r="Y58">
        <v>10.3</v>
      </c>
      <c r="Z58" s="1">
        <v>45141</v>
      </c>
      <c r="AA58" t="s">
        <v>33</v>
      </c>
      <c r="AC58">
        <v>28</v>
      </c>
      <c r="AD58">
        <v>0</v>
      </c>
      <c r="AE58">
        <v>0</v>
      </c>
      <c r="AF58" t="s">
        <v>52</v>
      </c>
      <c r="AG58">
        <v>22</v>
      </c>
      <c r="AH58">
        <v>199</v>
      </c>
      <c r="AI58">
        <v>90</v>
      </c>
      <c r="AJ58" t="s">
        <v>70</v>
      </c>
      <c r="AK58">
        <v>57.5</v>
      </c>
      <c r="AL58">
        <v>7.2</v>
      </c>
      <c r="AM58">
        <v>1.44</v>
      </c>
      <c r="AN58">
        <v>76.08</v>
      </c>
      <c r="AP58" s="5"/>
    </row>
    <row r="59" spans="2:42" x14ac:dyDescent="0.3">
      <c r="B59" s="4" t="s">
        <v>630</v>
      </c>
      <c r="C59" s="4" t="s">
        <v>631</v>
      </c>
      <c r="N59" t="s">
        <v>171</v>
      </c>
      <c r="O59" t="s">
        <v>37</v>
      </c>
      <c r="P59" t="s">
        <v>65</v>
      </c>
      <c r="Q59" t="s">
        <v>172</v>
      </c>
      <c r="R59" t="s">
        <v>40</v>
      </c>
      <c r="S59" t="s">
        <v>32</v>
      </c>
      <c r="T59">
        <v>73</v>
      </c>
      <c r="U59">
        <v>1</v>
      </c>
      <c r="V59">
        <v>2</v>
      </c>
      <c r="W59">
        <v>68.11</v>
      </c>
      <c r="X59">
        <v>11.2</v>
      </c>
      <c r="Y59">
        <v>5.18</v>
      </c>
      <c r="AA59" t="s">
        <v>42</v>
      </c>
      <c r="AD59">
        <v>0</v>
      </c>
      <c r="AE59">
        <v>1</v>
      </c>
      <c r="AF59" t="s">
        <v>61</v>
      </c>
      <c r="AG59">
        <v>32</v>
      </c>
      <c r="AH59">
        <v>180</v>
      </c>
      <c r="AI59">
        <v>84</v>
      </c>
      <c r="AJ59" t="s">
        <v>44</v>
      </c>
      <c r="AK59">
        <v>69.900000000000006</v>
      </c>
      <c r="AL59">
        <v>7.43</v>
      </c>
      <c r="AM59">
        <v>1.46</v>
      </c>
      <c r="AN59">
        <v>87.63</v>
      </c>
      <c r="AP59" s="5"/>
    </row>
    <row r="60" spans="2:42" x14ac:dyDescent="0.3">
      <c r="B60" s="4" t="s">
        <v>632</v>
      </c>
      <c r="C60" t="s">
        <v>29</v>
      </c>
      <c r="D60" t="s">
        <v>65</v>
      </c>
      <c r="E60" t="s">
        <v>82</v>
      </c>
      <c r="F60" t="s">
        <v>38</v>
      </c>
      <c r="G60" t="s">
        <v>633</v>
      </c>
      <c r="N60" t="s">
        <v>173</v>
      </c>
      <c r="O60" t="s">
        <v>37</v>
      </c>
      <c r="P60" t="s">
        <v>29</v>
      </c>
      <c r="Q60" t="s">
        <v>174</v>
      </c>
      <c r="R60" t="s">
        <v>31</v>
      </c>
      <c r="S60" t="s">
        <v>41</v>
      </c>
      <c r="T60">
        <v>23</v>
      </c>
      <c r="U60">
        <v>2</v>
      </c>
      <c r="V60">
        <v>3</v>
      </c>
      <c r="W60">
        <v>73.459999999999994</v>
      </c>
      <c r="X60">
        <v>13.3</v>
      </c>
      <c r="Y60">
        <v>12.97</v>
      </c>
      <c r="AA60" t="s">
        <v>42</v>
      </c>
      <c r="AD60">
        <v>1</v>
      </c>
      <c r="AE60">
        <v>1</v>
      </c>
      <c r="AF60" t="s">
        <v>52</v>
      </c>
      <c r="AG60">
        <v>20</v>
      </c>
      <c r="AH60">
        <v>187</v>
      </c>
      <c r="AI60">
        <v>72</v>
      </c>
      <c r="AJ60" t="s">
        <v>35</v>
      </c>
      <c r="AK60">
        <v>65.7</v>
      </c>
      <c r="AL60">
        <v>9.2200000000000006</v>
      </c>
      <c r="AM60">
        <v>1.02</v>
      </c>
      <c r="AN60">
        <v>91.03</v>
      </c>
      <c r="AP60" s="5"/>
    </row>
    <row r="61" spans="2:42" x14ac:dyDescent="0.3">
      <c r="B61" s="5" t="s">
        <v>33</v>
      </c>
      <c r="C61">
        <v>26</v>
      </c>
      <c r="D61">
        <v>11</v>
      </c>
      <c r="E61">
        <v>1</v>
      </c>
      <c r="F61">
        <v>34</v>
      </c>
      <c r="G61">
        <v>72</v>
      </c>
      <c r="N61" t="s">
        <v>175</v>
      </c>
      <c r="O61" t="s">
        <v>28</v>
      </c>
      <c r="P61" t="s">
        <v>29</v>
      </c>
      <c r="Q61" t="s">
        <v>176</v>
      </c>
      <c r="R61" t="s">
        <v>94</v>
      </c>
      <c r="S61" t="s">
        <v>41</v>
      </c>
      <c r="T61">
        <v>73</v>
      </c>
      <c r="U61">
        <v>2</v>
      </c>
      <c r="V61">
        <v>3</v>
      </c>
      <c r="W61">
        <v>73.459999999999994</v>
      </c>
      <c r="X61">
        <v>13.3</v>
      </c>
      <c r="Y61">
        <v>7.94</v>
      </c>
      <c r="AA61" t="s">
        <v>43</v>
      </c>
      <c r="AB61" s="1">
        <v>45064</v>
      </c>
      <c r="AD61">
        <v>0</v>
      </c>
      <c r="AE61">
        <v>2</v>
      </c>
      <c r="AF61" t="s">
        <v>52</v>
      </c>
      <c r="AG61">
        <v>24</v>
      </c>
      <c r="AH61">
        <v>170</v>
      </c>
      <c r="AI61">
        <v>65</v>
      </c>
      <c r="AJ61" t="s">
        <v>53</v>
      </c>
      <c r="AK61">
        <v>55.6</v>
      </c>
      <c r="AL61">
        <v>7.12</v>
      </c>
      <c r="AM61">
        <v>1.48</v>
      </c>
      <c r="AN61">
        <v>90.4</v>
      </c>
    </row>
    <row r="62" spans="2:42" x14ac:dyDescent="0.3">
      <c r="B62" s="5" t="s">
        <v>42</v>
      </c>
      <c r="C62">
        <v>16</v>
      </c>
      <c r="D62">
        <v>20</v>
      </c>
      <c r="E62">
        <v>4</v>
      </c>
      <c r="F62">
        <v>34</v>
      </c>
      <c r="G62">
        <v>74</v>
      </c>
      <c r="N62" t="s">
        <v>177</v>
      </c>
      <c r="O62" t="s">
        <v>68</v>
      </c>
      <c r="P62" t="s">
        <v>29</v>
      </c>
      <c r="Q62" t="s">
        <v>178</v>
      </c>
      <c r="R62" t="s">
        <v>56</v>
      </c>
      <c r="S62" t="s">
        <v>32</v>
      </c>
      <c r="T62">
        <v>82</v>
      </c>
      <c r="U62">
        <v>1</v>
      </c>
      <c r="V62">
        <v>1</v>
      </c>
      <c r="W62">
        <v>60.74</v>
      </c>
      <c r="X62">
        <v>9.1999999999999993</v>
      </c>
      <c r="Y62">
        <v>14.12</v>
      </c>
      <c r="AA62" t="s">
        <v>47</v>
      </c>
      <c r="AB62" s="1">
        <v>45227</v>
      </c>
      <c r="AD62">
        <v>0</v>
      </c>
      <c r="AE62">
        <v>4</v>
      </c>
      <c r="AF62" t="s">
        <v>52</v>
      </c>
      <c r="AG62">
        <v>28</v>
      </c>
      <c r="AH62">
        <v>193</v>
      </c>
      <c r="AI62">
        <v>68</v>
      </c>
      <c r="AJ62" t="s">
        <v>35</v>
      </c>
      <c r="AK62">
        <v>41.9</v>
      </c>
      <c r="AL62">
        <v>6.84</v>
      </c>
      <c r="AM62">
        <v>1.26</v>
      </c>
      <c r="AN62">
        <v>82.24</v>
      </c>
    </row>
    <row r="63" spans="2:42" x14ac:dyDescent="0.3">
      <c r="B63" s="5" t="s">
        <v>47</v>
      </c>
      <c r="C63">
        <v>33</v>
      </c>
      <c r="D63">
        <v>13</v>
      </c>
      <c r="F63">
        <v>29</v>
      </c>
      <c r="G63">
        <v>75</v>
      </c>
      <c r="N63" t="s">
        <v>179</v>
      </c>
      <c r="O63" t="s">
        <v>68</v>
      </c>
      <c r="P63" t="s">
        <v>65</v>
      </c>
      <c r="Q63" t="s">
        <v>180</v>
      </c>
      <c r="R63" t="s">
        <v>31</v>
      </c>
      <c r="S63" t="s">
        <v>32</v>
      </c>
      <c r="T63">
        <v>37</v>
      </c>
      <c r="U63">
        <v>3</v>
      </c>
      <c r="V63">
        <v>2</v>
      </c>
      <c r="W63">
        <v>68.069999999999993</v>
      </c>
      <c r="X63">
        <v>11.1</v>
      </c>
      <c r="Y63">
        <v>14.68</v>
      </c>
      <c r="AA63" t="s">
        <v>47</v>
      </c>
      <c r="AB63" s="1">
        <v>45139</v>
      </c>
      <c r="AD63">
        <v>0</v>
      </c>
      <c r="AE63">
        <v>2</v>
      </c>
      <c r="AF63" t="s">
        <v>34</v>
      </c>
      <c r="AG63">
        <v>27</v>
      </c>
      <c r="AH63">
        <v>167</v>
      </c>
      <c r="AI63">
        <v>95</v>
      </c>
      <c r="AJ63" t="s">
        <v>48</v>
      </c>
      <c r="AK63">
        <v>64.900000000000006</v>
      </c>
      <c r="AL63">
        <v>9.83</v>
      </c>
      <c r="AM63">
        <v>0.66</v>
      </c>
      <c r="AN63">
        <v>70.459999999999994</v>
      </c>
    </row>
    <row r="64" spans="2:42" x14ac:dyDescent="0.3">
      <c r="B64" s="5" t="s">
        <v>43</v>
      </c>
      <c r="C64">
        <v>26</v>
      </c>
      <c r="D64">
        <v>4</v>
      </c>
      <c r="E64">
        <v>3</v>
      </c>
      <c r="F64">
        <v>26</v>
      </c>
      <c r="G64">
        <v>59</v>
      </c>
      <c r="N64" t="s">
        <v>181</v>
      </c>
      <c r="O64" t="s">
        <v>68</v>
      </c>
      <c r="P64" t="s">
        <v>65</v>
      </c>
      <c r="Q64" t="s">
        <v>182</v>
      </c>
      <c r="R64" t="s">
        <v>56</v>
      </c>
      <c r="S64" t="s">
        <v>41</v>
      </c>
      <c r="T64">
        <v>63</v>
      </c>
      <c r="U64">
        <v>0</v>
      </c>
      <c r="V64">
        <v>2</v>
      </c>
      <c r="W64">
        <v>67.92</v>
      </c>
      <c r="X64">
        <v>11</v>
      </c>
      <c r="Y64">
        <v>6.85</v>
      </c>
      <c r="AA64" t="s">
        <v>47</v>
      </c>
      <c r="AD64">
        <v>0</v>
      </c>
      <c r="AE64">
        <v>1</v>
      </c>
      <c r="AF64" t="s">
        <v>43</v>
      </c>
      <c r="AG64">
        <v>26</v>
      </c>
      <c r="AH64">
        <v>181</v>
      </c>
      <c r="AI64">
        <v>79</v>
      </c>
      <c r="AJ64" t="s">
        <v>53</v>
      </c>
      <c r="AK64">
        <v>58</v>
      </c>
      <c r="AL64">
        <v>6.04</v>
      </c>
      <c r="AM64">
        <v>0.98</v>
      </c>
      <c r="AN64">
        <v>87.49</v>
      </c>
    </row>
    <row r="65" spans="2:40" x14ac:dyDescent="0.3">
      <c r="B65" s="5" t="s">
        <v>633</v>
      </c>
      <c r="C65">
        <v>101</v>
      </c>
      <c r="D65">
        <v>48</v>
      </c>
      <c r="E65">
        <v>8</v>
      </c>
      <c r="F65">
        <v>123</v>
      </c>
      <c r="G65">
        <v>280</v>
      </c>
      <c r="N65" t="s">
        <v>183</v>
      </c>
      <c r="O65" t="s">
        <v>68</v>
      </c>
      <c r="P65" t="s">
        <v>29</v>
      </c>
      <c r="Q65" t="s">
        <v>184</v>
      </c>
      <c r="R65" t="s">
        <v>75</v>
      </c>
      <c r="S65" t="s">
        <v>32</v>
      </c>
      <c r="T65">
        <v>53</v>
      </c>
      <c r="U65">
        <v>0</v>
      </c>
      <c r="V65">
        <v>4</v>
      </c>
      <c r="W65">
        <v>79.77</v>
      </c>
      <c r="X65">
        <v>15.4</v>
      </c>
      <c r="Y65">
        <v>9.6199999999999992</v>
      </c>
      <c r="Z65" s="1">
        <v>45105</v>
      </c>
      <c r="AA65" t="s">
        <v>42</v>
      </c>
      <c r="AB65" s="1">
        <v>45041</v>
      </c>
      <c r="AD65">
        <v>0</v>
      </c>
      <c r="AE65">
        <v>2</v>
      </c>
      <c r="AF65" t="s">
        <v>43</v>
      </c>
      <c r="AG65">
        <v>31</v>
      </c>
      <c r="AH65">
        <v>167</v>
      </c>
      <c r="AI65">
        <v>77</v>
      </c>
      <c r="AJ65" t="s">
        <v>48</v>
      </c>
      <c r="AK65">
        <v>43.4</v>
      </c>
      <c r="AL65">
        <v>9.99</v>
      </c>
      <c r="AM65">
        <v>1.22</v>
      </c>
      <c r="AN65">
        <v>77.59</v>
      </c>
    </row>
    <row r="66" spans="2:40" x14ac:dyDescent="0.3">
      <c r="N66" t="s">
        <v>185</v>
      </c>
      <c r="O66" t="s">
        <v>37</v>
      </c>
      <c r="P66" t="s">
        <v>29</v>
      </c>
      <c r="Q66" t="s">
        <v>186</v>
      </c>
      <c r="R66" t="s">
        <v>40</v>
      </c>
      <c r="S66" t="s">
        <v>32</v>
      </c>
      <c r="T66">
        <v>93</v>
      </c>
      <c r="U66">
        <v>3</v>
      </c>
      <c r="V66">
        <v>3</v>
      </c>
      <c r="W66">
        <v>73.41</v>
      </c>
      <c r="X66">
        <v>13.2</v>
      </c>
      <c r="Y66">
        <v>5.01</v>
      </c>
      <c r="Z66" s="1">
        <v>45177</v>
      </c>
      <c r="AA66" t="s">
        <v>33</v>
      </c>
      <c r="AC66">
        <v>69</v>
      </c>
      <c r="AD66">
        <v>0</v>
      </c>
      <c r="AE66">
        <v>4</v>
      </c>
      <c r="AF66" t="s">
        <v>61</v>
      </c>
      <c r="AG66">
        <v>30</v>
      </c>
      <c r="AH66">
        <v>174</v>
      </c>
      <c r="AI66">
        <v>80</v>
      </c>
      <c r="AJ66" t="s">
        <v>44</v>
      </c>
      <c r="AK66">
        <v>42.8</v>
      </c>
      <c r="AL66">
        <v>8.7100000000000009</v>
      </c>
      <c r="AM66">
        <v>0.75</v>
      </c>
      <c r="AN66">
        <v>83.51</v>
      </c>
    </row>
    <row r="67" spans="2:40" x14ac:dyDescent="0.3">
      <c r="B67" s="67" t="s">
        <v>639</v>
      </c>
      <c r="C67" s="67"/>
      <c r="D67" s="67"/>
      <c r="N67" t="s">
        <v>187</v>
      </c>
      <c r="O67" t="s">
        <v>28</v>
      </c>
      <c r="P67" t="s">
        <v>29</v>
      </c>
      <c r="Q67" t="s">
        <v>188</v>
      </c>
      <c r="R67" t="s">
        <v>40</v>
      </c>
      <c r="S67" t="s">
        <v>41</v>
      </c>
      <c r="T67">
        <v>81</v>
      </c>
      <c r="U67">
        <v>1</v>
      </c>
      <c r="V67">
        <v>2</v>
      </c>
      <c r="W67">
        <v>67.849999999999994</v>
      </c>
      <c r="X67">
        <v>10.8</v>
      </c>
      <c r="Y67">
        <v>10.98</v>
      </c>
      <c r="AA67" t="s">
        <v>43</v>
      </c>
      <c r="AD67">
        <v>0</v>
      </c>
      <c r="AE67">
        <v>4</v>
      </c>
      <c r="AF67" t="s">
        <v>34</v>
      </c>
      <c r="AG67">
        <v>19</v>
      </c>
      <c r="AH67">
        <v>176</v>
      </c>
      <c r="AI67">
        <v>63</v>
      </c>
      <c r="AJ67" t="s">
        <v>44</v>
      </c>
      <c r="AK67">
        <v>67.3</v>
      </c>
      <c r="AL67">
        <v>9.31</v>
      </c>
      <c r="AM67">
        <v>1.1399999999999999</v>
      </c>
      <c r="AN67">
        <v>98.73</v>
      </c>
    </row>
    <row r="68" spans="2:40" x14ac:dyDescent="0.3">
      <c r="B68" s="67" t="s">
        <v>640</v>
      </c>
      <c r="C68" s="67"/>
      <c r="D68" s="67"/>
      <c r="N68" t="s">
        <v>189</v>
      </c>
      <c r="O68" t="s">
        <v>37</v>
      </c>
      <c r="P68" t="s">
        <v>29</v>
      </c>
      <c r="Q68" t="s">
        <v>190</v>
      </c>
      <c r="R68" t="s">
        <v>40</v>
      </c>
      <c r="S68" t="s">
        <v>32</v>
      </c>
      <c r="T68">
        <v>33</v>
      </c>
      <c r="U68">
        <v>2</v>
      </c>
      <c r="V68">
        <v>5</v>
      </c>
      <c r="W68">
        <v>86.9</v>
      </c>
      <c r="X68">
        <v>17.3</v>
      </c>
      <c r="Y68">
        <v>11.07</v>
      </c>
      <c r="Z68" s="1">
        <v>45034</v>
      </c>
      <c r="AA68" t="s">
        <v>33</v>
      </c>
      <c r="AD68">
        <v>0</v>
      </c>
      <c r="AE68">
        <v>0</v>
      </c>
      <c r="AF68" t="s">
        <v>61</v>
      </c>
      <c r="AG68">
        <v>20</v>
      </c>
      <c r="AH68">
        <v>182</v>
      </c>
      <c r="AI68">
        <v>92</v>
      </c>
      <c r="AJ68" t="s">
        <v>53</v>
      </c>
      <c r="AK68">
        <v>60.1</v>
      </c>
      <c r="AL68">
        <v>7.18</v>
      </c>
      <c r="AM68">
        <v>1.17</v>
      </c>
      <c r="AN68">
        <v>81.97</v>
      </c>
    </row>
    <row r="69" spans="2:40" x14ac:dyDescent="0.3">
      <c r="B69" s="67" t="s">
        <v>641</v>
      </c>
      <c r="C69" s="67"/>
      <c r="D69" s="67"/>
      <c r="N69" t="s">
        <v>191</v>
      </c>
      <c r="O69" t="s">
        <v>64</v>
      </c>
      <c r="P69" t="s">
        <v>29</v>
      </c>
      <c r="Q69" t="s">
        <v>192</v>
      </c>
      <c r="R69" t="s">
        <v>80</v>
      </c>
      <c r="S69" t="s">
        <v>32</v>
      </c>
      <c r="T69">
        <v>67</v>
      </c>
      <c r="U69">
        <v>0</v>
      </c>
      <c r="V69">
        <v>1</v>
      </c>
      <c r="W69">
        <v>60.38</v>
      </c>
      <c r="X69">
        <v>9.1</v>
      </c>
      <c r="Y69">
        <v>7.48</v>
      </c>
      <c r="Z69" s="1">
        <v>44948</v>
      </c>
      <c r="AA69" t="s">
        <v>47</v>
      </c>
      <c r="AD69">
        <v>0</v>
      </c>
      <c r="AE69">
        <v>3</v>
      </c>
      <c r="AF69" t="s">
        <v>34</v>
      </c>
      <c r="AG69">
        <v>24</v>
      </c>
      <c r="AH69">
        <v>183</v>
      </c>
      <c r="AI69">
        <v>86</v>
      </c>
      <c r="AJ69" t="s">
        <v>44</v>
      </c>
      <c r="AK69">
        <v>64.900000000000006</v>
      </c>
      <c r="AL69">
        <v>6.06</v>
      </c>
      <c r="AM69">
        <v>0.66</v>
      </c>
      <c r="AN69">
        <v>95.19</v>
      </c>
    </row>
    <row r="70" spans="2:40" x14ac:dyDescent="0.3">
      <c r="B70" s="67" t="s">
        <v>642</v>
      </c>
      <c r="C70" s="67"/>
      <c r="D70" s="67"/>
      <c r="N70" t="s">
        <v>193</v>
      </c>
      <c r="O70" t="s">
        <v>37</v>
      </c>
      <c r="P70" t="s">
        <v>38</v>
      </c>
      <c r="Q70" t="s">
        <v>194</v>
      </c>
      <c r="R70" t="s">
        <v>40</v>
      </c>
      <c r="S70" t="s">
        <v>41</v>
      </c>
      <c r="T70">
        <v>34</v>
      </c>
      <c r="U70">
        <v>4</v>
      </c>
      <c r="V70">
        <v>5</v>
      </c>
      <c r="W70">
        <v>86.84</v>
      </c>
      <c r="X70">
        <v>17.3</v>
      </c>
      <c r="Y70">
        <v>10.58</v>
      </c>
      <c r="Z70" s="1">
        <v>45243</v>
      </c>
      <c r="AA70" t="s">
        <v>43</v>
      </c>
      <c r="AC70">
        <v>42</v>
      </c>
      <c r="AD70">
        <v>1</v>
      </c>
      <c r="AE70">
        <v>0</v>
      </c>
      <c r="AF70" t="s">
        <v>43</v>
      </c>
      <c r="AG70">
        <v>38</v>
      </c>
      <c r="AH70">
        <v>178</v>
      </c>
      <c r="AI70">
        <v>66</v>
      </c>
      <c r="AJ70" t="s">
        <v>62</v>
      </c>
      <c r="AK70">
        <v>66.400000000000006</v>
      </c>
      <c r="AL70">
        <v>8.9499999999999993</v>
      </c>
      <c r="AM70">
        <v>1.07</v>
      </c>
      <c r="AN70">
        <v>75.66</v>
      </c>
    </row>
    <row r="71" spans="2:40" x14ac:dyDescent="0.3">
      <c r="B71" s="67" t="s">
        <v>643</v>
      </c>
      <c r="C71" s="67"/>
      <c r="D71" s="67"/>
      <c r="N71" t="s">
        <v>195</v>
      </c>
      <c r="O71" t="s">
        <v>28</v>
      </c>
      <c r="P71" t="s">
        <v>29</v>
      </c>
      <c r="Q71" t="s">
        <v>196</v>
      </c>
      <c r="R71" t="s">
        <v>51</v>
      </c>
      <c r="S71" t="s">
        <v>32</v>
      </c>
      <c r="T71">
        <v>91</v>
      </c>
      <c r="U71">
        <v>4</v>
      </c>
      <c r="V71">
        <v>5</v>
      </c>
      <c r="W71">
        <v>86.68</v>
      </c>
      <c r="X71">
        <v>17.3</v>
      </c>
      <c r="Y71">
        <v>7.26</v>
      </c>
      <c r="Z71" s="1">
        <v>44963</v>
      </c>
      <c r="AA71" t="s">
        <v>47</v>
      </c>
      <c r="AB71" s="1">
        <v>45048</v>
      </c>
      <c r="AC71">
        <v>58</v>
      </c>
      <c r="AD71">
        <v>0</v>
      </c>
      <c r="AE71">
        <v>4</v>
      </c>
      <c r="AF71" t="s">
        <v>52</v>
      </c>
      <c r="AG71">
        <v>35</v>
      </c>
      <c r="AH71">
        <v>164</v>
      </c>
      <c r="AI71">
        <v>65</v>
      </c>
      <c r="AJ71" t="s">
        <v>53</v>
      </c>
      <c r="AK71">
        <v>57.2</v>
      </c>
      <c r="AL71">
        <v>9.34</v>
      </c>
      <c r="AM71">
        <v>1.27</v>
      </c>
      <c r="AN71">
        <v>90.17</v>
      </c>
    </row>
    <row r="72" spans="2:40" x14ac:dyDescent="0.3">
      <c r="B72" s="67" t="s">
        <v>644</v>
      </c>
      <c r="C72" s="67"/>
      <c r="D72" s="67"/>
      <c r="N72" t="s">
        <v>197</v>
      </c>
      <c r="O72" t="s">
        <v>64</v>
      </c>
      <c r="P72" t="s">
        <v>29</v>
      </c>
      <c r="Q72" t="s">
        <v>198</v>
      </c>
      <c r="R72" t="s">
        <v>51</v>
      </c>
      <c r="S72" t="s">
        <v>32</v>
      </c>
      <c r="T72">
        <v>81</v>
      </c>
      <c r="U72">
        <v>3</v>
      </c>
      <c r="V72">
        <v>6</v>
      </c>
      <c r="W72">
        <v>93.29</v>
      </c>
      <c r="X72">
        <v>19.5</v>
      </c>
      <c r="Y72">
        <v>6.61</v>
      </c>
      <c r="AA72" t="s">
        <v>43</v>
      </c>
      <c r="AD72">
        <v>0</v>
      </c>
      <c r="AE72">
        <v>1</v>
      </c>
      <c r="AF72" t="s">
        <v>43</v>
      </c>
      <c r="AG72">
        <v>20</v>
      </c>
      <c r="AH72">
        <v>191</v>
      </c>
      <c r="AI72">
        <v>74</v>
      </c>
      <c r="AJ72" t="s">
        <v>44</v>
      </c>
      <c r="AK72">
        <v>55.5</v>
      </c>
      <c r="AL72">
        <v>8.9600000000000009</v>
      </c>
      <c r="AM72">
        <v>1</v>
      </c>
      <c r="AN72">
        <v>99.31</v>
      </c>
    </row>
    <row r="73" spans="2:40" x14ac:dyDescent="0.3">
      <c r="B73" s="67"/>
      <c r="C73" s="67"/>
      <c r="D73" s="67"/>
      <c r="N73" t="s">
        <v>199</v>
      </c>
      <c r="O73" t="s">
        <v>28</v>
      </c>
      <c r="P73" t="s">
        <v>29</v>
      </c>
      <c r="Q73" t="s">
        <v>200</v>
      </c>
      <c r="R73" t="s">
        <v>75</v>
      </c>
      <c r="S73" t="s">
        <v>32</v>
      </c>
      <c r="T73">
        <v>59</v>
      </c>
      <c r="U73">
        <v>1</v>
      </c>
      <c r="V73">
        <v>6</v>
      </c>
      <c r="W73">
        <v>93.26</v>
      </c>
      <c r="X73">
        <v>19.5</v>
      </c>
      <c r="Y73">
        <v>11.52</v>
      </c>
      <c r="AA73" t="s">
        <v>43</v>
      </c>
      <c r="AC73">
        <v>44</v>
      </c>
      <c r="AD73">
        <v>0</v>
      </c>
      <c r="AE73">
        <v>1</v>
      </c>
      <c r="AF73" t="s">
        <v>52</v>
      </c>
      <c r="AG73">
        <v>27</v>
      </c>
      <c r="AH73">
        <v>160</v>
      </c>
      <c r="AI73">
        <v>77</v>
      </c>
      <c r="AJ73" t="s">
        <v>48</v>
      </c>
      <c r="AK73">
        <v>52.9</v>
      </c>
      <c r="AL73">
        <v>6.57</v>
      </c>
      <c r="AM73">
        <v>0.51</v>
      </c>
      <c r="AN73">
        <v>73.06</v>
      </c>
    </row>
    <row r="74" spans="2:40" x14ac:dyDescent="0.3">
      <c r="B74" s="67"/>
      <c r="C74" s="67"/>
      <c r="D74" s="67"/>
      <c r="N74" t="s">
        <v>201</v>
      </c>
      <c r="O74" t="s">
        <v>28</v>
      </c>
      <c r="P74" t="s">
        <v>29</v>
      </c>
      <c r="Q74" t="s">
        <v>202</v>
      </c>
      <c r="R74" t="s">
        <v>56</v>
      </c>
      <c r="S74" t="s">
        <v>32</v>
      </c>
      <c r="T74">
        <v>72</v>
      </c>
      <c r="U74">
        <v>0</v>
      </c>
      <c r="V74">
        <v>1</v>
      </c>
      <c r="W74">
        <v>60.29</v>
      </c>
      <c r="X74">
        <v>8.8000000000000007</v>
      </c>
      <c r="Y74">
        <v>8.26</v>
      </c>
      <c r="AA74" t="s">
        <v>43</v>
      </c>
      <c r="AB74" s="1">
        <v>45113</v>
      </c>
      <c r="AD74">
        <v>0</v>
      </c>
      <c r="AE74">
        <v>0</v>
      </c>
      <c r="AF74" t="s">
        <v>43</v>
      </c>
      <c r="AG74">
        <v>39</v>
      </c>
      <c r="AH74">
        <v>182</v>
      </c>
      <c r="AI74">
        <v>91</v>
      </c>
      <c r="AJ74" t="s">
        <v>53</v>
      </c>
      <c r="AK74">
        <v>49.5</v>
      </c>
      <c r="AL74">
        <v>9.01</v>
      </c>
      <c r="AM74">
        <v>0.51</v>
      </c>
      <c r="AN74">
        <v>70.25</v>
      </c>
    </row>
    <row r="75" spans="2:40" x14ac:dyDescent="0.3">
      <c r="B75" s="67"/>
      <c r="C75" s="67"/>
      <c r="D75" s="67"/>
      <c r="N75" t="s">
        <v>203</v>
      </c>
      <c r="O75" t="s">
        <v>28</v>
      </c>
      <c r="P75" t="s">
        <v>38</v>
      </c>
      <c r="Q75" t="s">
        <v>204</v>
      </c>
      <c r="R75" t="s">
        <v>51</v>
      </c>
      <c r="S75" t="s">
        <v>41</v>
      </c>
      <c r="T75">
        <v>43</v>
      </c>
      <c r="U75">
        <v>1</v>
      </c>
      <c r="V75">
        <v>5</v>
      </c>
      <c r="W75">
        <v>86.33</v>
      </c>
      <c r="X75">
        <v>17.2</v>
      </c>
      <c r="Y75">
        <v>10.9</v>
      </c>
      <c r="Z75" s="1">
        <v>45144</v>
      </c>
      <c r="AA75" t="s">
        <v>42</v>
      </c>
      <c r="AB75" s="1">
        <v>44934</v>
      </c>
      <c r="AD75">
        <v>0</v>
      </c>
      <c r="AE75">
        <v>4</v>
      </c>
      <c r="AF75" t="s">
        <v>34</v>
      </c>
      <c r="AG75">
        <v>24</v>
      </c>
      <c r="AH75">
        <v>196</v>
      </c>
      <c r="AI75">
        <v>70</v>
      </c>
      <c r="AJ75" t="s">
        <v>48</v>
      </c>
      <c r="AK75">
        <v>53</v>
      </c>
      <c r="AL75">
        <v>9.08</v>
      </c>
      <c r="AM75">
        <v>0.86</v>
      </c>
      <c r="AN75">
        <v>83.01</v>
      </c>
    </row>
    <row r="76" spans="2:40" x14ac:dyDescent="0.3">
      <c r="N76" t="s">
        <v>205</v>
      </c>
      <c r="O76" t="s">
        <v>28</v>
      </c>
      <c r="P76" t="s">
        <v>29</v>
      </c>
      <c r="Q76" t="s">
        <v>206</v>
      </c>
      <c r="R76" t="s">
        <v>31</v>
      </c>
      <c r="S76" t="s">
        <v>32</v>
      </c>
      <c r="T76">
        <v>45</v>
      </c>
      <c r="U76">
        <v>0</v>
      </c>
      <c r="V76">
        <v>2</v>
      </c>
      <c r="W76">
        <v>67.650000000000006</v>
      </c>
      <c r="X76">
        <v>10.8</v>
      </c>
      <c r="Y76">
        <v>9.33</v>
      </c>
      <c r="AA76" t="s">
        <v>43</v>
      </c>
      <c r="AD76">
        <v>0</v>
      </c>
      <c r="AE76">
        <v>1</v>
      </c>
      <c r="AF76" t="s">
        <v>43</v>
      </c>
      <c r="AG76">
        <v>26</v>
      </c>
      <c r="AH76">
        <v>167</v>
      </c>
      <c r="AI76">
        <v>79</v>
      </c>
      <c r="AJ76" t="s">
        <v>35</v>
      </c>
      <c r="AK76">
        <v>63.2</v>
      </c>
      <c r="AL76">
        <v>8.6300000000000008</v>
      </c>
      <c r="AM76">
        <v>1.43</v>
      </c>
      <c r="AN76">
        <v>72.78</v>
      </c>
    </row>
    <row r="77" spans="2:40" x14ac:dyDescent="0.3">
      <c r="N77" t="s">
        <v>207</v>
      </c>
      <c r="O77" t="s">
        <v>37</v>
      </c>
      <c r="P77" t="s">
        <v>38</v>
      </c>
      <c r="Q77" t="s">
        <v>208</v>
      </c>
      <c r="R77" t="s">
        <v>51</v>
      </c>
      <c r="S77" t="s">
        <v>32</v>
      </c>
      <c r="T77">
        <v>79</v>
      </c>
      <c r="U77">
        <v>3</v>
      </c>
      <c r="V77">
        <v>3</v>
      </c>
      <c r="W77">
        <v>73.319999999999993</v>
      </c>
      <c r="X77">
        <v>13.2</v>
      </c>
      <c r="Y77">
        <v>14.84</v>
      </c>
      <c r="AA77" t="s">
        <v>47</v>
      </c>
      <c r="AD77">
        <v>0</v>
      </c>
      <c r="AE77">
        <v>4</v>
      </c>
      <c r="AF77" t="s">
        <v>34</v>
      </c>
      <c r="AG77">
        <v>34</v>
      </c>
      <c r="AH77">
        <v>172</v>
      </c>
      <c r="AI77">
        <v>83</v>
      </c>
      <c r="AJ77" t="s">
        <v>35</v>
      </c>
      <c r="AK77">
        <v>58.1</v>
      </c>
      <c r="AL77">
        <v>9.06</v>
      </c>
      <c r="AM77">
        <v>0.73</v>
      </c>
      <c r="AN77">
        <v>92.45</v>
      </c>
    </row>
    <row r="78" spans="2:40" x14ac:dyDescent="0.3">
      <c r="N78" t="s">
        <v>209</v>
      </c>
      <c r="O78" t="s">
        <v>68</v>
      </c>
      <c r="P78" t="s">
        <v>65</v>
      </c>
      <c r="Q78" t="s">
        <v>210</v>
      </c>
      <c r="R78" t="s">
        <v>80</v>
      </c>
      <c r="S78" t="s">
        <v>41</v>
      </c>
      <c r="T78">
        <v>60</v>
      </c>
      <c r="U78">
        <v>3</v>
      </c>
      <c r="V78">
        <v>1</v>
      </c>
      <c r="W78">
        <v>59.88</v>
      </c>
      <c r="X78">
        <v>8.6999999999999993</v>
      </c>
      <c r="Y78">
        <v>6.5</v>
      </c>
      <c r="Z78" s="1">
        <v>45005</v>
      </c>
      <c r="AA78" t="s">
        <v>47</v>
      </c>
      <c r="AD78">
        <v>0</v>
      </c>
      <c r="AE78">
        <v>1</v>
      </c>
      <c r="AF78" t="s">
        <v>43</v>
      </c>
      <c r="AG78">
        <v>28</v>
      </c>
      <c r="AH78">
        <v>167</v>
      </c>
      <c r="AI78">
        <v>74</v>
      </c>
      <c r="AJ78" t="s">
        <v>53</v>
      </c>
      <c r="AK78">
        <v>66.8</v>
      </c>
      <c r="AL78">
        <v>9.3800000000000008</v>
      </c>
      <c r="AM78">
        <v>1.1299999999999999</v>
      </c>
      <c r="AN78">
        <v>97.44</v>
      </c>
    </row>
    <row r="79" spans="2:40" x14ac:dyDescent="0.3">
      <c r="N79" t="s">
        <v>211</v>
      </c>
      <c r="O79" t="s">
        <v>37</v>
      </c>
      <c r="P79" t="s">
        <v>65</v>
      </c>
      <c r="Q79" t="s">
        <v>212</v>
      </c>
      <c r="R79" t="s">
        <v>80</v>
      </c>
      <c r="S79" t="s">
        <v>41</v>
      </c>
      <c r="T79">
        <v>48</v>
      </c>
      <c r="U79">
        <v>4</v>
      </c>
      <c r="V79">
        <v>4</v>
      </c>
      <c r="W79">
        <v>79.260000000000005</v>
      </c>
      <c r="X79">
        <v>15.3</v>
      </c>
      <c r="Y79">
        <v>9.65</v>
      </c>
      <c r="AA79" t="s">
        <v>43</v>
      </c>
      <c r="AD79">
        <v>0</v>
      </c>
      <c r="AE79">
        <v>4</v>
      </c>
      <c r="AF79" t="s">
        <v>61</v>
      </c>
      <c r="AG79">
        <v>24</v>
      </c>
      <c r="AH79">
        <v>182</v>
      </c>
      <c r="AI79">
        <v>66</v>
      </c>
      <c r="AJ79" t="s">
        <v>70</v>
      </c>
      <c r="AK79">
        <v>53.3</v>
      </c>
      <c r="AL79">
        <v>8.4499999999999993</v>
      </c>
      <c r="AM79">
        <v>0.72</v>
      </c>
      <c r="AN79">
        <v>83.02</v>
      </c>
    </row>
    <row r="80" spans="2:40" x14ac:dyDescent="0.3">
      <c r="N80" t="s">
        <v>213</v>
      </c>
      <c r="O80" t="s">
        <v>37</v>
      </c>
      <c r="P80" t="s">
        <v>38</v>
      </c>
      <c r="Q80" t="s">
        <v>214</v>
      </c>
      <c r="R80" t="s">
        <v>56</v>
      </c>
      <c r="S80" t="s">
        <v>32</v>
      </c>
      <c r="T80">
        <v>34</v>
      </c>
      <c r="U80">
        <v>1</v>
      </c>
      <c r="V80">
        <v>5</v>
      </c>
      <c r="W80">
        <v>86.18</v>
      </c>
      <c r="X80">
        <v>17.2</v>
      </c>
      <c r="Y80">
        <v>11.8</v>
      </c>
      <c r="AA80" t="s">
        <v>33</v>
      </c>
      <c r="AB80" s="1">
        <v>45249</v>
      </c>
      <c r="AD80">
        <v>0</v>
      </c>
      <c r="AE80">
        <v>2</v>
      </c>
      <c r="AF80" t="s">
        <v>52</v>
      </c>
      <c r="AG80">
        <v>31</v>
      </c>
      <c r="AH80">
        <v>160</v>
      </c>
      <c r="AI80">
        <v>80</v>
      </c>
      <c r="AJ80" t="s">
        <v>44</v>
      </c>
      <c r="AK80">
        <v>58.2</v>
      </c>
      <c r="AL80">
        <v>6.35</v>
      </c>
      <c r="AM80">
        <v>0.82</v>
      </c>
      <c r="AN80">
        <v>77.760000000000005</v>
      </c>
    </row>
    <row r="81" spans="14:40" x14ac:dyDescent="0.3">
      <c r="N81" t="s">
        <v>215</v>
      </c>
      <c r="O81" t="s">
        <v>68</v>
      </c>
      <c r="P81" t="s">
        <v>38</v>
      </c>
      <c r="Q81" t="s">
        <v>216</v>
      </c>
      <c r="R81" t="s">
        <v>40</v>
      </c>
      <c r="S81" t="s">
        <v>41</v>
      </c>
      <c r="T81">
        <v>64</v>
      </c>
      <c r="U81">
        <v>4</v>
      </c>
      <c r="V81">
        <v>1</v>
      </c>
      <c r="W81">
        <v>59.81</v>
      </c>
      <c r="X81">
        <v>8.4</v>
      </c>
      <c r="Y81">
        <v>8.9600000000000009</v>
      </c>
      <c r="AA81" t="s">
        <v>42</v>
      </c>
      <c r="AC81">
        <v>53</v>
      </c>
      <c r="AD81">
        <v>1</v>
      </c>
      <c r="AE81">
        <v>4</v>
      </c>
      <c r="AF81" t="s">
        <v>34</v>
      </c>
      <c r="AG81">
        <v>36</v>
      </c>
      <c r="AH81">
        <v>183</v>
      </c>
      <c r="AI81">
        <v>85</v>
      </c>
      <c r="AJ81" t="s">
        <v>48</v>
      </c>
      <c r="AK81">
        <v>58.9</v>
      </c>
      <c r="AL81">
        <v>7.95</v>
      </c>
      <c r="AM81">
        <v>1.35</v>
      </c>
      <c r="AN81">
        <v>83.03</v>
      </c>
    </row>
    <row r="82" spans="14:40" x14ac:dyDescent="0.3">
      <c r="N82" t="s">
        <v>217</v>
      </c>
      <c r="O82" t="s">
        <v>68</v>
      </c>
      <c r="P82" t="s">
        <v>38</v>
      </c>
      <c r="Q82" t="s">
        <v>218</v>
      </c>
      <c r="R82" t="s">
        <v>75</v>
      </c>
      <c r="S82" t="s">
        <v>41</v>
      </c>
      <c r="T82">
        <v>84</v>
      </c>
      <c r="U82">
        <v>1</v>
      </c>
      <c r="V82">
        <v>0</v>
      </c>
      <c r="W82">
        <v>54.07</v>
      </c>
      <c r="X82">
        <v>6.3</v>
      </c>
      <c r="Y82">
        <v>14.75</v>
      </c>
      <c r="AA82" t="s">
        <v>33</v>
      </c>
      <c r="AC82">
        <v>20</v>
      </c>
      <c r="AD82">
        <v>0</v>
      </c>
      <c r="AE82">
        <v>4</v>
      </c>
      <c r="AF82" t="s">
        <v>43</v>
      </c>
      <c r="AG82">
        <v>21</v>
      </c>
      <c r="AH82">
        <v>194</v>
      </c>
      <c r="AI82">
        <v>73</v>
      </c>
      <c r="AJ82" t="s">
        <v>70</v>
      </c>
      <c r="AK82">
        <v>57.8</v>
      </c>
      <c r="AL82">
        <v>6.31</v>
      </c>
      <c r="AM82">
        <v>1.23</v>
      </c>
      <c r="AN82">
        <v>91.7</v>
      </c>
    </row>
    <row r="83" spans="14:40" x14ac:dyDescent="0.3">
      <c r="N83" t="s">
        <v>219</v>
      </c>
      <c r="O83" t="s">
        <v>64</v>
      </c>
      <c r="P83" t="s">
        <v>65</v>
      </c>
      <c r="Q83" t="s">
        <v>220</v>
      </c>
      <c r="R83" t="s">
        <v>51</v>
      </c>
      <c r="S83" t="s">
        <v>41</v>
      </c>
      <c r="T83">
        <v>90</v>
      </c>
      <c r="U83">
        <v>4</v>
      </c>
      <c r="V83">
        <v>0</v>
      </c>
      <c r="W83">
        <v>53.98</v>
      </c>
      <c r="X83">
        <v>6.3</v>
      </c>
      <c r="Y83">
        <v>12.22</v>
      </c>
      <c r="AA83" t="s">
        <v>33</v>
      </c>
      <c r="AD83">
        <v>0</v>
      </c>
      <c r="AE83">
        <v>0</v>
      </c>
      <c r="AF83" t="s">
        <v>61</v>
      </c>
      <c r="AG83">
        <v>23</v>
      </c>
      <c r="AH83">
        <v>183</v>
      </c>
      <c r="AI83">
        <v>96</v>
      </c>
      <c r="AJ83" t="s">
        <v>53</v>
      </c>
      <c r="AK83">
        <v>61.1</v>
      </c>
      <c r="AL83">
        <v>7.63</v>
      </c>
      <c r="AM83">
        <v>0.6</v>
      </c>
      <c r="AN83">
        <v>70.27</v>
      </c>
    </row>
    <row r="84" spans="14:40" x14ac:dyDescent="0.3">
      <c r="N84" t="s">
        <v>221</v>
      </c>
      <c r="O84" t="s">
        <v>37</v>
      </c>
      <c r="P84" t="s">
        <v>29</v>
      </c>
      <c r="Q84" t="s">
        <v>222</v>
      </c>
      <c r="R84" t="s">
        <v>94</v>
      </c>
      <c r="S84" t="s">
        <v>32</v>
      </c>
      <c r="T84">
        <v>28</v>
      </c>
      <c r="U84">
        <v>2</v>
      </c>
      <c r="V84">
        <v>6</v>
      </c>
      <c r="W84">
        <v>93.14</v>
      </c>
      <c r="X84">
        <v>19.399999999999999</v>
      </c>
      <c r="Y84">
        <v>11.57</v>
      </c>
      <c r="AA84" t="s">
        <v>47</v>
      </c>
      <c r="AB84" s="1">
        <v>44970</v>
      </c>
      <c r="AD84">
        <v>0</v>
      </c>
      <c r="AE84">
        <v>2</v>
      </c>
      <c r="AF84" t="s">
        <v>61</v>
      </c>
      <c r="AG84">
        <v>27</v>
      </c>
      <c r="AH84">
        <v>176</v>
      </c>
      <c r="AI84">
        <v>80</v>
      </c>
      <c r="AJ84" t="s">
        <v>35</v>
      </c>
      <c r="AK84">
        <v>47.1</v>
      </c>
      <c r="AL84">
        <v>7.63</v>
      </c>
      <c r="AM84">
        <v>0.93</v>
      </c>
      <c r="AN84">
        <v>87.68</v>
      </c>
    </row>
    <row r="85" spans="14:40" x14ac:dyDescent="0.3">
      <c r="N85" t="s">
        <v>223</v>
      </c>
      <c r="O85" t="s">
        <v>64</v>
      </c>
      <c r="P85" t="s">
        <v>38</v>
      </c>
      <c r="Q85" t="s">
        <v>224</v>
      </c>
      <c r="R85" t="s">
        <v>94</v>
      </c>
      <c r="S85" t="s">
        <v>41</v>
      </c>
      <c r="T85">
        <v>20</v>
      </c>
      <c r="U85">
        <v>2</v>
      </c>
      <c r="V85">
        <v>3</v>
      </c>
      <c r="W85">
        <v>73.22</v>
      </c>
      <c r="X85">
        <v>13.2</v>
      </c>
      <c r="Y85">
        <v>12.57</v>
      </c>
      <c r="AA85" t="s">
        <v>43</v>
      </c>
      <c r="AD85">
        <v>0</v>
      </c>
      <c r="AE85">
        <v>3</v>
      </c>
      <c r="AF85" t="s">
        <v>34</v>
      </c>
      <c r="AG85">
        <v>24</v>
      </c>
      <c r="AH85">
        <v>164</v>
      </c>
      <c r="AI85">
        <v>77</v>
      </c>
      <c r="AJ85" t="s">
        <v>48</v>
      </c>
      <c r="AK85">
        <v>55.4</v>
      </c>
      <c r="AL85">
        <v>6.26</v>
      </c>
      <c r="AM85">
        <v>0.53</v>
      </c>
      <c r="AN85">
        <v>88.4</v>
      </c>
    </row>
    <row r="86" spans="14:40" x14ac:dyDescent="0.3">
      <c r="N86" t="s">
        <v>225</v>
      </c>
      <c r="O86" t="s">
        <v>28</v>
      </c>
      <c r="P86" t="s">
        <v>29</v>
      </c>
      <c r="Q86" t="s">
        <v>226</v>
      </c>
      <c r="R86" t="s">
        <v>75</v>
      </c>
      <c r="S86" t="s">
        <v>32</v>
      </c>
      <c r="T86">
        <v>27</v>
      </c>
      <c r="U86">
        <v>2</v>
      </c>
      <c r="V86">
        <v>2</v>
      </c>
      <c r="W86">
        <v>67.62</v>
      </c>
      <c r="X86">
        <v>10.8</v>
      </c>
      <c r="Y86">
        <v>14.53</v>
      </c>
      <c r="AA86" t="s">
        <v>33</v>
      </c>
      <c r="AD86">
        <v>0</v>
      </c>
      <c r="AE86">
        <v>0</v>
      </c>
      <c r="AF86" t="s">
        <v>52</v>
      </c>
      <c r="AG86">
        <v>30</v>
      </c>
      <c r="AH86">
        <v>179</v>
      </c>
      <c r="AI86">
        <v>64</v>
      </c>
      <c r="AJ86" t="s">
        <v>35</v>
      </c>
      <c r="AK86">
        <v>43.1</v>
      </c>
      <c r="AL86">
        <v>7.4</v>
      </c>
      <c r="AM86">
        <v>0.98</v>
      </c>
      <c r="AN86">
        <v>89.13</v>
      </c>
    </row>
    <row r="87" spans="14:40" x14ac:dyDescent="0.3">
      <c r="N87" t="s">
        <v>227</v>
      </c>
      <c r="O87" t="s">
        <v>28</v>
      </c>
      <c r="P87" t="s">
        <v>38</v>
      </c>
      <c r="Q87" t="s">
        <v>228</v>
      </c>
      <c r="R87" t="s">
        <v>51</v>
      </c>
      <c r="S87" t="s">
        <v>41</v>
      </c>
      <c r="T87">
        <v>82</v>
      </c>
      <c r="U87">
        <v>2</v>
      </c>
      <c r="V87">
        <v>3</v>
      </c>
      <c r="W87">
        <v>73.19</v>
      </c>
      <c r="X87">
        <v>13.1</v>
      </c>
      <c r="Y87">
        <v>14.08</v>
      </c>
      <c r="AA87" t="s">
        <v>33</v>
      </c>
      <c r="AD87">
        <v>1</v>
      </c>
      <c r="AE87">
        <v>3</v>
      </c>
      <c r="AF87" t="s">
        <v>34</v>
      </c>
      <c r="AG87">
        <v>31</v>
      </c>
      <c r="AH87">
        <v>180</v>
      </c>
      <c r="AI87">
        <v>62</v>
      </c>
      <c r="AJ87" t="s">
        <v>62</v>
      </c>
      <c r="AK87">
        <v>51.5</v>
      </c>
      <c r="AL87">
        <v>6.44</v>
      </c>
      <c r="AM87">
        <v>1.1599999999999999</v>
      </c>
      <c r="AN87">
        <v>77.260000000000005</v>
      </c>
    </row>
    <row r="88" spans="14:40" x14ac:dyDescent="0.3">
      <c r="N88" t="s">
        <v>229</v>
      </c>
      <c r="O88" t="s">
        <v>37</v>
      </c>
      <c r="P88" t="s">
        <v>38</v>
      </c>
      <c r="Q88" t="s">
        <v>230</v>
      </c>
      <c r="R88" t="s">
        <v>80</v>
      </c>
      <c r="S88" t="s">
        <v>32</v>
      </c>
      <c r="T88">
        <v>30</v>
      </c>
      <c r="U88">
        <v>0</v>
      </c>
      <c r="V88">
        <v>3</v>
      </c>
      <c r="W88">
        <v>73.06</v>
      </c>
      <c r="X88">
        <v>13.1</v>
      </c>
      <c r="Y88">
        <v>12.24</v>
      </c>
      <c r="Z88" s="1">
        <v>45008</v>
      </c>
      <c r="AA88" t="s">
        <v>47</v>
      </c>
      <c r="AD88">
        <v>1</v>
      </c>
      <c r="AE88">
        <v>1</v>
      </c>
      <c r="AF88" t="s">
        <v>34</v>
      </c>
      <c r="AG88">
        <v>21</v>
      </c>
      <c r="AH88">
        <v>199</v>
      </c>
      <c r="AI88">
        <v>82</v>
      </c>
      <c r="AJ88" t="s">
        <v>53</v>
      </c>
      <c r="AK88">
        <v>54.6</v>
      </c>
      <c r="AL88">
        <v>9.23</v>
      </c>
      <c r="AM88">
        <v>0.62</v>
      </c>
      <c r="AN88">
        <v>91.42</v>
      </c>
    </row>
    <row r="89" spans="14:40" x14ac:dyDescent="0.3">
      <c r="N89" t="s">
        <v>231</v>
      </c>
      <c r="O89" t="s">
        <v>68</v>
      </c>
      <c r="P89" t="s">
        <v>38</v>
      </c>
      <c r="Q89" t="s">
        <v>232</v>
      </c>
      <c r="R89" t="s">
        <v>80</v>
      </c>
      <c r="S89" t="s">
        <v>41</v>
      </c>
      <c r="T89">
        <v>27</v>
      </c>
      <c r="U89">
        <v>2</v>
      </c>
      <c r="V89">
        <v>3</v>
      </c>
      <c r="W89">
        <v>72.41</v>
      </c>
      <c r="X89">
        <v>13</v>
      </c>
      <c r="Y89">
        <v>12.49</v>
      </c>
      <c r="AA89" t="s">
        <v>42</v>
      </c>
      <c r="AB89" s="1">
        <v>44973</v>
      </c>
      <c r="AD89">
        <v>0</v>
      </c>
      <c r="AE89">
        <v>3</v>
      </c>
      <c r="AF89" t="s">
        <v>52</v>
      </c>
      <c r="AG89">
        <v>25</v>
      </c>
      <c r="AH89">
        <v>190</v>
      </c>
      <c r="AI89">
        <v>85</v>
      </c>
      <c r="AJ89" t="s">
        <v>44</v>
      </c>
      <c r="AK89">
        <v>59.6</v>
      </c>
      <c r="AL89">
        <v>9.7899999999999991</v>
      </c>
      <c r="AM89">
        <v>0.79</v>
      </c>
      <c r="AN89">
        <v>72.739999999999995</v>
      </c>
    </row>
    <row r="90" spans="14:40" x14ac:dyDescent="0.3">
      <c r="N90" t="s">
        <v>233</v>
      </c>
      <c r="O90" t="s">
        <v>68</v>
      </c>
      <c r="P90" t="s">
        <v>38</v>
      </c>
      <c r="Q90" t="s">
        <v>234</v>
      </c>
      <c r="R90" t="s">
        <v>80</v>
      </c>
      <c r="S90" t="s">
        <v>41</v>
      </c>
      <c r="T90">
        <v>54</v>
      </c>
      <c r="U90">
        <v>3</v>
      </c>
      <c r="V90">
        <v>3</v>
      </c>
      <c r="W90">
        <v>72.39</v>
      </c>
      <c r="X90">
        <v>13</v>
      </c>
      <c r="Y90">
        <v>6.46</v>
      </c>
      <c r="AA90" t="s">
        <v>33</v>
      </c>
      <c r="AD90">
        <v>1</v>
      </c>
      <c r="AE90">
        <v>4</v>
      </c>
      <c r="AF90" t="s">
        <v>43</v>
      </c>
      <c r="AG90">
        <v>22</v>
      </c>
      <c r="AH90">
        <v>195</v>
      </c>
      <c r="AI90">
        <v>96</v>
      </c>
      <c r="AJ90" t="s">
        <v>48</v>
      </c>
      <c r="AK90">
        <v>68.5</v>
      </c>
      <c r="AL90">
        <v>6.29</v>
      </c>
      <c r="AM90">
        <v>0.9</v>
      </c>
      <c r="AN90">
        <v>75.98</v>
      </c>
    </row>
    <row r="91" spans="14:40" x14ac:dyDescent="0.3">
      <c r="N91" t="s">
        <v>235</v>
      </c>
      <c r="O91" t="s">
        <v>37</v>
      </c>
      <c r="P91" t="s">
        <v>38</v>
      </c>
      <c r="Q91" t="s">
        <v>236</v>
      </c>
      <c r="R91" t="s">
        <v>75</v>
      </c>
      <c r="S91" t="s">
        <v>41</v>
      </c>
      <c r="T91">
        <v>54</v>
      </c>
      <c r="U91">
        <v>3</v>
      </c>
      <c r="V91">
        <v>4</v>
      </c>
      <c r="W91">
        <v>79.099999999999994</v>
      </c>
      <c r="X91">
        <v>15.2</v>
      </c>
      <c r="Y91">
        <v>6.03</v>
      </c>
      <c r="AA91" t="s">
        <v>42</v>
      </c>
      <c r="AD91">
        <v>1</v>
      </c>
      <c r="AE91">
        <v>3</v>
      </c>
      <c r="AF91" t="s">
        <v>52</v>
      </c>
      <c r="AG91">
        <v>18</v>
      </c>
      <c r="AH91">
        <v>170</v>
      </c>
      <c r="AI91">
        <v>83</v>
      </c>
      <c r="AJ91" t="s">
        <v>44</v>
      </c>
      <c r="AK91">
        <v>58</v>
      </c>
      <c r="AL91">
        <v>9.82</v>
      </c>
      <c r="AM91">
        <v>1.42</v>
      </c>
      <c r="AN91">
        <v>96.32</v>
      </c>
    </row>
    <row r="92" spans="14:40" x14ac:dyDescent="0.3">
      <c r="N92" t="s">
        <v>237</v>
      </c>
      <c r="O92" t="s">
        <v>28</v>
      </c>
      <c r="P92" t="s">
        <v>38</v>
      </c>
      <c r="Q92" t="s">
        <v>238</v>
      </c>
      <c r="R92" t="s">
        <v>94</v>
      </c>
      <c r="S92" t="s">
        <v>32</v>
      </c>
      <c r="T92">
        <v>52</v>
      </c>
      <c r="U92">
        <v>0</v>
      </c>
      <c r="V92">
        <v>4</v>
      </c>
      <c r="W92">
        <v>79.03</v>
      </c>
      <c r="X92">
        <v>15.1</v>
      </c>
      <c r="Y92">
        <v>10.71</v>
      </c>
      <c r="AA92" t="s">
        <v>47</v>
      </c>
      <c r="AB92" s="1">
        <v>45081</v>
      </c>
      <c r="AD92">
        <v>1</v>
      </c>
      <c r="AE92">
        <v>0</v>
      </c>
      <c r="AF92" t="s">
        <v>43</v>
      </c>
      <c r="AG92">
        <v>21</v>
      </c>
      <c r="AH92">
        <v>174</v>
      </c>
      <c r="AI92">
        <v>78</v>
      </c>
      <c r="AJ92" t="s">
        <v>62</v>
      </c>
      <c r="AK92">
        <v>62.3</v>
      </c>
      <c r="AL92">
        <v>8.09</v>
      </c>
      <c r="AM92">
        <v>1.49</v>
      </c>
      <c r="AN92">
        <v>92.16</v>
      </c>
    </row>
    <row r="93" spans="14:40" x14ac:dyDescent="0.3">
      <c r="N93" t="s">
        <v>239</v>
      </c>
      <c r="O93" t="s">
        <v>28</v>
      </c>
      <c r="P93" t="s">
        <v>38</v>
      </c>
      <c r="Q93" t="s">
        <v>240</v>
      </c>
      <c r="R93" t="s">
        <v>56</v>
      </c>
      <c r="S93" t="s">
        <v>32</v>
      </c>
      <c r="T93">
        <v>24</v>
      </c>
      <c r="U93">
        <v>2</v>
      </c>
      <c r="V93">
        <v>6</v>
      </c>
      <c r="W93">
        <v>93.12</v>
      </c>
      <c r="X93">
        <v>19.399999999999999</v>
      </c>
      <c r="Y93">
        <v>5.18</v>
      </c>
      <c r="AA93" t="s">
        <v>43</v>
      </c>
      <c r="AB93" s="1">
        <v>45226</v>
      </c>
      <c r="AD93">
        <v>1</v>
      </c>
      <c r="AE93">
        <v>0</v>
      </c>
      <c r="AF93" t="s">
        <v>52</v>
      </c>
      <c r="AG93">
        <v>20</v>
      </c>
      <c r="AH93">
        <v>178</v>
      </c>
      <c r="AI93">
        <v>84</v>
      </c>
      <c r="AJ93" t="s">
        <v>44</v>
      </c>
      <c r="AK93">
        <v>55.2</v>
      </c>
      <c r="AL93">
        <v>7.2</v>
      </c>
      <c r="AM93">
        <v>0.54</v>
      </c>
      <c r="AN93">
        <v>70.41</v>
      </c>
    </row>
    <row r="94" spans="14:40" x14ac:dyDescent="0.3">
      <c r="N94" t="s">
        <v>241</v>
      </c>
      <c r="O94" t="s">
        <v>64</v>
      </c>
      <c r="P94" t="s">
        <v>65</v>
      </c>
      <c r="Q94" t="s">
        <v>242</v>
      </c>
      <c r="R94" t="s">
        <v>56</v>
      </c>
      <c r="S94" t="s">
        <v>32</v>
      </c>
      <c r="T94">
        <v>60</v>
      </c>
      <c r="U94">
        <v>2</v>
      </c>
      <c r="V94">
        <v>1</v>
      </c>
      <c r="W94">
        <v>59.73</v>
      </c>
      <c r="X94">
        <v>8.1999999999999993</v>
      </c>
      <c r="Y94">
        <v>9.82</v>
      </c>
      <c r="AA94" t="s">
        <v>42</v>
      </c>
      <c r="AC94">
        <v>81</v>
      </c>
      <c r="AD94">
        <v>0</v>
      </c>
      <c r="AE94">
        <v>3</v>
      </c>
      <c r="AF94" t="s">
        <v>34</v>
      </c>
      <c r="AG94">
        <v>26</v>
      </c>
      <c r="AH94">
        <v>166</v>
      </c>
      <c r="AI94">
        <v>80</v>
      </c>
      <c r="AJ94" t="s">
        <v>48</v>
      </c>
      <c r="AK94">
        <v>59</v>
      </c>
      <c r="AL94">
        <v>6.31</v>
      </c>
      <c r="AM94">
        <v>1.26</v>
      </c>
      <c r="AN94">
        <v>77.45</v>
      </c>
    </row>
    <row r="95" spans="14:40" x14ac:dyDescent="0.3">
      <c r="N95" t="s">
        <v>243</v>
      </c>
      <c r="O95" t="s">
        <v>37</v>
      </c>
      <c r="P95" t="s">
        <v>38</v>
      </c>
      <c r="Q95" t="s">
        <v>244</v>
      </c>
      <c r="R95" t="s">
        <v>75</v>
      </c>
      <c r="S95" t="s">
        <v>32</v>
      </c>
      <c r="T95">
        <v>47</v>
      </c>
      <c r="U95">
        <v>2</v>
      </c>
      <c r="V95">
        <v>0</v>
      </c>
      <c r="W95">
        <v>53.9</v>
      </c>
      <c r="X95">
        <v>6.3</v>
      </c>
      <c r="Y95">
        <v>7.1</v>
      </c>
      <c r="AA95" t="s">
        <v>47</v>
      </c>
      <c r="AD95">
        <v>0</v>
      </c>
      <c r="AE95">
        <v>0</v>
      </c>
      <c r="AF95" t="s">
        <v>34</v>
      </c>
      <c r="AG95">
        <v>25</v>
      </c>
      <c r="AH95">
        <v>187</v>
      </c>
      <c r="AI95">
        <v>71</v>
      </c>
      <c r="AJ95" t="s">
        <v>53</v>
      </c>
      <c r="AK95">
        <v>42.1</v>
      </c>
      <c r="AL95">
        <v>8</v>
      </c>
      <c r="AM95">
        <v>0.87</v>
      </c>
      <c r="AN95">
        <v>76.430000000000007</v>
      </c>
    </row>
    <row r="96" spans="14:40" x14ac:dyDescent="0.3">
      <c r="N96" t="s">
        <v>245</v>
      </c>
      <c r="O96" t="s">
        <v>28</v>
      </c>
      <c r="P96" t="s">
        <v>38</v>
      </c>
      <c r="Q96" t="s">
        <v>246</v>
      </c>
      <c r="R96" t="s">
        <v>94</v>
      </c>
      <c r="S96" t="s">
        <v>41</v>
      </c>
      <c r="T96">
        <v>26</v>
      </c>
      <c r="U96">
        <v>4</v>
      </c>
      <c r="V96">
        <v>3</v>
      </c>
      <c r="W96">
        <v>72.239999999999995</v>
      </c>
      <c r="X96">
        <v>12.9</v>
      </c>
      <c r="Y96">
        <v>8.4600000000000009</v>
      </c>
      <c r="Z96" s="1">
        <v>45263</v>
      </c>
      <c r="AA96" t="s">
        <v>43</v>
      </c>
      <c r="AC96">
        <v>87</v>
      </c>
      <c r="AD96">
        <v>0</v>
      </c>
      <c r="AE96">
        <v>0</v>
      </c>
      <c r="AF96" t="s">
        <v>43</v>
      </c>
      <c r="AG96">
        <v>18</v>
      </c>
      <c r="AH96">
        <v>164</v>
      </c>
      <c r="AI96">
        <v>92</v>
      </c>
      <c r="AJ96" t="s">
        <v>35</v>
      </c>
      <c r="AK96">
        <v>47.6</v>
      </c>
      <c r="AL96">
        <v>9.18</v>
      </c>
      <c r="AM96">
        <v>0.89</v>
      </c>
      <c r="AN96">
        <v>78.12</v>
      </c>
    </row>
    <row r="97" spans="14:40" x14ac:dyDescent="0.3">
      <c r="N97" t="s">
        <v>247</v>
      </c>
      <c r="O97" t="s">
        <v>37</v>
      </c>
      <c r="P97" t="s">
        <v>38</v>
      </c>
      <c r="Q97" t="s">
        <v>248</v>
      </c>
      <c r="R97" t="s">
        <v>31</v>
      </c>
      <c r="S97" t="s">
        <v>32</v>
      </c>
      <c r="T97">
        <v>92</v>
      </c>
      <c r="U97">
        <v>1</v>
      </c>
      <c r="V97">
        <v>6</v>
      </c>
      <c r="W97">
        <v>93.08</v>
      </c>
      <c r="X97">
        <v>19.399999999999999</v>
      </c>
      <c r="Y97">
        <v>12.76</v>
      </c>
      <c r="AA97" t="s">
        <v>33</v>
      </c>
      <c r="AD97">
        <v>0</v>
      </c>
      <c r="AE97">
        <v>3</v>
      </c>
      <c r="AF97" t="s">
        <v>34</v>
      </c>
      <c r="AG97">
        <v>23</v>
      </c>
      <c r="AH97">
        <v>164</v>
      </c>
      <c r="AI97">
        <v>63</v>
      </c>
      <c r="AJ97" t="s">
        <v>62</v>
      </c>
      <c r="AK97">
        <v>50.9</v>
      </c>
      <c r="AL97">
        <v>8.83</v>
      </c>
      <c r="AM97">
        <v>1.25</v>
      </c>
      <c r="AN97">
        <v>77.430000000000007</v>
      </c>
    </row>
    <row r="98" spans="14:40" x14ac:dyDescent="0.3">
      <c r="N98" t="s">
        <v>249</v>
      </c>
      <c r="O98" t="s">
        <v>68</v>
      </c>
      <c r="P98" t="s">
        <v>65</v>
      </c>
      <c r="Q98" t="s">
        <v>250</v>
      </c>
      <c r="R98" t="s">
        <v>94</v>
      </c>
      <c r="S98" t="s">
        <v>41</v>
      </c>
      <c r="T98">
        <v>91</v>
      </c>
      <c r="U98">
        <v>4</v>
      </c>
      <c r="V98">
        <v>1</v>
      </c>
      <c r="W98">
        <v>58.69</v>
      </c>
      <c r="X98">
        <v>7.9</v>
      </c>
      <c r="Y98">
        <v>14.41</v>
      </c>
      <c r="AA98" t="s">
        <v>42</v>
      </c>
      <c r="AB98" s="1">
        <v>45183</v>
      </c>
      <c r="AD98">
        <v>1</v>
      </c>
      <c r="AE98">
        <v>2</v>
      </c>
      <c r="AF98" t="s">
        <v>34</v>
      </c>
      <c r="AG98">
        <v>26</v>
      </c>
      <c r="AH98">
        <v>189</v>
      </c>
      <c r="AI98">
        <v>66</v>
      </c>
      <c r="AJ98" t="s">
        <v>53</v>
      </c>
      <c r="AK98">
        <v>54.2</v>
      </c>
      <c r="AL98">
        <v>6.2</v>
      </c>
      <c r="AM98">
        <v>1.42</v>
      </c>
      <c r="AN98">
        <v>71.88</v>
      </c>
    </row>
    <row r="99" spans="14:40" x14ac:dyDescent="0.3">
      <c r="N99" t="s">
        <v>251</v>
      </c>
      <c r="O99" t="s">
        <v>28</v>
      </c>
      <c r="P99" t="s">
        <v>38</v>
      </c>
      <c r="Q99" t="s">
        <v>252</v>
      </c>
      <c r="R99" t="s">
        <v>56</v>
      </c>
      <c r="S99" t="s">
        <v>41</v>
      </c>
      <c r="T99">
        <v>31</v>
      </c>
      <c r="U99">
        <v>1</v>
      </c>
      <c r="V99">
        <v>0</v>
      </c>
      <c r="W99">
        <v>53.78</v>
      </c>
      <c r="X99">
        <v>6.3</v>
      </c>
      <c r="Y99">
        <v>5.72</v>
      </c>
      <c r="AA99" t="s">
        <v>47</v>
      </c>
      <c r="AD99">
        <v>0</v>
      </c>
      <c r="AE99">
        <v>2</v>
      </c>
      <c r="AF99" t="s">
        <v>43</v>
      </c>
      <c r="AG99">
        <v>24</v>
      </c>
      <c r="AH99">
        <v>191</v>
      </c>
      <c r="AI99">
        <v>81</v>
      </c>
      <c r="AJ99" t="s">
        <v>53</v>
      </c>
      <c r="AK99">
        <v>41.4</v>
      </c>
      <c r="AL99">
        <v>6.29</v>
      </c>
      <c r="AM99">
        <v>1.45</v>
      </c>
      <c r="AN99">
        <v>83.77</v>
      </c>
    </row>
    <row r="100" spans="14:40" x14ac:dyDescent="0.3">
      <c r="N100" t="s">
        <v>253</v>
      </c>
      <c r="O100" t="s">
        <v>68</v>
      </c>
      <c r="P100" t="s">
        <v>29</v>
      </c>
      <c r="Q100" t="s">
        <v>254</v>
      </c>
      <c r="R100" t="s">
        <v>80</v>
      </c>
      <c r="S100" t="s">
        <v>41</v>
      </c>
      <c r="T100">
        <v>53</v>
      </c>
      <c r="U100">
        <v>2</v>
      </c>
      <c r="V100">
        <v>5</v>
      </c>
      <c r="W100">
        <v>86.03</v>
      </c>
      <c r="X100">
        <v>17.2</v>
      </c>
      <c r="Y100">
        <v>10.34</v>
      </c>
      <c r="Z100" s="1">
        <v>45038</v>
      </c>
      <c r="AA100" t="s">
        <v>43</v>
      </c>
      <c r="AD100">
        <v>0</v>
      </c>
      <c r="AE100">
        <v>1</v>
      </c>
      <c r="AF100" t="s">
        <v>43</v>
      </c>
      <c r="AG100">
        <v>21</v>
      </c>
      <c r="AH100">
        <v>167</v>
      </c>
      <c r="AI100">
        <v>92</v>
      </c>
      <c r="AJ100" t="s">
        <v>35</v>
      </c>
      <c r="AK100">
        <v>44.2</v>
      </c>
      <c r="AL100">
        <v>7.61</v>
      </c>
      <c r="AM100">
        <v>1.08</v>
      </c>
      <c r="AN100">
        <v>91.98</v>
      </c>
    </row>
    <row r="101" spans="14:40" x14ac:dyDescent="0.3">
      <c r="N101" t="s">
        <v>255</v>
      </c>
      <c r="O101" t="s">
        <v>68</v>
      </c>
      <c r="P101" t="s">
        <v>29</v>
      </c>
      <c r="Q101" t="s">
        <v>256</v>
      </c>
      <c r="R101" t="s">
        <v>75</v>
      </c>
      <c r="S101" t="s">
        <v>32</v>
      </c>
      <c r="T101">
        <v>52</v>
      </c>
      <c r="U101">
        <v>2</v>
      </c>
      <c r="V101">
        <v>2</v>
      </c>
      <c r="W101">
        <v>67.599999999999994</v>
      </c>
      <c r="X101">
        <v>10.8</v>
      </c>
      <c r="Y101">
        <v>13.83</v>
      </c>
      <c r="Z101" s="1">
        <v>45161</v>
      </c>
      <c r="AA101" t="s">
        <v>33</v>
      </c>
      <c r="AB101" s="1">
        <v>45147</v>
      </c>
      <c r="AC101">
        <v>83</v>
      </c>
      <c r="AD101">
        <v>1</v>
      </c>
      <c r="AE101">
        <v>0</v>
      </c>
      <c r="AF101" t="s">
        <v>61</v>
      </c>
      <c r="AG101">
        <v>30</v>
      </c>
      <c r="AH101">
        <v>169</v>
      </c>
      <c r="AI101">
        <v>76</v>
      </c>
      <c r="AJ101" t="s">
        <v>35</v>
      </c>
      <c r="AK101">
        <v>48.3</v>
      </c>
      <c r="AL101">
        <v>7.18</v>
      </c>
      <c r="AM101">
        <v>0.86</v>
      </c>
      <c r="AN101">
        <v>88.2</v>
      </c>
    </row>
    <row r="102" spans="14:40" x14ac:dyDescent="0.3">
      <c r="N102" t="s">
        <v>257</v>
      </c>
      <c r="O102" t="s">
        <v>68</v>
      </c>
      <c r="P102" t="s">
        <v>38</v>
      </c>
      <c r="Q102" t="s">
        <v>258</v>
      </c>
      <c r="R102" t="s">
        <v>80</v>
      </c>
      <c r="S102" t="s">
        <v>32</v>
      </c>
      <c r="T102">
        <v>67</v>
      </c>
      <c r="U102">
        <v>4</v>
      </c>
      <c r="V102">
        <v>4</v>
      </c>
      <c r="W102">
        <v>79</v>
      </c>
      <c r="X102">
        <v>14.9</v>
      </c>
      <c r="Y102">
        <v>5.83</v>
      </c>
      <c r="AA102" t="s">
        <v>33</v>
      </c>
      <c r="AC102">
        <v>75</v>
      </c>
      <c r="AD102">
        <v>1</v>
      </c>
      <c r="AE102">
        <v>3</v>
      </c>
      <c r="AF102" t="s">
        <v>52</v>
      </c>
      <c r="AG102">
        <v>34</v>
      </c>
      <c r="AH102">
        <v>197</v>
      </c>
      <c r="AI102">
        <v>83</v>
      </c>
      <c r="AJ102" t="s">
        <v>62</v>
      </c>
      <c r="AK102">
        <v>69.099999999999994</v>
      </c>
      <c r="AL102">
        <v>6.93</v>
      </c>
      <c r="AM102">
        <v>1.29</v>
      </c>
      <c r="AN102">
        <v>90.19</v>
      </c>
    </row>
    <row r="103" spans="14:40" x14ac:dyDescent="0.3">
      <c r="N103" t="s">
        <v>259</v>
      </c>
      <c r="O103" t="s">
        <v>68</v>
      </c>
      <c r="P103" t="s">
        <v>38</v>
      </c>
      <c r="Q103" t="s">
        <v>260</v>
      </c>
      <c r="R103" t="s">
        <v>80</v>
      </c>
      <c r="S103" t="s">
        <v>32</v>
      </c>
      <c r="T103">
        <v>42</v>
      </c>
      <c r="U103">
        <v>4</v>
      </c>
      <c r="V103">
        <v>5</v>
      </c>
      <c r="W103">
        <v>85.91</v>
      </c>
      <c r="X103">
        <v>17.2</v>
      </c>
      <c r="Y103">
        <v>13.25</v>
      </c>
      <c r="AA103" t="s">
        <v>43</v>
      </c>
      <c r="AC103">
        <v>55</v>
      </c>
      <c r="AD103">
        <v>1</v>
      </c>
      <c r="AE103">
        <v>0</v>
      </c>
      <c r="AF103" t="s">
        <v>52</v>
      </c>
      <c r="AG103">
        <v>19</v>
      </c>
      <c r="AH103">
        <v>191</v>
      </c>
      <c r="AI103">
        <v>93</v>
      </c>
      <c r="AJ103" t="s">
        <v>35</v>
      </c>
      <c r="AK103">
        <v>49.9</v>
      </c>
      <c r="AL103">
        <v>7.12</v>
      </c>
      <c r="AM103">
        <v>0.75</v>
      </c>
      <c r="AN103">
        <v>72.430000000000007</v>
      </c>
    </row>
    <row r="104" spans="14:40" x14ac:dyDescent="0.3">
      <c r="N104" t="s">
        <v>261</v>
      </c>
      <c r="O104" t="s">
        <v>64</v>
      </c>
      <c r="P104" t="s">
        <v>65</v>
      </c>
      <c r="Q104" t="s">
        <v>262</v>
      </c>
      <c r="R104" t="s">
        <v>31</v>
      </c>
      <c r="S104" t="s">
        <v>41</v>
      </c>
      <c r="T104">
        <v>81</v>
      </c>
      <c r="U104">
        <v>1</v>
      </c>
      <c r="V104">
        <v>0</v>
      </c>
      <c r="W104">
        <v>53.5</v>
      </c>
      <c r="X104">
        <v>6.2</v>
      </c>
      <c r="Y104">
        <v>8.58</v>
      </c>
      <c r="AA104" t="s">
        <v>47</v>
      </c>
      <c r="AD104">
        <v>0</v>
      </c>
      <c r="AE104">
        <v>4</v>
      </c>
      <c r="AF104" t="s">
        <v>34</v>
      </c>
      <c r="AG104">
        <v>22</v>
      </c>
      <c r="AH104">
        <v>187</v>
      </c>
      <c r="AI104">
        <v>87</v>
      </c>
      <c r="AJ104" t="s">
        <v>35</v>
      </c>
      <c r="AK104">
        <v>54.5</v>
      </c>
      <c r="AL104">
        <v>9.2100000000000009</v>
      </c>
      <c r="AM104">
        <v>1.06</v>
      </c>
      <c r="AN104">
        <v>98.54</v>
      </c>
    </row>
    <row r="105" spans="14:40" x14ac:dyDescent="0.3">
      <c r="N105" t="s">
        <v>263</v>
      </c>
      <c r="O105" t="s">
        <v>64</v>
      </c>
      <c r="P105" t="s">
        <v>38</v>
      </c>
      <c r="Q105" t="s">
        <v>264</v>
      </c>
      <c r="R105" t="s">
        <v>51</v>
      </c>
      <c r="S105" t="s">
        <v>32</v>
      </c>
      <c r="T105">
        <v>56</v>
      </c>
      <c r="U105">
        <v>3</v>
      </c>
      <c r="V105">
        <v>5</v>
      </c>
      <c r="W105">
        <v>85.79</v>
      </c>
      <c r="X105">
        <v>17.2</v>
      </c>
      <c r="Y105">
        <v>8.2200000000000006</v>
      </c>
      <c r="AA105" t="s">
        <v>43</v>
      </c>
      <c r="AD105">
        <v>0</v>
      </c>
      <c r="AE105">
        <v>0</v>
      </c>
      <c r="AF105" t="s">
        <v>34</v>
      </c>
      <c r="AG105">
        <v>29</v>
      </c>
      <c r="AH105">
        <v>176</v>
      </c>
      <c r="AI105">
        <v>98</v>
      </c>
      <c r="AJ105" t="s">
        <v>48</v>
      </c>
      <c r="AK105">
        <v>45.9</v>
      </c>
      <c r="AL105">
        <v>9.7200000000000006</v>
      </c>
      <c r="AM105">
        <v>0.86</v>
      </c>
      <c r="AN105">
        <v>95.15</v>
      </c>
    </row>
    <row r="106" spans="14:40" x14ac:dyDescent="0.3">
      <c r="N106" t="s">
        <v>265</v>
      </c>
      <c r="O106" t="s">
        <v>68</v>
      </c>
      <c r="P106" t="s">
        <v>29</v>
      </c>
      <c r="Q106" t="s">
        <v>266</v>
      </c>
      <c r="R106" t="s">
        <v>31</v>
      </c>
      <c r="S106" t="s">
        <v>41</v>
      </c>
      <c r="T106">
        <v>63</v>
      </c>
      <c r="U106">
        <v>1</v>
      </c>
      <c r="V106">
        <v>2</v>
      </c>
      <c r="W106">
        <v>67.28</v>
      </c>
      <c r="X106">
        <v>10.6</v>
      </c>
      <c r="Y106">
        <v>14.77</v>
      </c>
      <c r="AA106" t="s">
        <v>43</v>
      </c>
      <c r="AB106" s="1">
        <v>44974</v>
      </c>
      <c r="AC106">
        <v>18</v>
      </c>
      <c r="AD106">
        <v>0</v>
      </c>
      <c r="AE106">
        <v>0</v>
      </c>
      <c r="AF106" t="s">
        <v>61</v>
      </c>
      <c r="AG106">
        <v>38</v>
      </c>
      <c r="AH106">
        <v>190</v>
      </c>
      <c r="AI106">
        <v>81</v>
      </c>
      <c r="AJ106" t="s">
        <v>62</v>
      </c>
      <c r="AK106">
        <v>58.3</v>
      </c>
      <c r="AL106">
        <v>7.62</v>
      </c>
      <c r="AM106">
        <v>1.1599999999999999</v>
      </c>
      <c r="AN106">
        <v>94.15</v>
      </c>
    </row>
    <row r="107" spans="14:40" x14ac:dyDescent="0.3">
      <c r="N107" t="s">
        <v>267</v>
      </c>
      <c r="O107" t="s">
        <v>64</v>
      </c>
      <c r="P107" t="s">
        <v>38</v>
      </c>
      <c r="Q107" t="s">
        <v>268</v>
      </c>
      <c r="R107" t="s">
        <v>40</v>
      </c>
      <c r="S107" t="s">
        <v>41</v>
      </c>
      <c r="T107">
        <v>54</v>
      </c>
      <c r="U107">
        <v>4</v>
      </c>
      <c r="V107">
        <v>6</v>
      </c>
      <c r="W107">
        <v>93.04</v>
      </c>
      <c r="X107">
        <v>19.399999999999999</v>
      </c>
      <c r="Y107">
        <v>7.01</v>
      </c>
      <c r="Z107" s="1">
        <v>45213</v>
      </c>
      <c r="AA107" t="s">
        <v>43</v>
      </c>
      <c r="AC107">
        <v>12</v>
      </c>
      <c r="AD107">
        <v>0</v>
      </c>
      <c r="AE107">
        <v>2</v>
      </c>
      <c r="AF107" t="s">
        <v>52</v>
      </c>
      <c r="AG107">
        <v>25</v>
      </c>
      <c r="AH107">
        <v>167</v>
      </c>
      <c r="AI107">
        <v>76</v>
      </c>
      <c r="AJ107" t="s">
        <v>70</v>
      </c>
      <c r="AK107">
        <v>48.4</v>
      </c>
      <c r="AL107">
        <v>9.6199999999999992</v>
      </c>
      <c r="AM107">
        <v>0.74</v>
      </c>
      <c r="AN107">
        <v>94.69</v>
      </c>
    </row>
    <row r="108" spans="14:40" x14ac:dyDescent="0.3">
      <c r="N108" t="s">
        <v>269</v>
      </c>
      <c r="O108" t="s">
        <v>68</v>
      </c>
      <c r="P108" t="s">
        <v>82</v>
      </c>
      <c r="Q108" t="s">
        <v>270</v>
      </c>
      <c r="R108" t="s">
        <v>75</v>
      </c>
      <c r="S108" t="s">
        <v>41</v>
      </c>
      <c r="T108">
        <v>84</v>
      </c>
      <c r="U108">
        <v>0</v>
      </c>
      <c r="V108">
        <v>0</v>
      </c>
      <c r="W108">
        <v>53.42</v>
      </c>
      <c r="X108">
        <v>6.2</v>
      </c>
      <c r="Y108">
        <v>11.93</v>
      </c>
      <c r="AA108" t="s">
        <v>43</v>
      </c>
      <c r="AD108">
        <v>0</v>
      </c>
      <c r="AE108">
        <v>3</v>
      </c>
      <c r="AF108" t="s">
        <v>34</v>
      </c>
      <c r="AG108">
        <v>23</v>
      </c>
      <c r="AH108">
        <v>199</v>
      </c>
      <c r="AI108">
        <v>93</v>
      </c>
      <c r="AJ108" t="s">
        <v>70</v>
      </c>
      <c r="AK108">
        <v>46.2</v>
      </c>
      <c r="AL108">
        <v>7.29</v>
      </c>
      <c r="AM108">
        <v>0.69</v>
      </c>
      <c r="AN108">
        <v>97.98</v>
      </c>
    </row>
    <row r="109" spans="14:40" x14ac:dyDescent="0.3">
      <c r="N109" t="s">
        <v>271</v>
      </c>
      <c r="O109" t="s">
        <v>37</v>
      </c>
      <c r="P109" t="s">
        <v>29</v>
      </c>
      <c r="Q109" t="s">
        <v>272</v>
      </c>
      <c r="R109" t="s">
        <v>94</v>
      </c>
      <c r="S109" t="s">
        <v>32</v>
      </c>
      <c r="T109">
        <v>66</v>
      </c>
      <c r="U109">
        <v>0</v>
      </c>
      <c r="V109">
        <v>5</v>
      </c>
      <c r="W109">
        <v>85.55</v>
      </c>
      <c r="X109">
        <v>17.100000000000001</v>
      </c>
      <c r="Y109">
        <v>13.21</v>
      </c>
      <c r="Z109" s="1">
        <v>45223</v>
      </c>
      <c r="AA109" t="s">
        <v>47</v>
      </c>
      <c r="AD109">
        <v>0</v>
      </c>
      <c r="AE109">
        <v>0</v>
      </c>
      <c r="AF109" t="s">
        <v>61</v>
      </c>
      <c r="AG109">
        <v>25</v>
      </c>
      <c r="AH109">
        <v>184</v>
      </c>
      <c r="AI109">
        <v>65</v>
      </c>
      <c r="AJ109" t="s">
        <v>62</v>
      </c>
      <c r="AK109">
        <v>55.5</v>
      </c>
      <c r="AL109">
        <v>7.91</v>
      </c>
      <c r="AM109">
        <v>1.42</v>
      </c>
      <c r="AN109">
        <v>86.33</v>
      </c>
    </row>
    <row r="110" spans="14:40" x14ac:dyDescent="0.3">
      <c r="N110" t="s">
        <v>273</v>
      </c>
      <c r="O110" t="s">
        <v>64</v>
      </c>
      <c r="P110" t="s">
        <v>38</v>
      </c>
      <c r="Q110" t="s">
        <v>274</v>
      </c>
      <c r="R110" t="s">
        <v>94</v>
      </c>
      <c r="S110" t="s">
        <v>32</v>
      </c>
      <c r="T110">
        <v>22</v>
      </c>
      <c r="U110">
        <v>4</v>
      </c>
      <c r="V110">
        <v>4</v>
      </c>
      <c r="W110">
        <v>78.75</v>
      </c>
      <c r="X110">
        <v>14.9</v>
      </c>
      <c r="Y110">
        <v>5.41</v>
      </c>
      <c r="AA110" t="s">
        <v>33</v>
      </c>
      <c r="AB110" s="1">
        <v>45034</v>
      </c>
      <c r="AD110">
        <v>0</v>
      </c>
      <c r="AE110">
        <v>2</v>
      </c>
      <c r="AF110" t="s">
        <v>43</v>
      </c>
      <c r="AG110">
        <v>35</v>
      </c>
      <c r="AH110">
        <v>168</v>
      </c>
      <c r="AI110">
        <v>65</v>
      </c>
      <c r="AJ110" t="s">
        <v>44</v>
      </c>
      <c r="AK110">
        <v>40.200000000000003</v>
      </c>
      <c r="AL110">
        <v>6.9</v>
      </c>
      <c r="AM110">
        <v>0.6</v>
      </c>
      <c r="AN110">
        <v>76.010000000000005</v>
      </c>
    </row>
    <row r="111" spans="14:40" x14ac:dyDescent="0.3">
      <c r="N111" t="s">
        <v>275</v>
      </c>
      <c r="O111" t="s">
        <v>28</v>
      </c>
      <c r="P111" t="s">
        <v>65</v>
      </c>
      <c r="Q111" t="s">
        <v>276</v>
      </c>
      <c r="R111" t="s">
        <v>31</v>
      </c>
      <c r="S111" t="s">
        <v>32</v>
      </c>
      <c r="T111">
        <v>20</v>
      </c>
      <c r="U111">
        <v>0</v>
      </c>
      <c r="V111">
        <v>4</v>
      </c>
      <c r="W111">
        <v>78.680000000000007</v>
      </c>
      <c r="X111">
        <v>14.7</v>
      </c>
      <c r="Y111">
        <v>11.7</v>
      </c>
      <c r="Z111" s="1">
        <v>45029</v>
      </c>
      <c r="AA111" t="s">
        <v>43</v>
      </c>
      <c r="AB111" s="1">
        <v>44927</v>
      </c>
      <c r="AD111">
        <v>0</v>
      </c>
      <c r="AE111">
        <v>1</v>
      </c>
      <c r="AF111" t="s">
        <v>43</v>
      </c>
      <c r="AG111">
        <v>20</v>
      </c>
      <c r="AH111">
        <v>161</v>
      </c>
      <c r="AI111">
        <v>93</v>
      </c>
      <c r="AJ111" t="s">
        <v>70</v>
      </c>
      <c r="AK111">
        <v>40.200000000000003</v>
      </c>
      <c r="AL111">
        <v>8.56</v>
      </c>
      <c r="AM111">
        <v>1.01</v>
      </c>
      <c r="AN111">
        <v>88.5</v>
      </c>
    </row>
    <row r="112" spans="14:40" x14ac:dyDescent="0.3">
      <c r="N112" t="s">
        <v>277</v>
      </c>
      <c r="O112" t="s">
        <v>68</v>
      </c>
      <c r="P112" t="s">
        <v>29</v>
      </c>
      <c r="Q112" t="s">
        <v>278</v>
      </c>
      <c r="R112" t="s">
        <v>31</v>
      </c>
      <c r="S112" t="s">
        <v>41</v>
      </c>
      <c r="T112">
        <v>24</v>
      </c>
      <c r="U112">
        <v>3</v>
      </c>
      <c r="V112">
        <v>1</v>
      </c>
      <c r="W112">
        <v>58.67</v>
      </c>
      <c r="X112">
        <v>7.8</v>
      </c>
      <c r="Y112">
        <v>14.52</v>
      </c>
      <c r="Z112" s="1">
        <v>45275</v>
      </c>
      <c r="AA112" t="s">
        <v>42</v>
      </c>
      <c r="AD112">
        <v>0</v>
      </c>
      <c r="AE112">
        <v>2</v>
      </c>
      <c r="AF112" t="s">
        <v>52</v>
      </c>
      <c r="AG112">
        <v>39</v>
      </c>
      <c r="AH112">
        <v>174</v>
      </c>
      <c r="AI112">
        <v>60</v>
      </c>
      <c r="AJ112" t="s">
        <v>62</v>
      </c>
      <c r="AK112">
        <v>46.6</v>
      </c>
      <c r="AL112">
        <v>9.92</v>
      </c>
      <c r="AM112">
        <v>0.72</v>
      </c>
      <c r="AN112">
        <v>92.29</v>
      </c>
    </row>
    <row r="113" spans="14:40" x14ac:dyDescent="0.3">
      <c r="N113" t="s">
        <v>279</v>
      </c>
      <c r="O113" t="s">
        <v>28</v>
      </c>
      <c r="P113" t="s">
        <v>38</v>
      </c>
      <c r="Q113" t="s">
        <v>280</v>
      </c>
      <c r="R113" t="s">
        <v>40</v>
      </c>
      <c r="S113" t="s">
        <v>32</v>
      </c>
      <c r="T113">
        <v>33</v>
      </c>
      <c r="U113">
        <v>1</v>
      </c>
      <c r="V113">
        <v>5</v>
      </c>
      <c r="W113">
        <v>85.5</v>
      </c>
      <c r="X113">
        <v>17.100000000000001</v>
      </c>
      <c r="Y113">
        <v>6.24</v>
      </c>
      <c r="AA113" t="s">
        <v>42</v>
      </c>
      <c r="AD113">
        <v>0</v>
      </c>
      <c r="AE113">
        <v>2</v>
      </c>
      <c r="AF113" t="s">
        <v>34</v>
      </c>
      <c r="AG113">
        <v>29</v>
      </c>
      <c r="AH113">
        <v>162</v>
      </c>
      <c r="AI113">
        <v>69</v>
      </c>
      <c r="AJ113" t="s">
        <v>44</v>
      </c>
      <c r="AK113">
        <v>41.1</v>
      </c>
      <c r="AL113">
        <v>8.41</v>
      </c>
      <c r="AM113">
        <v>0.54</v>
      </c>
      <c r="AN113">
        <v>92.14</v>
      </c>
    </row>
    <row r="114" spans="14:40" x14ac:dyDescent="0.3">
      <c r="N114" t="s">
        <v>281</v>
      </c>
      <c r="O114" t="s">
        <v>37</v>
      </c>
      <c r="P114" t="s">
        <v>38</v>
      </c>
      <c r="Q114" t="s">
        <v>282</v>
      </c>
      <c r="R114" t="s">
        <v>51</v>
      </c>
      <c r="S114" t="s">
        <v>41</v>
      </c>
      <c r="T114">
        <v>46</v>
      </c>
      <c r="U114">
        <v>1</v>
      </c>
      <c r="V114">
        <v>3</v>
      </c>
      <c r="W114">
        <v>72.099999999999994</v>
      </c>
      <c r="X114">
        <v>12.8</v>
      </c>
      <c r="Y114">
        <v>13.96</v>
      </c>
      <c r="AA114" t="s">
        <v>33</v>
      </c>
      <c r="AD114">
        <v>0</v>
      </c>
      <c r="AE114">
        <v>2</v>
      </c>
      <c r="AF114" t="s">
        <v>61</v>
      </c>
      <c r="AG114">
        <v>20</v>
      </c>
      <c r="AH114">
        <v>195</v>
      </c>
      <c r="AI114">
        <v>80</v>
      </c>
      <c r="AJ114" t="s">
        <v>48</v>
      </c>
      <c r="AK114">
        <v>43.2</v>
      </c>
      <c r="AL114">
        <v>7.43</v>
      </c>
      <c r="AM114">
        <v>0.54</v>
      </c>
      <c r="AN114">
        <v>85.64</v>
      </c>
    </row>
    <row r="115" spans="14:40" x14ac:dyDescent="0.3">
      <c r="N115" t="s">
        <v>283</v>
      </c>
      <c r="O115" t="s">
        <v>37</v>
      </c>
      <c r="P115" t="s">
        <v>29</v>
      </c>
      <c r="Q115" t="s">
        <v>284</v>
      </c>
      <c r="R115" t="s">
        <v>51</v>
      </c>
      <c r="S115" t="s">
        <v>32</v>
      </c>
      <c r="T115">
        <v>28</v>
      </c>
      <c r="U115">
        <v>0</v>
      </c>
      <c r="V115">
        <v>5</v>
      </c>
      <c r="W115">
        <v>85.09</v>
      </c>
      <c r="X115">
        <v>17.100000000000001</v>
      </c>
      <c r="Y115">
        <v>10.95</v>
      </c>
      <c r="Z115" s="1">
        <v>44951</v>
      </c>
      <c r="AA115" t="s">
        <v>43</v>
      </c>
      <c r="AD115">
        <v>0</v>
      </c>
      <c r="AE115">
        <v>0</v>
      </c>
      <c r="AF115" t="s">
        <v>43</v>
      </c>
      <c r="AG115">
        <v>39</v>
      </c>
      <c r="AH115">
        <v>163</v>
      </c>
      <c r="AI115">
        <v>64</v>
      </c>
      <c r="AJ115" t="s">
        <v>44</v>
      </c>
      <c r="AK115">
        <v>50.2</v>
      </c>
      <c r="AL115">
        <v>8.59</v>
      </c>
      <c r="AM115">
        <v>0.68</v>
      </c>
      <c r="AN115">
        <v>72.05</v>
      </c>
    </row>
    <row r="116" spans="14:40" x14ac:dyDescent="0.3">
      <c r="N116" t="s">
        <v>285</v>
      </c>
      <c r="O116" t="s">
        <v>64</v>
      </c>
      <c r="P116" t="s">
        <v>38</v>
      </c>
      <c r="Q116" t="s">
        <v>286</v>
      </c>
      <c r="R116" t="s">
        <v>40</v>
      </c>
      <c r="S116" t="s">
        <v>41</v>
      </c>
      <c r="T116">
        <v>34</v>
      </c>
      <c r="U116">
        <v>1</v>
      </c>
      <c r="V116">
        <v>6</v>
      </c>
      <c r="W116">
        <v>92.99</v>
      </c>
      <c r="X116">
        <v>19.3</v>
      </c>
      <c r="Y116">
        <v>11.17</v>
      </c>
      <c r="AA116" t="s">
        <v>47</v>
      </c>
      <c r="AD116">
        <v>0</v>
      </c>
      <c r="AE116">
        <v>0</v>
      </c>
      <c r="AF116" t="s">
        <v>61</v>
      </c>
      <c r="AG116">
        <v>23</v>
      </c>
      <c r="AH116">
        <v>173</v>
      </c>
      <c r="AI116">
        <v>61</v>
      </c>
      <c r="AJ116" t="s">
        <v>53</v>
      </c>
      <c r="AK116">
        <v>64.099999999999994</v>
      </c>
      <c r="AL116">
        <v>6.49</v>
      </c>
      <c r="AM116">
        <v>1.37</v>
      </c>
      <c r="AN116">
        <v>81.13</v>
      </c>
    </row>
    <row r="117" spans="14:40" x14ac:dyDescent="0.3">
      <c r="N117" t="s">
        <v>287</v>
      </c>
      <c r="O117" t="s">
        <v>68</v>
      </c>
      <c r="P117" t="s">
        <v>38</v>
      </c>
      <c r="Q117" t="s">
        <v>288</v>
      </c>
      <c r="R117" t="s">
        <v>75</v>
      </c>
      <c r="S117" t="s">
        <v>32</v>
      </c>
      <c r="T117">
        <v>61</v>
      </c>
      <c r="U117">
        <v>4</v>
      </c>
      <c r="V117">
        <v>0</v>
      </c>
      <c r="W117">
        <v>53.15</v>
      </c>
      <c r="X117">
        <v>6.2</v>
      </c>
      <c r="Y117">
        <v>11.13</v>
      </c>
      <c r="Z117" s="1">
        <v>45194</v>
      </c>
      <c r="AA117" t="s">
        <v>43</v>
      </c>
      <c r="AC117">
        <v>35</v>
      </c>
      <c r="AD117">
        <v>0</v>
      </c>
      <c r="AE117">
        <v>1</v>
      </c>
      <c r="AF117" t="s">
        <v>61</v>
      </c>
      <c r="AG117">
        <v>19</v>
      </c>
      <c r="AH117">
        <v>184</v>
      </c>
      <c r="AI117">
        <v>81</v>
      </c>
      <c r="AJ117" t="s">
        <v>44</v>
      </c>
      <c r="AK117">
        <v>57.2</v>
      </c>
      <c r="AL117">
        <v>9.5500000000000007</v>
      </c>
      <c r="AM117">
        <v>0.78</v>
      </c>
      <c r="AN117">
        <v>97.62</v>
      </c>
    </row>
    <row r="118" spans="14:40" x14ac:dyDescent="0.3">
      <c r="N118" t="s">
        <v>289</v>
      </c>
      <c r="O118" t="s">
        <v>37</v>
      </c>
      <c r="P118" t="s">
        <v>65</v>
      </c>
      <c r="Q118" t="s">
        <v>290</v>
      </c>
      <c r="R118" t="s">
        <v>94</v>
      </c>
      <c r="S118" t="s">
        <v>32</v>
      </c>
      <c r="T118">
        <v>70</v>
      </c>
      <c r="U118">
        <v>2</v>
      </c>
      <c r="V118">
        <v>0</v>
      </c>
      <c r="W118">
        <v>53.07</v>
      </c>
      <c r="X118">
        <v>6.1</v>
      </c>
      <c r="Y118">
        <v>7.99</v>
      </c>
      <c r="AA118" t="s">
        <v>43</v>
      </c>
      <c r="AD118">
        <v>0</v>
      </c>
      <c r="AE118">
        <v>4</v>
      </c>
      <c r="AF118" t="s">
        <v>43</v>
      </c>
      <c r="AG118">
        <v>29</v>
      </c>
      <c r="AH118">
        <v>169</v>
      </c>
      <c r="AI118">
        <v>61</v>
      </c>
      <c r="AJ118" t="s">
        <v>48</v>
      </c>
      <c r="AK118">
        <v>55.4</v>
      </c>
      <c r="AL118">
        <v>8.01</v>
      </c>
      <c r="AM118">
        <v>1.45</v>
      </c>
      <c r="AN118">
        <v>87.53</v>
      </c>
    </row>
    <row r="119" spans="14:40" x14ac:dyDescent="0.3">
      <c r="N119" t="s">
        <v>291</v>
      </c>
      <c r="O119" t="s">
        <v>68</v>
      </c>
      <c r="P119" t="s">
        <v>38</v>
      </c>
      <c r="Q119" t="s">
        <v>292</v>
      </c>
      <c r="R119" t="s">
        <v>75</v>
      </c>
      <c r="S119" t="s">
        <v>32</v>
      </c>
      <c r="T119">
        <v>82</v>
      </c>
      <c r="U119">
        <v>0</v>
      </c>
      <c r="V119">
        <v>6</v>
      </c>
      <c r="W119">
        <v>92.93</v>
      </c>
      <c r="X119">
        <v>19.3</v>
      </c>
      <c r="Y119">
        <v>14.35</v>
      </c>
      <c r="AA119" t="s">
        <v>33</v>
      </c>
      <c r="AC119">
        <v>81</v>
      </c>
      <c r="AD119">
        <v>0</v>
      </c>
      <c r="AE119">
        <v>4</v>
      </c>
      <c r="AF119" t="s">
        <v>61</v>
      </c>
      <c r="AG119">
        <v>19</v>
      </c>
      <c r="AH119">
        <v>180</v>
      </c>
      <c r="AI119">
        <v>69</v>
      </c>
      <c r="AJ119" t="s">
        <v>35</v>
      </c>
      <c r="AK119">
        <v>48.8</v>
      </c>
      <c r="AL119">
        <v>7.8</v>
      </c>
      <c r="AM119">
        <v>1.08</v>
      </c>
      <c r="AN119">
        <v>86.15</v>
      </c>
    </row>
    <row r="120" spans="14:40" x14ac:dyDescent="0.3">
      <c r="N120" t="s">
        <v>293</v>
      </c>
      <c r="O120" t="s">
        <v>64</v>
      </c>
      <c r="P120" t="s">
        <v>29</v>
      </c>
      <c r="Q120" t="s">
        <v>294</v>
      </c>
      <c r="R120" t="s">
        <v>94</v>
      </c>
      <c r="S120" t="s">
        <v>32</v>
      </c>
      <c r="T120">
        <v>71</v>
      </c>
      <c r="U120">
        <v>1</v>
      </c>
      <c r="V120">
        <v>5</v>
      </c>
      <c r="W120">
        <v>84.82</v>
      </c>
      <c r="X120">
        <v>17</v>
      </c>
      <c r="Y120">
        <v>14.47</v>
      </c>
      <c r="AA120" t="s">
        <v>33</v>
      </c>
      <c r="AB120" s="1">
        <v>44931</v>
      </c>
      <c r="AD120">
        <v>1</v>
      </c>
      <c r="AE120">
        <v>4</v>
      </c>
      <c r="AF120" t="s">
        <v>61</v>
      </c>
      <c r="AG120">
        <v>23</v>
      </c>
      <c r="AH120">
        <v>195</v>
      </c>
      <c r="AI120">
        <v>93</v>
      </c>
      <c r="AJ120" t="s">
        <v>70</v>
      </c>
      <c r="AK120">
        <v>68</v>
      </c>
      <c r="AL120">
        <v>8.34</v>
      </c>
      <c r="AM120">
        <v>0.94</v>
      </c>
      <c r="AN120">
        <v>78.069999999999993</v>
      </c>
    </row>
    <row r="121" spans="14:40" x14ac:dyDescent="0.3">
      <c r="N121" t="s">
        <v>295</v>
      </c>
      <c r="O121" t="s">
        <v>64</v>
      </c>
      <c r="P121" t="s">
        <v>38</v>
      </c>
      <c r="Q121" t="s">
        <v>296</v>
      </c>
      <c r="R121" t="s">
        <v>75</v>
      </c>
      <c r="S121" t="s">
        <v>41</v>
      </c>
      <c r="T121">
        <v>23</v>
      </c>
      <c r="U121">
        <v>0</v>
      </c>
      <c r="V121">
        <v>6</v>
      </c>
      <c r="W121">
        <v>92.72</v>
      </c>
      <c r="X121">
        <v>19.3</v>
      </c>
      <c r="Y121">
        <v>11.25</v>
      </c>
      <c r="Z121" s="1">
        <v>45034</v>
      </c>
      <c r="AA121" t="s">
        <v>43</v>
      </c>
      <c r="AB121" s="1">
        <v>44986</v>
      </c>
      <c r="AD121">
        <v>0</v>
      </c>
      <c r="AE121">
        <v>1</v>
      </c>
      <c r="AF121" t="s">
        <v>43</v>
      </c>
      <c r="AG121">
        <v>34</v>
      </c>
      <c r="AH121">
        <v>171</v>
      </c>
      <c r="AI121">
        <v>75</v>
      </c>
      <c r="AJ121" t="s">
        <v>48</v>
      </c>
      <c r="AK121">
        <v>51.9</v>
      </c>
      <c r="AL121">
        <v>8.5</v>
      </c>
      <c r="AM121">
        <v>1.08</v>
      </c>
      <c r="AN121">
        <v>81.05</v>
      </c>
    </row>
    <row r="122" spans="14:40" x14ac:dyDescent="0.3">
      <c r="N122" t="s">
        <v>297</v>
      </c>
      <c r="O122" t="s">
        <v>64</v>
      </c>
      <c r="P122" t="s">
        <v>38</v>
      </c>
      <c r="Q122" t="s">
        <v>298</v>
      </c>
      <c r="R122" t="s">
        <v>40</v>
      </c>
      <c r="S122" t="s">
        <v>41</v>
      </c>
      <c r="T122">
        <v>42</v>
      </c>
      <c r="U122">
        <v>0</v>
      </c>
      <c r="V122">
        <v>2</v>
      </c>
      <c r="W122">
        <v>67.28</v>
      </c>
      <c r="X122">
        <v>10.6</v>
      </c>
      <c r="Y122">
        <v>12.83</v>
      </c>
      <c r="AA122" t="s">
        <v>42</v>
      </c>
      <c r="AD122">
        <v>0</v>
      </c>
      <c r="AE122">
        <v>4</v>
      </c>
      <c r="AF122" t="s">
        <v>61</v>
      </c>
      <c r="AG122">
        <v>20</v>
      </c>
      <c r="AH122">
        <v>186</v>
      </c>
      <c r="AI122">
        <v>98</v>
      </c>
      <c r="AJ122" t="s">
        <v>44</v>
      </c>
      <c r="AK122">
        <v>42.6</v>
      </c>
      <c r="AL122">
        <v>6.29</v>
      </c>
      <c r="AM122">
        <v>1.02</v>
      </c>
      <c r="AN122">
        <v>96.86</v>
      </c>
    </row>
    <row r="123" spans="14:40" x14ac:dyDescent="0.3">
      <c r="N123" t="s">
        <v>299</v>
      </c>
      <c r="O123" t="s">
        <v>64</v>
      </c>
      <c r="P123" t="s">
        <v>38</v>
      </c>
      <c r="Q123" t="s">
        <v>300</v>
      </c>
      <c r="R123" t="s">
        <v>40</v>
      </c>
      <c r="S123" t="s">
        <v>41</v>
      </c>
      <c r="T123">
        <v>34</v>
      </c>
      <c r="U123">
        <v>2</v>
      </c>
      <c r="V123">
        <v>6</v>
      </c>
      <c r="W123">
        <v>91.97</v>
      </c>
      <c r="X123">
        <v>19.3</v>
      </c>
      <c r="Y123">
        <v>11.12</v>
      </c>
      <c r="AA123" t="s">
        <v>42</v>
      </c>
      <c r="AD123">
        <v>0</v>
      </c>
      <c r="AE123">
        <v>4</v>
      </c>
      <c r="AF123" t="s">
        <v>61</v>
      </c>
      <c r="AG123">
        <v>19</v>
      </c>
      <c r="AH123">
        <v>199</v>
      </c>
      <c r="AI123">
        <v>81</v>
      </c>
      <c r="AJ123" t="s">
        <v>53</v>
      </c>
      <c r="AK123">
        <v>58.5</v>
      </c>
      <c r="AL123">
        <v>8.73</v>
      </c>
      <c r="AM123">
        <v>1.26</v>
      </c>
      <c r="AN123">
        <v>89.99</v>
      </c>
    </row>
    <row r="124" spans="14:40" x14ac:dyDescent="0.3">
      <c r="N124" t="s">
        <v>301</v>
      </c>
      <c r="O124" t="s">
        <v>37</v>
      </c>
      <c r="P124" t="s">
        <v>38</v>
      </c>
      <c r="Q124" t="s">
        <v>302</v>
      </c>
      <c r="R124" t="s">
        <v>75</v>
      </c>
      <c r="S124" t="s">
        <v>32</v>
      </c>
      <c r="T124">
        <v>62</v>
      </c>
      <c r="U124">
        <v>4</v>
      </c>
      <c r="V124">
        <v>4</v>
      </c>
      <c r="W124">
        <v>78.489999999999995</v>
      </c>
      <c r="X124">
        <v>14.7</v>
      </c>
      <c r="Y124">
        <v>9.84</v>
      </c>
      <c r="AA124" t="s">
        <v>42</v>
      </c>
      <c r="AD124">
        <v>1</v>
      </c>
      <c r="AE124">
        <v>2</v>
      </c>
      <c r="AF124" t="s">
        <v>34</v>
      </c>
      <c r="AG124">
        <v>37</v>
      </c>
      <c r="AH124">
        <v>161</v>
      </c>
      <c r="AI124">
        <v>71</v>
      </c>
      <c r="AJ124" t="s">
        <v>62</v>
      </c>
      <c r="AK124">
        <v>43.4</v>
      </c>
      <c r="AL124">
        <v>6.97</v>
      </c>
      <c r="AM124">
        <v>0.78</v>
      </c>
      <c r="AN124">
        <v>93.62</v>
      </c>
    </row>
    <row r="125" spans="14:40" x14ac:dyDescent="0.3">
      <c r="N125" t="s">
        <v>303</v>
      </c>
      <c r="O125" t="s">
        <v>28</v>
      </c>
      <c r="P125" t="s">
        <v>38</v>
      </c>
      <c r="Q125" t="s">
        <v>304</v>
      </c>
      <c r="R125" t="s">
        <v>31</v>
      </c>
      <c r="S125" t="s">
        <v>32</v>
      </c>
      <c r="T125">
        <v>48</v>
      </c>
      <c r="U125">
        <v>0</v>
      </c>
      <c r="V125">
        <v>6</v>
      </c>
      <c r="W125">
        <v>91.92</v>
      </c>
      <c r="X125">
        <v>19.3</v>
      </c>
      <c r="Y125">
        <v>11.61</v>
      </c>
      <c r="AA125" t="s">
        <v>42</v>
      </c>
      <c r="AC125">
        <v>57</v>
      </c>
      <c r="AD125">
        <v>0</v>
      </c>
      <c r="AE125">
        <v>0</v>
      </c>
      <c r="AF125" t="s">
        <v>34</v>
      </c>
      <c r="AG125">
        <v>25</v>
      </c>
      <c r="AH125">
        <v>172</v>
      </c>
      <c r="AI125">
        <v>83</v>
      </c>
      <c r="AJ125" t="s">
        <v>35</v>
      </c>
      <c r="AK125">
        <v>50.4</v>
      </c>
      <c r="AL125">
        <v>8.86</v>
      </c>
      <c r="AM125">
        <v>0.85</v>
      </c>
      <c r="AN125">
        <v>83.63</v>
      </c>
    </row>
    <row r="126" spans="14:40" x14ac:dyDescent="0.3">
      <c r="N126" t="s">
        <v>305</v>
      </c>
      <c r="O126" t="s">
        <v>64</v>
      </c>
      <c r="P126" t="s">
        <v>38</v>
      </c>
      <c r="Q126" t="s">
        <v>306</v>
      </c>
      <c r="R126" t="s">
        <v>80</v>
      </c>
      <c r="S126" t="s">
        <v>41</v>
      </c>
      <c r="T126">
        <v>55</v>
      </c>
      <c r="U126">
        <v>1</v>
      </c>
      <c r="V126">
        <v>0</v>
      </c>
      <c r="W126">
        <v>53.02</v>
      </c>
      <c r="X126">
        <v>6.1</v>
      </c>
      <c r="Y126">
        <v>10.53</v>
      </c>
      <c r="AA126" t="s">
        <v>47</v>
      </c>
      <c r="AB126" s="1">
        <v>45051</v>
      </c>
      <c r="AD126">
        <v>0</v>
      </c>
      <c r="AE126">
        <v>0</v>
      </c>
      <c r="AF126" t="s">
        <v>61</v>
      </c>
      <c r="AG126">
        <v>39</v>
      </c>
      <c r="AH126">
        <v>191</v>
      </c>
      <c r="AI126">
        <v>99</v>
      </c>
      <c r="AJ126" t="s">
        <v>35</v>
      </c>
      <c r="AK126">
        <v>55.2</v>
      </c>
      <c r="AL126">
        <v>9.2899999999999991</v>
      </c>
      <c r="AM126">
        <v>1.39</v>
      </c>
      <c r="AN126">
        <v>88.91</v>
      </c>
    </row>
    <row r="127" spans="14:40" x14ac:dyDescent="0.3">
      <c r="N127" t="s">
        <v>307</v>
      </c>
      <c r="O127" t="s">
        <v>64</v>
      </c>
      <c r="P127" t="s">
        <v>38</v>
      </c>
      <c r="Q127" t="s">
        <v>308</v>
      </c>
      <c r="R127" t="s">
        <v>80</v>
      </c>
      <c r="S127" t="s">
        <v>32</v>
      </c>
      <c r="T127">
        <v>32</v>
      </c>
      <c r="U127">
        <v>3</v>
      </c>
      <c r="V127">
        <v>4</v>
      </c>
      <c r="W127">
        <v>78.34</v>
      </c>
      <c r="X127">
        <v>14.6</v>
      </c>
      <c r="Y127">
        <v>10.97</v>
      </c>
      <c r="AA127" t="s">
        <v>33</v>
      </c>
      <c r="AC127">
        <v>75</v>
      </c>
      <c r="AD127">
        <v>1</v>
      </c>
      <c r="AE127">
        <v>2</v>
      </c>
      <c r="AF127" t="s">
        <v>61</v>
      </c>
      <c r="AG127">
        <v>29</v>
      </c>
      <c r="AH127">
        <v>190</v>
      </c>
      <c r="AI127">
        <v>97</v>
      </c>
      <c r="AJ127" t="s">
        <v>44</v>
      </c>
      <c r="AK127">
        <v>66.2</v>
      </c>
      <c r="AL127">
        <v>9.2200000000000006</v>
      </c>
      <c r="AM127">
        <v>1.45</v>
      </c>
      <c r="AN127">
        <v>77.45</v>
      </c>
    </row>
    <row r="128" spans="14:40" x14ac:dyDescent="0.3">
      <c r="N128" t="s">
        <v>309</v>
      </c>
      <c r="O128" t="s">
        <v>68</v>
      </c>
      <c r="P128" t="s">
        <v>38</v>
      </c>
      <c r="Q128" t="s">
        <v>310</v>
      </c>
      <c r="R128" t="s">
        <v>51</v>
      </c>
      <c r="S128" t="s">
        <v>32</v>
      </c>
      <c r="T128">
        <v>51</v>
      </c>
      <c r="U128">
        <v>0</v>
      </c>
      <c r="V128">
        <v>0</v>
      </c>
      <c r="W128">
        <v>52.92</v>
      </c>
      <c r="X128">
        <v>6.1</v>
      </c>
      <c r="Y128">
        <v>12.84</v>
      </c>
      <c r="AA128" t="s">
        <v>42</v>
      </c>
      <c r="AC128">
        <v>79</v>
      </c>
      <c r="AD128">
        <v>0</v>
      </c>
      <c r="AE128">
        <v>2</v>
      </c>
      <c r="AF128" t="s">
        <v>43</v>
      </c>
      <c r="AG128">
        <v>21</v>
      </c>
      <c r="AH128">
        <v>175</v>
      </c>
      <c r="AI128">
        <v>69</v>
      </c>
      <c r="AJ128" t="s">
        <v>53</v>
      </c>
      <c r="AK128">
        <v>54.8</v>
      </c>
      <c r="AL128">
        <v>8.2100000000000009</v>
      </c>
      <c r="AM128">
        <v>1.39</v>
      </c>
      <c r="AN128">
        <v>91.16</v>
      </c>
    </row>
    <row r="129" spans="14:40" x14ac:dyDescent="0.3">
      <c r="N129" t="s">
        <v>311</v>
      </c>
      <c r="O129" t="s">
        <v>28</v>
      </c>
      <c r="P129" t="s">
        <v>29</v>
      </c>
      <c r="Q129" t="s">
        <v>312</v>
      </c>
      <c r="R129" t="s">
        <v>80</v>
      </c>
      <c r="S129" t="s">
        <v>32</v>
      </c>
      <c r="T129">
        <v>90</v>
      </c>
      <c r="U129">
        <v>0</v>
      </c>
      <c r="V129">
        <v>1</v>
      </c>
      <c r="W129">
        <v>58.51</v>
      </c>
      <c r="X129">
        <v>7.7</v>
      </c>
      <c r="Y129">
        <v>9.81</v>
      </c>
      <c r="AA129" t="s">
        <v>47</v>
      </c>
      <c r="AD129">
        <v>0</v>
      </c>
      <c r="AE129">
        <v>2</v>
      </c>
      <c r="AF129" t="s">
        <v>43</v>
      </c>
      <c r="AG129">
        <v>22</v>
      </c>
      <c r="AH129">
        <v>191</v>
      </c>
      <c r="AI129">
        <v>94</v>
      </c>
      <c r="AJ129" t="s">
        <v>44</v>
      </c>
      <c r="AK129">
        <v>61.1</v>
      </c>
      <c r="AL129">
        <v>8.08</v>
      </c>
      <c r="AM129">
        <v>0.92</v>
      </c>
      <c r="AN129">
        <v>82.83</v>
      </c>
    </row>
    <row r="130" spans="14:40" x14ac:dyDescent="0.3">
      <c r="N130" t="s">
        <v>313</v>
      </c>
      <c r="O130" t="s">
        <v>68</v>
      </c>
      <c r="P130" t="s">
        <v>38</v>
      </c>
      <c r="Q130" t="s">
        <v>314</v>
      </c>
      <c r="R130" t="s">
        <v>51</v>
      </c>
      <c r="S130" t="s">
        <v>41</v>
      </c>
      <c r="T130">
        <v>78</v>
      </c>
      <c r="U130">
        <v>2</v>
      </c>
      <c r="V130">
        <v>3</v>
      </c>
      <c r="W130">
        <v>71.819999999999993</v>
      </c>
      <c r="X130">
        <v>12.8</v>
      </c>
      <c r="Y130">
        <v>5.41</v>
      </c>
      <c r="AA130" t="s">
        <v>43</v>
      </c>
      <c r="AB130" s="1">
        <v>45133</v>
      </c>
      <c r="AC130">
        <v>37</v>
      </c>
      <c r="AD130">
        <v>0</v>
      </c>
      <c r="AE130">
        <v>0</v>
      </c>
      <c r="AF130" t="s">
        <v>61</v>
      </c>
      <c r="AG130">
        <v>30</v>
      </c>
      <c r="AH130">
        <v>191</v>
      </c>
      <c r="AI130">
        <v>91</v>
      </c>
      <c r="AJ130" t="s">
        <v>62</v>
      </c>
      <c r="AK130">
        <v>69.8</v>
      </c>
      <c r="AL130">
        <v>6.57</v>
      </c>
      <c r="AM130">
        <v>1.28</v>
      </c>
      <c r="AN130">
        <v>83.28</v>
      </c>
    </row>
    <row r="131" spans="14:40" x14ac:dyDescent="0.3">
      <c r="N131" t="s">
        <v>315</v>
      </c>
      <c r="O131" t="s">
        <v>64</v>
      </c>
      <c r="P131" t="s">
        <v>65</v>
      </c>
      <c r="Q131" t="s">
        <v>316</v>
      </c>
      <c r="R131" t="s">
        <v>40</v>
      </c>
      <c r="S131" t="s">
        <v>32</v>
      </c>
      <c r="T131">
        <v>47</v>
      </c>
      <c r="U131">
        <v>4</v>
      </c>
      <c r="V131">
        <v>0</v>
      </c>
      <c r="W131">
        <v>52.77</v>
      </c>
      <c r="X131">
        <v>6.1</v>
      </c>
      <c r="Y131">
        <v>6.64</v>
      </c>
      <c r="Z131" s="1">
        <v>45121</v>
      </c>
      <c r="AA131" t="s">
        <v>33</v>
      </c>
      <c r="AC131">
        <v>35</v>
      </c>
      <c r="AD131">
        <v>0</v>
      </c>
      <c r="AE131">
        <v>4</v>
      </c>
      <c r="AF131" t="s">
        <v>43</v>
      </c>
      <c r="AG131">
        <v>32</v>
      </c>
      <c r="AH131">
        <v>193</v>
      </c>
      <c r="AI131">
        <v>66</v>
      </c>
      <c r="AJ131" t="s">
        <v>70</v>
      </c>
      <c r="AK131">
        <v>43.9</v>
      </c>
      <c r="AL131">
        <v>9.1</v>
      </c>
      <c r="AM131">
        <v>0.98</v>
      </c>
      <c r="AN131">
        <v>89.48</v>
      </c>
    </row>
    <row r="132" spans="14:40" x14ac:dyDescent="0.3">
      <c r="N132" t="s">
        <v>317</v>
      </c>
      <c r="O132" t="s">
        <v>28</v>
      </c>
      <c r="P132" t="s">
        <v>38</v>
      </c>
      <c r="Q132" t="s">
        <v>318</v>
      </c>
      <c r="R132" t="s">
        <v>80</v>
      </c>
      <c r="S132" t="s">
        <v>41</v>
      </c>
      <c r="T132">
        <v>85</v>
      </c>
      <c r="U132">
        <v>3</v>
      </c>
      <c r="V132">
        <v>4</v>
      </c>
      <c r="W132">
        <v>78.05</v>
      </c>
      <c r="X132">
        <v>14.6</v>
      </c>
      <c r="Y132">
        <v>9.39</v>
      </c>
      <c r="AA132" t="s">
        <v>33</v>
      </c>
      <c r="AD132">
        <v>0</v>
      </c>
      <c r="AE132">
        <v>2</v>
      </c>
      <c r="AF132" t="s">
        <v>52</v>
      </c>
      <c r="AG132">
        <v>33</v>
      </c>
      <c r="AH132">
        <v>170</v>
      </c>
      <c r="AI132">
        <v>80</v>
      </c>
      <c r="AJ132" t="s">
        <v>48</v>
      </c>
      <c r="AK132">
        <v>48.2</v>
      </c>
      <c r="AL132">
        <v>7.09</v>
      </c>
      <c r="AM132">
        <v>1</v>
      </c>
      <c r="AN132">
        <v>98.09</v>
      </c>
    </row>
    <row r="133" spans="14:40" x14ac:dyDescent="0.3">
      <c r="N133" t="s">
        <v>319</v>
      </c>
      <c r="O133" t="s">
        <v>68</v>
      </c>
      <c r="P133" t="s">
        <v>29</v>
      </c>
      <c r="Q133" t="s">
        <v>320</v>
      </c>
      <c r="R133" t="s">
        <v>56</v>
      </c>
      <c r="S133" t="s">
        <v>32</v>
      </c>
      <c r="T133">
        <v>61</v>
      </c>
      <c r="U133">
        <v>1</v>
      </c>
      <c r="V133">
        <v>1</v>
      </c>
      <c r="W133">
        <v>58.35</v>
      </c>
      <c r="X133">
        <v>7.6</v>
      </c>
      <c r="Y133">
        <v>12.25</v>
      </c>
      <c r="Z133" s="1">
        <v>44975</v>
      </c>
      <c r="AA133" t="s">
        <v>47</v>
      </c>
      <c r="AC133">
        <v>34</v>
      </c>
      <c r="AD133">
        <v>0</v>
      </c>
      <c r="AE133">
        <v>1</v>
      </c>
      <c r="AF133" t="s">
        <v>61</v>
      </c>
      <c r="AG133">
        <v>27</v>
      </c>
      <c r="AH133">
        <v>169</v>
      </c>
      <c r="AI133">
        <v>79</v>
      </c>
      <c r="AJ133" t="s">
        <v>44</v>
      </c>
      <c r="AK133">
        <v>51.8</v>
      </c>
      <c r="AL133">
        <v>7.99</v>
      </c>
      <c r="AM133">
        <v>0.7</v>
      </c>
      <c r="AN133">
        <v>71.92</v>
      </c>
    </row>
    <row r="134" spans="14:40" x14ac:dyDescent="0.3">
      <c r="N134" t="s">
        <v>321</v>
      </c>
      <c r="O134" t="s">
        <v>28</v>
      </c>
      <c r="P134" t="s">
        <v>65</v>
      </c>
      <c r="Q134" t="s">
        <v>322</v>
      </c>
      <c r="R134" t="s">
        <v>80</v>
      </c>
      <c r="S134" t="s">
        <v>41</v>
      </c>
      <c r="T134">
        <v>64</v>
      </c>
      <c r="U134">
        <v>3</v>
      </c>
      <c r="V134">
        <v>0</v>
      </c>
      <c r="W134">
        <v>52.47</v>
      </c>
      <c r="X134">
        <v>6</v>
      </c>
      <c r="Y134">
        <v>10.93</v>
      </c>
      <c r="AA134" t="s">
        <v>47</v>
      </c>
      <c r="AB134" s="1">
        <v>45074</v>
      </c>
      <c r="AC134">
        <v>21</v>
      </c>
      <c r="AD134">
        <v>1</v>
      </c>
      <c r="AE134">
        <v>2</v>
      </c>
      <c r="AF134" t="s">
        <v>43</v>
      </c>
      <c r="AG134">
        <v>33</v>
      </c>
      <c r="AH134">
        <v>174</v>
      </c>
      <c r="AI134">
        <v>85</v>
      </c>
      <c r="AJ134" t="s">
        <v>48</v>
      </c>
      <c r="AK134">
        <v>52.7</v>
      </c>
      <c r="AL134">
        <v>7.14</v>
      </c>
      <c r="AM134">
        <v>1.0900000000000001</v>
      </c>
      <c r="AN134">
        <v>94.74</v>
      </c>
    </row>
    <row r="135" spans="14:40" x14ac:dyDescent="0.3">
      <c r="N135" t="s">
        <v>323</v>
      </c>
      <c r="O135" t="s">
        <v>64</v>
      </c>
      <c r="P135" t="s">
        <v>65</v>
      </c>
      <c r="Q135" t="s">
        <v>324</v>
      </c>
      <c r="R135" t="s">
        <v>94</v>
      </c>
      <c r="S135" t="s">
        <v>41</v>
      </c>
      <c r="T135">
        <v>81</v>
      </c>
      <c r="U135">
        <v>1</v>
      </c>
      <c r="V135">
        <v>2</v>
      </c>
      <c r="W135">
        <v>66.95</v>
      </c>
      <c r="X135">
        <v>10.6</v>
      </c>
      <c r="Y135">
        <v>11.5</v>
      </c>
      <c r="AA135" t="s">
        <v>42</v>
      </c>
      <c r="AD135">
        <v>1</v>
      </c>
      <c r="AE135">
        <v>3</v>
      </c>
      <c r="AF135" t="s">
        <v>43</v>
      </c>
      <c r="AG135">
        <v>29</v>
      </c>
      <c r="AH135">
        <v>176</v>
      </c>
      <c r="AI135">
        <v>63</v>
      </c>
      <c r="AJ135" t="s">
        <v>35</v>
      </c>
      <c r="AK135">
        <v>52.3</v>
      </c>
      <c r="AL135">
        <v>6.54</v>
      </c>
      <c r="AM135">
        <v>0.69</v>
      </c>
      <c r="AN135">
        <v>78.77</v>
      </c>
    </row>
    <row r="136" spans="14:40" x14ac:dyDescent="0.3">
      <c r="N136" t="s">
        <v>325</v>
      </c>
      <c r="O136" t="s">
        <v>37</v>
      </c>
      <c r="P136" t="s">
        <v>38</v>
      </c>
      <c r="Q136" t="s">
        <v>326</v>
      </c>
      <c r="R136" t="s">
        <v>94</v>
      </c>
      <c r="S136" t="s">
        <v>41</v>
      </c>
      <c r="T136">
        <v>76</v>
      </c>
      <c r="U136">
        <v>4</v>
      </c>
      <c r="V136">
        <v>6</v>
      </c>
      <c r="W136">
        <v>91.85</v>
      </c>
      <c r="X136">
        <v>19.2</v>
      </c>
      <c r="Y136">
        <v>9.7899999999999991</v>
      </c>
      <c r="AA136" t="s">
        <v>42</v>
      </c>
      <c r="AD136">
        <v>0</v>
      </c>
      <c r="AE136">
        <v>2</v>
      </c>
      <c r="AF136" t="s">
        <v>34</v>
      </c>
      <c r="AG136">
        <v>34</v>
      </c>
      <c r="AH136">
        <v>199</v>
      </c>
      <c r="AI136">
        <v>81</v>
      </c>
      <c r="AJ136" t="s">
        <v>70</v>
      </c>
      <c r="AK136">
        <v>67.2</v>
      </c>
      <c r="AL136">
        <v>8.52</v>
      </c>
      <c r="AM136">
        <v>0.83</v>
      </c>
      <c r="AN136">
        <v>83.32</v>
      </c>
    </row>
    <row r="137" spans="14:40" x14ac:dyDescent="0.3">
      <c r="N137" t="s">
        <v>327</v>
      </c>
      <c r="O137" t="s">
        <v>28</v>
      </c>
      <c r="P137" t="s">
        <v>65</v>
      </c>
      <c r="Q137" t="s">
        <v>328</v>
      </c>
      <c r="R137" t="s">
        <v>75</v>
      </c>
      <c r="S137" t="s">
        <v>32</v>
      </c>
      <c r="T137">
        <v>25</v>
      </c>
      <c r="U137">
        <v>1</v>
      </c>
      <c r="V137">
        <v>3</v>
      </c>
      <c r="W137">
        <v>71.77</v>
      </c>
      <c r="X137">
        <v>12.8</v>
      </c>
      <c r="Y137">
        <v>11.16</v>
      </c>
      <c r="AA137" t="s">
        <v>47</v>
      </c>
      <c r="AC137">
        <v>14</v>
      </c>
      <c r="AD137">
        <v>0</v>
      </c>
      <c r="AE137">
        <v>0</v>
      </c>
      <c r="AF137" t="s">
        <v>61</v>
      </c>
      <c r="AG137">
        <v>33</v>
      </c>
      <c r="AH137">
        <v>177</v>
      </c>
      <c r="AI137">
        <v>74</v>
      </c>
      <c r="AJ137" t="s">
        <v>62</v>
      </c>
      <c r="AK137">
        <v>61.4</v>
      </c>
      <c r="AL137">
        <v>6.22</v>
      </c>
      <c r="AM137">
        <v>1.36</v>
      </c>
      <c r="AN137">
        <v>70.66</v>
      </c>
    </row>
    <row r="138" spans="14:40" x14ac:dyDescent="0.3">
      <c r="N138" t="s">
        <v>329</v>
      </c>
      <c r="O138" t="s">
        <v>28</v>
      </c>
      <c r="P138" t="s">
        <v>29</v>
      </c>
      <c r="Q138" t="s">
        <v>330</v>
      </c>
      <c r="R138" t="s">
        <v>75</v>
      </c>
      <c r="S138" t="s">
        <v>32</v>
      </c>
      <c r="T138">
        <v>47</v>
      </c>
      <c r="U138">
        <v>2</v>
      </c>
      <c r="V138">
        <v>0</v>
      </c>
      <c r="W138">
        <v>52.37</v>
      </c>
      <c r="X138">
        <v>5.9</v>
      </c>
      <c r="Y138">
        <v>8.2899999999999991</v>
      </c>
      <c r="AA138" t="s">
        <v>47</v>
      </c>
      <c r="AB138" s="1">
        <v>45186</v>
      </c>
      <c r="AD138">
        <v>0</v>
      </c>
      <c r="AE138">
        <v>2</v>
      </c>
      <c r="AF138" t="s">
        <v>52</v>
      </c>
      <c r="AG138">
        <v>29</v>
      </c>
      <c r="AH138">
        <v>168</v>
      </c>
      <c r="AI138">
        <v>99</v>
      </c>
      <c r="AJ138" t="s">
        <v>35</v>
      </c>
      <c r="AK138">
        <v>58.2</v>
      </c>
      <c r="AL138">
        <v>8.99</v>
      </c>
      <c r="AM138">
        <v>0.71</v>
      </c>
      <c r="AN138">
        <v>79.03</v>
      </c>
    </row>
    <row r="139" spans="14:40" x14ac:dyDescent="0.3">
      <c r="N139" t="s">
        <v>331</v>
      </c>
      <c r="O139" t="s">
        <v>37</v>
      </c>
      <c r="P139" t="s">
        <v>29</v>
      </c>
      <c r="Q139" t="s">
        <v>332</v>
      </c>
      <c r="R139" t="s">
        <v>56</v>
      </c>
      <c r="S139" t="s">
        <v>41</v>
      </c>
      <c r="T139">
        <v>47</v>
      </c>
      <c r="U139">
        <v>2</v>
      </c>
      <c r="V139">
        <v>1</v>
      </c>
      <c r="W139">
        <v>58.3</v>
      </c>
      <c r="X139">
        <v>7.6</v>
      </c>
      <c r="Y139">
        <v>9.6999999999999993</v>
      </c>
      <c r="AA139" t="s">
        <v>33</v>
      </c>
      <c r="AD139">
        <v>1</v>
      </c>
      <c r="AE139">
        <v>3</v>
      </c>
      <c r="AF139" t="s">
        <v>52</v>
      </c>
      <c r="AG139">
        <v>25</v>
      </c>
      <c r="AH139">
        <v>184</v>
      </c>
      <c r="AI139">
        <v>80</v>
      </c>
      <c r="AJ139" t="s">
        <v>53</v>
      </c>
      <c r="AK139">
        <v>49.3</v>
      </c>
      <c r="AL139">
        <v>7.27</v>
      </c>
      <c r="AM139">
        <v>0.56999999999999995</v>
      </c>
      <c r="AN139">
        <v>85.08</v>
      </c>
    </row>
    <row r="140" spans="14:40" x14ac:dyDescent="0.3">
      <c r="N140" t="s">
        <v>333</v>
      </c>
      <c r="O140" t="s">
        <v>37</v>
      </c>
      <c r="P140" t="s">
        <v>38</v>
      </c>
      <c r="Q140" t="s">
        <v>334</v>
      </c>
      <c r="R140" t="s">
        <v>75</v>
      </c>
      <c r="S140" t="s">
        <v>41</v>
      </c>
      <c r="T140">
        <v>63</v>
      </c>
      <c r="U140">
        <v>2</v>
      </c>
      <c r="V140">
        <v>2</v>
      </c>
      <c r="W140">
        <v>66.41</v>
      </c>
      <c r="X140">
        <v>10.6</v>
      </c>
      <c r="Y140">
        <v>12.44</v>
      </c>
      <c r="AA140" t="s">
        <v>47</v>
      </c>
      <c r="AD140">
        <v>1</v>
      </c>
      <c r="AE140">
        <v>1</v>
      </c>
      <c r="AF140" t="s">
        <v>52</v>
      </c>
      <c r="AG140">
        <v>37</v>
      </c>
      <c r="AH140">
        <v>199</v>
      </c>
      <c r="AI140">
        <v>74</v>
      </c>
      <c r="AJ140" t="s">
        <v>44</v>
      </c>
      <c r="AK140">
        <v>64.7</v>
      </c>
      <c r="AL140">
        <v>6</v>
      </c>
      <c r="AM140">
        <v>0.56999999999999995</v>
      </c>
      <c r="AN140">
        <v>71.69</v>
      </c>
    </row>
    <row r="141" spans="14:40" x14ac:dyDescent="0.3">
      <c r="N141" t="s">
        <v>335</v>
      </c>
      <c r="O141" t="s">
        <v>68</v>
      </c>
      <c r="P141" t="s">
        <v>29</v>
      </c>
      <c r="Q141" t="s">
        <v>336</v>
      </c>
      <c r="R141" t="s">
        <v>51</v>
      </c>
      <c r="S141" t="s">
        <v>41</v>
      </c>
      <c r="T141">
        <v>49</v>
      </c>
      <c r="U141">
        <v>2</v>
      </c>
      <c r="V141">
        <v>5</v>
      </c>
      <c r="W141">
        <v>84.69</v>
      </c>
      <c r="X141">
        <v>16.899999999999999</v>
      </c>
      <c r="Y141">
        <v>13.72</v>
      </c>
      <c r="AA141" t="s">
        <v>47</v>
      </c>
      <c r="AC141">
        <v>57</v>
      </c>
      <c r="AD141">
        <v>0</v>
      </c>
      <c r="AE141">
        <v>4</v>
      </c>
      <c r="AF141" t="s">
        <v>43</v>
      </c>
      <c r="AG141">
        <v>20</v>
      </c>
      <c r="AH141">
        <v>173</v>
      </c>
      <c r="AI141">
        <v>81</v>
      </c>
      <c r="AJ141" t="s">
        <v>35</v>
      </c>
      <c r="AK141">
        <v>68.7</v>
      </c>
      <c r="AL141">
        <v>8.0399999999999991</v>
      </c>
      <c r="AM141">
        <v>1.44</v>
      </c>
      <c r="AN141">
        <v>84.73</v>
      </c>
    </row>
    <row r="142" spans="14:40" x14ac:dyDescent="0.3">
      <c r="N142" t="s">
        <v>337</v>
      </c>
      <c r="O142" t="s">
        <v>64</v>
      </c>
      <c r="P142" t="s">
        <v>82</v>
      </c>
      <c r="Q142" t="s">
        <v>338</v>
      </c>
      <c r="R142" t="s">
        <v>51</v>
      </c>
      <c r="S142" t="s">
        <v>32</v>
      </c>
      <c r="T142">
        <v>81</v>
      </c>
      <c r="U142">
        <v>1</v>
      </c>
      <c r="V142">
        <v>1</v>
      </c>
      <c r="W142">
        <v>58.19</v>
      </c>
      <c r="X142">
        <v>7.5</v>
      </c>
      <c r="Y142">
        <v>9.34</v>
      </c>
      <c r="Z142" s="1">
        <v>45145</v>
      </c>
      <c r="AA142" t="s">
        <v>42</v>
      </c>
      <c r="AC142">
        <v>46</v>
      </c>
      <c r="AD142">
        <v>1</v>
      </c>
      <c r="AE142">
        <v>2</v>
      </c>
      <c r="AF142" t="s">
        <v>34</v>
      </c>
      <c r="AG142">
        <v>33</v>
      </c>
      <c r="AH142">
        <v>184</v>
      </c>
      <c r="AI142">
        <v>87</v>
      </c>
      <c r="AJ142" t="s">
        <v>48</v>
      </c>
      <c r="AK142">
        <v>64.599999999999994</v>
      </c>
      <c r="AL142">
        <v>6.19</v>
      </c>
      <c r="AM142">
        <v>1.01</v>
      </c>
      <c r="AN142">
        <v>97.81</v>
      </c>
    </row>
    <row r="143" spans="14:40" x14ac:dyDescent="0.3">
      <c r="N143" t="s">
        <v>339</v>
      </c>
      <c r="O143" t="s">
        <v>68</v>
      </c>
      <c r="P143" t="s">
        <v>38</v>
      </c>
      <c r="Q143" t="s">
        <v>340</v>
      </c>
      <c r="R143" t="s">
        <v>80</v>
      </c>
      <c r="S143" t="s">
        <v>41</v>
      </c>
      <c r="T143">
        <v>94</v>
      </c>
      <c r="U143">
        <v>4</v>
      </c>
      <c r="V143">
        <v>6</v>
      </c>
      <c r="W143">
        <v>91.2</v>
      </c>
      <c r="X143">
        <v>19.2</v>
      </c>
      <c r="Y143">
        <v>5.44</v>
      </c>
      <c r="Z143" s="1">
        <v>45095</v>
      </c>
      <c r="AA143" t="s">
        <v>33</v>
      </c>
      <c r="AB143" s="1">
        <v>45237</v>
      </c>
      <c r="AD143">
        <v>0</v>
      </c>
      <c r="AE143">
        <v>3</v>
      </c>
      <c r="AF143" t="s">
        <v>61</v>
      </c>
      <c r="AG143">
        <v>30</v>
      </c>
      <c r="AH143">
        <v>181</v>
      </c>
      <c r="AI143">
        <v>73</v>
      </c>
      <c r="AJ143" t="s">
        <v>70</v>
      </c>
      <c r="AK143">
        <v>40</v>
      </c>
      <c r="AL143">
        <v>7.1</v>
      </c>
      <c r="AM143">
        <v>0.91</v>
      </c>
      <c r="AN143">
        <v>73.16</v>
      </c>
    </row>
    <row r="144" spans="14:40" x14ac:dyDescent="0.3">
      <c r="N144" t="s">
        <v>341</v>
      </c>
      <c r="O144" t="s">
        <v>64</v>
      </c>
      <c r="P144" t="s">
        <v>65</v>
      </c>
      <c r="Q144" t="s">
        <v>342</v>
      </c>
      <c r="R144" t="s">
        <v>31</v>
      </c>
      <c r="S144" t="s">
        <v>41</v>
      </c>
      <c r="T144">
        <v>81</v>
      </c>
      <c r="U144">
        <v>1</v>
      </c>
      <c r="V144">
        <v>1</v>
      </c>
      <c r="W144">
        <v>58.08</v>
      </c>
      <c r="X144">
        <v>7.4</v>
      </c>
      <c r="Y144">
        <v>6.62</v>
      </c>
      <c r="Z144" s="1">
        <v>45047</v>
      </c>
      <c r="AA144" t="s">
        <v>47</v>
      </c>
      <c r="AB144" s="1">
        <v>44973</v>
      </c>
      <c r="AD144">
        <v>0</v>
      </c>
      <c r="AE144">
        <v>3</v>
      </c>
      <c r="AF144" t="s">
        <v>43</v>
      </c>
      <c r="AG144">
        <v>36</v>
      </c>
      <c r="AH144">
        <v>189</v>
      </c>
      <c r="AI144">
        <v>86</v>
      </c>
      <c r="AJ144" t="s">
        <v>35</v>
      </c>
      <c r="AK144">
        <v>59.1</v>
      </c>
      <c r="AL144">
        <v>8.83</v>
      </c>
      <c r="AM144">
        <v>1.31</v>
      </c>
      <c r="AN144">
        <v>92.93</v>
      </c>
    </row>
    <row r="145" spans="14:40" x14ac:dyDescent="0.3">
      <c r="N145" t="s">
        <v>343</v>
      </c>
      <c r="O145" t="s">
        <v>68</v>
      </c>
      <c r="P145" t="s">
        <v>38</v>
      </c>
      <c r="Q145" t="s">
        <v>344</v>
      </c>
      <c r="R145" t="s">
        <v>31</v>
      </c>
      <c r="S145" t="s">
        <v>32</v>
      </c>
      <c r="T145">
        <v>20</v>
      </c>
      <c r="U145">
        <v>1</v>
      </c>
      <c r="V145">
        <v>2</v>
      </c>
      <c r="W145">
        <v>66.34</v>
      </c>
      <c r="X145">
        <v>10.6</v>
      </c>
      <c r="Y145">
        <v>5.21</v>
      </c>
      <c r="AA145" t="s">
        <v>42</v>
      </c>
      <c r="AD145">
        <v>0</v>
      </c>
      <c r="AE145">
        <v>1</v>
      </c>
      <c r="AF145" t="s">
        <v>61</v>
      </c>
      <c r="AG145">
        <v>25</v>
      </c>
      <c r="AH145">
        <v>179</v>
      </c>
      <c r="AI145">
        <v>99</v>
      </c>
      <c r="AJ145" t="s">
        <v>53</v>
      </c>
      <c r="AK145">
        <v>41.5</v>
      </c>
      <c r="AL145">
        <v>6.25</v>
      </c>
      <c r="AM145">
        <v>1.34</v>
      </c>
      <c r="AN145">
        <v>82.29</v>
      </c>
    </row>
    <row r="146" spans="14:40" x14ac:dyDescent="0.3">
      <c r="N146" t="s">
        <v>345</v>
      </c>
      <c r="O146" t="s">
        <v>37</v>
      </c>
      <c r="P146" t="s">
        <v>65</v>
      </c>
      <c r="Q146" t="s">
        <v>346</v>
      </c>
      <c r="R146" t="s">
        <v>40</v>
      </c>
      <c r="S146" t="s">
        <v>32</v>
      </c>
      <c r="T146">
        <v>46</v>
      </c>
      <c r="U146">
        <v>2</v>
      </c>
      <c r="V146">
        <v>1</v>
      </c>
      <c r="W146">
        <v>57.82</v>
      </c>
      <c r="X146">
        <v>7.4</v>
      </c>
      <c r="Y146">
        <v>11.53</v>
      </c>
      <c r="AA146" t="s">
        <v>42</v>
      </c>
      <c r="AB146" s="1">
        <v>45164</v>
      </c>
      <c r="AC146">
        <v>88</v>
      </c>
      <c r="AD146">
        <v>0</v>
      </c>
      <c r="AE146">
        <v>0</v>
      </c>
      <c r="AF146" t="s">
        <v>43</v>
      </c>
      <c r="AG146">
        <v>39</v>
      </c>
      <c r="AH146">
        <v>180</v>
      </c>
      <c r="AI146">
        <v>87</v>
      </c>
      <c r="AJ146" t="s">
        <v>53</v>
      </c>
      <c r="AK146">
        <v>47.7</v>
      </c>
      <c r="AL146">
        <v>9.36</v>
      </c>
      <c r="AM146">
        <v>0.83</v>
      </c>
      <c r="AN146">
        <v>89.66</v>
      </c>
    </row>
    <row r="147" spans="14:40" x14ac:dyDescent="0.3">
      <c r="N147" t="s">
        <v>347</v>
      </c>
      <c r="O147" t="s">
        <v>64</v>
      </c>
      <c r="P147" t="s">
        <v>29</v>
      </c>
      <c r="Q147" t="s">
        <v>348</v>
      </c>
      <c r="R147" t="s">
        <v>51</v>
      </c>
      <c r="S147" t="s">
        <v>32</v>
      </c>
      <c r="T147">
        <v>81</v>
      </c>
      <c r="U147">
        <v>2</v>
      </c>
      <c r="V147">
        <v>2</v>
      </c>
      <c r="W147">
        <v>66.319999999999993</v>
      </c>
      <c r="X147">
        <v>10.6</v>
      </c>
      <c r="Y147">
        <v>8.32</v>
      </c>
      <c r="AA147" t="s">
        <v>42</v>
      </c>
      <c r="AD147">
        <v>0</v>
      </c>
      <c r="AE147">
        <v>2</v>
      </c>
      <c r="AF147" t="s">
        <v>52</v>
      </c>
      <c r="AG147">
        <v>22</v>
      </c>
      <c r="AH147">
        <v>191</v>
      </c>
      <c r="AI147">
        <v>85</v>
      </c>
      <c r="AJ147" t="s">
        <v>35</v>
      </c>
      <c r="AK147">
        <v>41.8</v>
      </c>
      <c r="AL147">
        <v>6.02</v>
      </c>
      <c r="AM147">
        <v>1.19</v>
      </c>
      <c r="AN147">
        <v>77.81</v>
      </c>
    </row>
    <row r="148" spans="14:40" x14ac:dyDescent="0.3">
      <c r="N148" t="s">
        <v>349</v>
      </c>
      <c r="O148" t="s">
        <v>28</v>
      </c>
      <c r="P148" t="s">
        <v>38</v>
      </c>
      <c r="Q148" t="s">
        <v>350</v>
      </c>
      <c r="R148" t="s">
        <v>94</v>
      </c>
      <c r="S148" t="s">
        <v>32</v>
      </c>
      <c r="T148">
        <v>22</v>
      </c>
      <c r="U148">
        <v>0</v>
      </c>
      <c r="V148">
        <v>0</v>
      </c>
      <c r="W148">
        <v>52.32</v>
      </c>
      <c r="X148">
        <v>5.8</v>
      </c>
      <c r="Y148">
        <v>10.42</v>
      </c>
      <c r="Z148" s="1">
        <v>45205</v>
      </c>
      <c r="AA148" t="s">
        <v>47</v>
      </c>
      <c r="AD148">
        <v>0</v>
      </c>
      <c r="AE148">
        <v>3</v>
      </c>
      <c r="AF148" t="s">
        <v>34</v>
      </c>
      <c r="AG148">
        <v>37</v>
      </c>
      <c r="AH148">
        <v>180</v>
      </c>
      <c r="AI148">
        <v>61</v>
      </c>
      <c r="AJ148" t="s">
        <v>53</v>
      </c>
      <c r="AK148">
        <v>58.1</v>
      </c>
      <c r="AL148">
        <v>6.99</v>
      </c>
      <c r="AM148">
        <v>1.27</v>
      </c>
      <c r="AN148">
        <v>74.78</v>
      </c>
    </row>
    <row r="149" spans="14:40" x14ac:dyDescent="0.3">
      <c r="N149" t="s">
        <v>351</v>
      </c>
      <c r="O149" t="s">
        <v>68</v>
      </c>
      <c r="P149" t="s">
        <v>38</v>
      </c>
      <c r="Q149" t="s">
        <v>352</v>
      </c>
      <c r="R149" t="s">
        <v>51</v>
      </c>
      <c r="S149" t="s">
        <v>32</v>
      </c>
      <c r="T149">
        <v>89</v>
      </c>
      <c r="U149">
        <v>4</v>
      </c>
      <c r="V149">
        <v>2</v>
      </c>
      <c r="W149">
        <v>65.92</v>
      </c>
      <c r="X149">
        <v>10.6</v>
      </c>
      <c r="Y149">
        <v>9.93</v>
      </c>
      <c r="AA149" t="s">
        <v>42</v>
      </c>
      <c r="AD149">
        <v>0</v>
      </c>
      <c r="AE149">
        <v>1</v>
      </c>
      <c r="AF149" t="s">
        <v>43</v>
      </c>
      <c r="AG149">
        <v>25</v>
      </c>
      <c r="AH149">
        <v>194</v>
      </c>
      <c r="AI149">
        <v>84</v>
      </c>
      <c r="AJ149" t="s">
        <v>62</v>
      </c>
      <c r="AK149">
        <v>60.6</v>
      </c>
      <c r="AL149">
        <v>8.9600000000000009</v>
      </c>
      <c r="AM149">
        <v>1.1499999999999999</v>
      </c>
      <c r="AN149">
        <v>74.81</v>
      </c>
    </row>
    <row r="150" spans="14:40" x14ac:dyDescent="0.3">
      <c r="N150" t="s">
        <v>353</v>
      </c>
      <c r="O150" t="s">
        <v>64</v>
      </c>
      <c r="P150" t="s">
        <v>38</v>
      </c>
      <c r="Q150" t="s">
        <v>354</v>
      </c>
      <c r="R150" t="s">
        <v>56</v>
      </c>
      <c r="S150" t="s">
        <v>41</v>
      </c>
      <c r="T150">
        <v>91</v>
      </c>
      <c r="U150">
        <v>3</v>
      </c>
      <c r="V150">
        <v>2</v>
      </c>
      <c r="W150">
        <v>65.819999999999993</v>
      </c>
      <c r="X150">
        <v>10.6</v>
      </c>
      <c r="Y150">
        <v>5.82</v>
      </c>
      <c r="Z150" s="1">
        <v>45078</v>
      </c>
      <c r="AA150" t="s">
        <v>47</v>
      </c>
      <c r="AD150">
        <v>1</v>
      </c>
      <c r="AE150">
        <v>4</v>
      </c>
      <c r="AF150" t="s">
        <v>61</v>
      </c>
      <c r="AG150">
        <v>29</v>
      </c>
      <c r="AH150">
        <v>191</v>
      </c>
      <c r="AI150">
        <v>62</v>
      </c>
      <c r="AJ150" t="s">
        <v>35</v>
      </c>
      <c r="AK150">
        <v>43.4</v>
      </c>
      <c r="AL150">
        <v>7.27</v>
      </c>
      <c r="AM150">
        <v>0.65</v>
      </c>
      <c r="AN150">
        <v>72.11</v>
      </c>
    </row>
    <row r="151" spans="14:40" x14ac:dyDescent="0.3">
      <c r="N151" t="s">
        <v>355</v>
      </c>
      <c r="O151" t="s">
        <v>64</v>
      </c>
      <c r="P151" t="s">
        <v>38</v>
      </c>
      <c r="Q151" t="s">
        <v>356</v>
      </c>
      <c r="R151" t="s">
        <v>40</v>
      </c>
      <c r="S151" t="s">
        <v>41</v>
      </c>
      <c r="T151">
        <v>46</v>
      </c>
      <c r="U151">
        <v>1</v>
      </c>
      <c r="V151">
        <v>3</v>
      </c>
      <c r="W151">
        <v>71.650000000000006</v>
      </c>
      <c r="X151">
        <v>12.7</v>
      </c>
      <c r="Y151">
        <v>9.0299999999999994</v>
      </c>
      <c r="AA151" t="s">
        <v>47</v>
      </c>
      <c r="AD151">
        <v>0</v>
      </c>
      <c r="AE151">
        <v>3</v>
      </c>
      <c r="AF151" t="s">
        <v>34</v>
      </c>
      <c r="AG151">
        <v>18</v>
      </c>
      <c r="AH151">
        <v>189</v>
      </c>
      <c r="AI151">
        <v>67</v>
      </c>
      <c r="AJ151" t="s">
        <v>70</v>
      </c>
      <c r="AK151">
        <v>51.5</v>
      </c>
      <c r="AL151">
        <v>6.41</v>
      </c>
      <c r="AM151">
        <v>1.38</v>
      </c>
      <c r="AN151">
        <v>75.569999999999993</v>
      </c>
    </row>
    <row r="152" spans="14:40" x14ac:dyDescent="0.3">
      <c r="N152" t="s">
        <v>357</v>
      </c>
      <c r="O152" t="s">
        <v>64</v>
      </c>
      <c r="P152" t="s">
        <v>29</v>
      </c>
      <c r="Q152" t="s">
        <v>358</v>
      </c>
      <c r="R152" t="s">
        <v>31</v>
      </c>
      <c r="S152" t="s">
        <v>41</v>
      </c>
      <c r="T152">
        <v>28</v>
      </c>
      <c r="U152">
        <v>0</v>
      </c>
      <c r="V152">
        <v>2</v>
      </c>
      <c r="W152">
        <v>65.53</v>
      </c>
      <c r="X152">
        <v>10.6</v>
      </c>
      <c r="Y152">
        <v>7.21</v>
      </c>
      <c r="AA152" t="s">
        <v>33</v>
      </c>
      <c r="AB152" s="1">
        <v>45034</v>
      </c>
      <c r="AC152">
        <v>53</v>
      </c>
      <c r="AD152">
        <v>0</v>
      </c>
      <c r="AE152">
        <v>1</v>
      </c>
      <c r="AF152" t="s">
        <v>43</v>
      </c>
      <c r="AG152">
        <v>38</v>
      </c>
      <c r="AH152">
        <v>198</v>
      </c>
      <c r="AI152">
        <v>92</v>
      </c>
      <c r="AJ152" t="s">
        <v>53</v>
      </c>
      <c r="AK152">
        <v>53.7</v>
      </c>
      <c r="AL152">
        <v>7.44</v>
      </c>
      <c r="AM152">
        <v>1.04</v>
      </c>
      <c r="AN152">
        <v>89.93</v>
      </c>
    </row>
    <row r="153" spans="14:40" x14ac:dyDescent="0.3">
      <c r="N153" t="s">
        <v>359</v>
      </c>
      <c r="O153" t="s">
        <v>37</v>
      </c>
      <c r="P153" t="s">
        <v>38</v>
      </c>
      <c r="Q153" t="s">
        <v>360</v>
      </c>
      <c r="R153" t="s">
        <v>94</v>
      </c>
      <c r="S153" t="s">
        <v>41</v>
      </c>
      <c r="T153">
        <v>81</v>
      </c>
      <c r="U153">
        <v>0</v>
      </c>
      <c r="V153">
        <v>2</v>
      </c>
      <c r="W153">
        <v>65.5</v>
      </c>
      <c r="X153">
        <v>10.4</v>
      </c>
      <c r="Y153">
        <v>9.18</v>
      </c>
      <c r="Z153" s="1">
        <v>45192</v>
      </c>
      <c r="AA153" t="s">
        <v>47</v>
      </c>
      <c r="AD153">
        <v>0</v>
      </c>
      <c r="AE153">
        <v>0</v>
      </c>
      <c r="AF153" t="s">
        <v>52</v>
      </c>
      <c r="AG153">
        <v>37</v>
      </c>
      <c r="AH153">
        <v>171</v>
      </c>
      <c r="AI153">
        <v>94</v>
      </c>
      <c r="AJ153" t="s">
        <v>48</v>
      </c>
      <c r="AK153">
        <v>51.1</v>
      </c>
      <c r="AL153">
        <v>7.08</v>
      </c>
      <c r="AM153">
        <v>0.78</v>
      </c>
      <c r="AN153">
        <v>96.45</v>
      </c>
    </row>
    <row r="154" spans="14:40" x14ac:dyDescent="0.3">
      <c r="N154" t="s">
        <v>361</v>
      </c>
      <c r="O154" t="s">
        <v>28</v>
      </c>
      <c r="P154" t="s">
        <v>38</v>
      </c>
      <c r="Q154" t="s">
        <v>362</v>
      </c>
      <c r="R154" t="s">
        <v>40</v>
      </c>
      <c r="S154" t="s">
        <v>32</v>
      </c>
      <c r="T154">
        <v>56</v>
      </c>
      <c r="U154">
        <v>1</v>
      </c>
      <c r="V154">
        <v>5</v>
      </c>
      <c r="W154">
        <v>84.69</v>
      </c>
      <c r="X154">
        <v>16.899999999999999</v>
      </c>
      <c r="Y154">
        <v>7.04</v>
      </c>
      <c r="AA154" t="s">
        <v>43</v>
      </c>
      <c r="AB154" s="1">
        <v>45206</v>
      </c>
      <c r="AD154">
        <v>0</v>
      </c>
      <c r="AE154">
        <v>0</v>
      </c>
      <c r="AF154" t="s">
        <v>61</v>
      </c>
      <c r="AG154">
        <v>23</v>
      </c>
      <c r="AH154">
        <v>177</v>
      </c>
      <c r="AI154">
        <v>65</v>
      </c>
      <c r="AJ154" t="s">
        <v>44</v>
      </c>
      <c r="AK154">
        <v>43.6</v>
      </c>
      <c r="AL154">
        <v>9.3699999999999992</v>
      </c>
      <c r="AM154">
        <v>0.93</v>
      </c>
      <c r="AN154">
        <v>94.42</v>
      </c>
    </row>
    <row r="155" spans="14:40" x14ac:dyDescent="0.3">
      <c r="N155" t="s">
        <v>363</v>
      </c>
      <c r="O155" t="s">
        <v>37</v>
      </c>
      <c r="P155" t="s">
        <v>82</v>
      </c>
      <c r="Q155" t="s">
        <v>364</v>
      </c>
      <c r="R155" t="s">
        <v>40</v>
      </c>
      <c r="S155" t="s">
        <v>41</v>
      </c>
      <c r="T155">
        <v>70</v>
      </c>
      <c r="U155">
        <v>0</v>
      </c>
      <c r="V155">
        <v>0</v>
      </c>
      <c r="W155">
        <v>52.2</v>
      </c>
      <c r="X155">
        <v>5.8</v>
      </c>
      <c r="Y155">
        <v>13.4</v>
      </c>
      <c r="AA155" t="s">
        <v>43</v>
      </c>
      <c r="AC155">
        <v>24</v>
      </c>
      <c r="AD155">
        <v>0</v>
      </c>
      <c r="AE155">
        <v>3</v>
      </c>
      <c r="AF155" t="s">
        <v>61</v>
      </c>
      <c r="AG155">
        <v>39</v>
      </c>
      <c r="AH155">
        <v>180</v>
      </c>
      <c r="AI155">
        <v>98</v>
      </c>
      <c r="AJ155" t="s">
        <v>53</v>
      </c>
      <c r="AK155">
        <v>52.6</v>
      </c>
      <c r="AL155">
        <v>7.25</v>
      </c>
      <c r="AM155">
        <v>0.54</v>
      </c>
      <c r="AN155">
        <v>90.55</v>
      </c>
    </row>
    <row r="156" spans="14:40" x14ac:dyDescent="0.3">
      <c r="N156" t="s">
        <v>365</v>
      </c>
      <c r="O156" t="s">
        <v>64</v>
      </c>
      <c r="P156" t="s">
        <v>38</v>
      </c>
      <c r="Q156" t="s">
        <v>366</v>
      </c>
      <c r="R156" t="s">
        <v>51</v>
      </c>
      <c r="S156" t="s">
        <v>41</v>
      </c>
      <c r="T156">
        <v>63</v>
      </c>
      <c r="U156">
        <v>0</v>
      </c>
      <c r="V156">
        <v>6</v>
      </c>
      <c r="W156">
        <v>90.97</v>
      </c>
      <c r="X156">
        <v>19.100000000000001</v>
      </c>
      <c r="Y156">
        <v>6.74</v>
      </c>
      <c r="AA156" t="s">
        <v>33</v>
      </c>
      <c r="AB156" s="1">
        <v>45059</v>
      </c>
      <c r="AD156">
        <v>0</v>
      </c>
      <c r="AE156">
        <v>3</v>
      </c>
      <c r="AF156" t="s">
        <v>43</v>
      </c>
      <c r="AG156">
        <v>35</v>
      </c>
      <c r="AH156">
        <v>172</v>
      </c>
      <c r="AI156">
        <v>82</v>
      </c>
      <c r="AJ156" t="s">
        <v>48</v>
      </c>
      <c r="AK156">
        <v>62.5</v>
      </c>
      <c r="AL156">
        <v>9.16</v>
      </c>
      <c r="AM156">
        <v>0.63</v>
      </c>
      <c r="AN156">
        <v>73.31</v>
      </c>
    </row>
    <row r="157" spans="14:40" x14ac:dyDescent="0.3">
      <c r="N157" t="s">
        <v>367</v>
      </c>
      <c r="O157" t="s">
        <v>64</v>
      </c>
      <c r="P157" t="s">
        <v>65</v>
      </c>
      <c r="Q157" t="s">
        <v>368</v>
      </c>
      <c r="R157" t="s">
        <v>31</v>
      </c>
      <c r="S157" t="s">
        <v>41</v>
      </c>
      <c r="T157">
        <v>43</v>
      </c>
      <c r="U157">
        <v>0</v>
      </c>
      <c r="V157">
        <v>3</v>
      </c>
      <c r="W157">
        <v>71.59</v>
      </c>
      <c r="X157">
        <v>12.7</v>
      </c>
      <c r="Y157">
        <v>14.61</v>
      </c>
      <c r="AA157" t="s">
        <v>47</v>
      </c>
      <c r="AC157">
        <v>52</v>
      </c>
      <c r="AD157">
        <v>0</v>
      </c>
      <c r="AE157">
        <v>2</v>
      </c>
      <c r="AF157" t="s">
        <v>52</v>
      </c>
      <c r="AG157">
        <v>25</v>
      </c>
      <c r="AH157">
        <v>180</v>
      </c>
      <c r="AI157">
        <v>84</v>
      </c>
      <c r="AJ157" t="s">
        <v>44</v>
      </c>
      <c r="AK157">
        <v>42.1</v>
      </c>
      <c r="AL157">
        <v>9.57</v>
      </c>
      <c r="AM157">
        <v>1.27</v>
      </c>
      <c r="AN157">
        <v>78.680000000000007</v>
      </c>
    </row>
    <row r="158" spans="14:40" x14ac:dyDescent="0.3">
      <c r="N158" t="s">
        <v>369</v>
      </c>
      <c r="O158" t="s">
        <v>37</v>
      </c>
      <c r="P158" t="s">
        <v>38</v>
      </c>
      <c r="Q158" t="s">
        <v>370</v>
      </c>
      <c r="R158" t="s">
        <v>40</v>
      </c>
      <c r="S158" t="s">
        <v>32</v>
      </c>
      <c r="T158">
        <v>78</v>
      </c>
      <c r="U158">
        <v>4</v>
      </c>
      <c r="V158">
        <v>5</v>
      </c>
      <c r="W158">
        <v>84.69</v>
      </c>
      <c r="X158">
        <v>16.899999999999999</v>
      </c>
      <c r="Y158">
        <v>9.16</v>
      </c>
      <c r="Z158" s="1">
        <v>45277</v>
      </c>
      <c r="AA158" t="s">
        <v>42</v>
      </c>
      <c r="AC158">
        <v>57</v>
      </c>
      <c r="AD158">
        <v>0</v>
      </c>
      <c r="AE158">
        <v>1</v>
      </c>
      <c r="AF158" t="s">
        <v>34</v>
      </c>
      <c r="AG158">
        <v>24</v>
      </c>
      <c r="AH158">
        <v>167</v>
      </c>
      <c r="AI158">
        <v>78</v>
      </c>
      <c r="AJ158" t="s">
        <v>48</v>
      </c>
      <c r="AK158">
        <v>42.4</v>
      </c>
      <c r="AL158">
        <v>7.74</v>
      </c>
      <c r="AM158">
        <v>0.5</v>
      </c>
      <c r="AN158">
        <v>79.290000000000006</v>
      </c>
    </row>
    <row r="159" spans="14:40" x14ac:dyDescent="0.3">
      <c r="N159" t="s">
        <v>371</v>
      </c>
      <c r="O159" t="s">
        <v>28</v>
      </c>
      <c r="P159" t="s">
        <v>29</v>
      </c>
      <c r="Q159" t="s">
        <v>372</v>
      </c>
      <c r="R159" t="s">
        <v>80</v>
      </c>
      <c r="S159" t="s">
        <v>41</v>
      </c>
      <c r="T159">
        <v>51</v>
      </c>
      <c r="U159">
        <v>3</v>
      </c>
      <c r="V159">
        <v>4</v>
      </c>
      <c r="W159">
        <v>78.03</v>
      </c>
      <c r="X159">
        <v>14.6</v>
      </c>
      <c r="Y159">
        <v>13.46</v>
      </c>
      <c r="Z159" s="1">
        <v>45094</v>
      </c>
      <c r="AA159" t="s">
        <v>33</v>
      </c>
      <c r="AD159">
        <v>0</v>
      </c>
      <c r="AE159">
        <v>3</v>
      </c>
      <c r="AF159" t="s">
        <v>61</v>
      </c>
      <c r="AG159">
        <v>18</v>
      </c>
      <c r="AH159">
        <v>199</v>
      </c>
      <c r="AI159">
        <v>64</v>
      </c>
      <c r="AJ159" t="s">
        <v>48</v>
      </c>
      <c r="AK159">
        <v>50.6</v>
      </c>
      <c r="AL159">
        <v>9.64</v>
      </c>
      <c r="AM159">
        <v>0.92</v>
      </c>
      <c r="AN159">
        <v>77.5</v>
      </c>
    </row>
    <row r="160" spans="14:40" x14ac:dyDescent="0.3">
      <c r="N160" t="s">
        <v>373</v>
      </c>
      <c r="O160" t="s">
        <v>28</v>
      </c>
      <c r="P160" t="s">
        <v>29</v>
      </c>
      <c r="Q160" t="s">
        <v>374</v>
      </c>
      <c r="R160" t="s">
        <v>56</v>
      </c>
      <c r="S160" t="s">
        <v>41</v>
      </c>
      <c r="T160">
        <v>71</v>
      </c>
      <c r="U160">
        <v>0</v>
      </c>
      <c r="V160">
        <v>0</v>
      </c>
      <c r="W160">
        <v>52.11</v>
      </c>
      <c r="X160">
        <v>5.7</v>
      </c>
      <c r="Y160">
        <v>11.29</v>
      </c>
      <c r="Z160" s="1">
        <v>45164</v>
      </c>
      <c r="AA160" t="s">
        <v>33</v>
      </c>
      <c r="AD160">
        <v>0</v>
      </c>
      <c r="AE160">
        <v>2</v>
      </c>
      <c r="AF160" t="s">
        <v>34</v>
      </c>
      <c r="AG160">
        <v>38</v>
      </c>
      <c r="AH160">
        <v>166</v>
      </c>
      <c r="AI160">
        <v>70</v>
      </c>
      <c r="AJ160" t="s">
        <v>35</v>
      </c>
      <c r="AK160">
        <v>68.3</v>
      </c>
      <c r="AL160">
        <v>7.51</v>
      </c>
      <c r="AM160">
        <v>1.02</v>
      </c>
      <c r="AN160">
        <v>85.45</v>
      </c>
    </row>
    <row r="161" spans="14:40" x14ac:dyDescent="0.3">
      <c r="N161" t="s">
        <v>375</v>
      </c>
      <c r="O161" t="s">
        <v>64</v>
      </c>
      <c r="P161" t="s">
        <v>38</v>
      </c>
      <c r="Q161" t="s">
        <v>376</v>
      </c>
      <c r="R161" t="s">
        <v>75</v>
      </c>
      <c r="S161" t="s">
        <v>32</v>
      </c>
      <c r="T161">
        <v>81</v>
      </c>
      <c r="U161">
        <v>3</v>
      </c>
      <c r="V161">
        <v>0</v>
      </c>
      <c r="W161">
        <v>52.03</v>
      </c>
      <c r="X161">
        <v>5.7</v>
      </c>
      <c r="Y161">
        <v>12.35</v>
      </c>
      <c r="Z161" s="1">
        <v>45220</v>
      </c>
      <c r="AA161" t="s">
        <v>47</v>
      </c>
      <c r="AD161">
        <v>0</v>
      </c>
      <c r="AE161">
        <v>2</v>
      </c>
      <c r="AF161" t="s">
        <v>43</v>
      </c>
      <c r="AG161">
        <v>33</v>
      </c>
      <c r="AH161">
        <v>182</v>
      </c>
      <c r="AI161">
        <v>71</v>
      </c>
      <c r="AJ161" t="s">
        <v>35</v>
      </c>
      <c r="AK161">
        <v>60.1</v>
      </c>
      <c r="AL161">
        <v>9.86</v>
      </c>
      <c r="AM161">
        <v>0.55000000000000004</v>
      </c>
      <c r="AN161">
        <v>86.07</v>
      </c>
    </row>
    <row r="162" spans="14:40" x14ac:dyDescent="0.3">
      <c r="N162" t="s">
        <v>377</v>
      </c>
      <c r="O162" t="s">
        <v>37</v>
      </c>
      <c r="P162" t="s">
        <v>38</v>
      </c>
      <c r="Q162" t="s">
        <v>378</v>
      </c>
      <c r="R162" t="s">
        <v>94</v>
      </c>
      <c r="S162" t="s">
        <v>41</v>
      </c>
      <c r="T162">
        <v>77</v>
      </c>
      <c r="U162">
        <v>1</v>
      </c>
      <c r="V162">
        <v>4</v>
      </c>
      <c r="W162">
        <v>77.47</v>
      </c>
      <c r="X162">
        <v>14.5</v>
      </c>
      <c r="Y162">
        <v>12.68</v>
      </c>
      <c r="Z162" s="1">
        <v>45250</v>
      </c>
      <c r="AA162" t="s">
        <v>43</v>
      </c>
      <c r="AB162" s="1">
        <v>45147</v>
      </c>
      <c r="AD162">
        <v>0</v>
      </c>
      <c r="AE162">
        <v>3</v>
      </c>
      <c r="AF162" t="s">
        <v>61</v>
      </c>
      <c r="AG162">
        <v>29</v>
      </c>
      <c r="AH162">
        <v>191</v>
      </c>
      <c r="AI162">
        <v>69</v>
      </c>
      <c r="AJ162" t="s">
        <v>70</v>
      </c>
      <c r="AK162">
        <v>60.4</v>
      </c>
      <c r="AL162">
        <v>6.36</v>
      </c>
      <c r="AM162">
        <v>1.47</v>
      </c>
      <c r="AN162">
        <v>80.709999999999994</v>
      </c>
    </row>
    <row r="163" spans="14:40" x14ac:dyDescent="0.3">
      <c r="N163" t="s">
        <v>379</v>
      </c>
      <c r="O163" t="s">
        <v>64</v>
      </c>
      <c r="P163" t="s">
        <v>38</v>
      </c>
      <c r="Q163" t="s">
        <v>380</v>
      </c>
      <c r="R163" t="s">
        <v>80</v>
      </c>
      <c r="S163" t="s">
        <v>32</v>
      </c>
      <c r="T163">
        <v>71</v>
      </c>
      <c r="U163">
        <v>2</v>
      </c>
      <c r="V163">
        <v>6</v>
      </c>
      <c r="W163">
        <v>90.89</v>
      </c>
      <c r="X163">
        <v>19.100000000000001</v>
      </c>
      <c r="Y163">
        <v>10.050000000000001</v>
      </c>
      <c r="Z163" s="1">
        <v>44951</v>
      </c>
      <c r="AA163" t="s">
        <v>47</v>
      </c>
      <c r="AB163" s="1">
        <v>44999</v>
      </c>
      <c r="AC163">
        <v>79</v>
      </c>
      <c r="AD163">
        <v>0</v>
      </c>
      <c r="AE163">
        <v>0</v>
      </c>
      <c r="AF163" t="s">
        <v>52</v>
      </c>
      <c r="AG163">
        <v>23</v>
      </c>
      <c r="AH163">
        <v>170</v>
      </c>
      <c r="AI163">
        <v>67</v>
      </c>
      <c r="AJ163" t="s">
        <v>48</v>
      </c>
      <c r="AK163">
        <v>50.9</v>
      </c>
      <c r="AL163">
        <v>8.75</v>
      </c>
      <c r="AM163">
        <v>0.73</v>
      </c>
      <c r="AN163">
        <v>80.61</v>
      </c>
    </row>
    <row r="164" spans="14:40" x14ac:dyDescent="0.3">
      <c r="N164" t="s">
        <v>381</v>
      </c>
      <c r="O164" t="s">
        <v>64</v>
      </c>
      <c r="P164" t="s">
        <v>29</v>
      </c>
      <c r="Q164" t="s">
        <v>382</v>
      </c>
      <c r="R164" t="s">
        <v>31</v>
      </c>
      <c r="S164" t="s">
        <v>32</v>
      </c>
      <c r="T164">
        <v>31</v>
      </c>
      <c r="U164">
        <v>0</v>
      </c>
      <c r="V164">
        <v>2</v>
      </c>
      <c r="W164">
        <v>65.14</v>
      </c>
      <c r="X164">
        <v>10.4</v>
      </c>
      <c r="Y164">
        <v>10.43</v>
      </c>
      <c r="Z164" s="1">
        <v>45133</v>
      </c>
      <c r="AA164" t="s">
        <v>47</v>
      </c>
      <c r="AD164">
        <v>1</v>
      </c>
      <c r="AE164">
        <v>1</v>
      </c>
      <c r="AF164" t="s">
        <v>61</v>
      </c>
      <c r="AG164">
        <v>37</v>
      </c>
      <c r="AH164">
        <v>181</v>
      </c>
      <c r="AI164">
        <v>83</v>
      </c>
      <c r="AJ164" t="s">
        <v>62</v>
      </c>
      <c r="AK164">
        <v>57.8</v>
      </c>
      <c r="AL164">
        <v>7.98</v>
      </c>
      <c r="AM164">
        <v>0.8</v>
      </c>
      <c r="AN164">
        <v>94.86</v>
      </c>
    </row>
    <row r="165" spans="14:40" x14ac:dyDescent="0.3">
      <c r="N165" t="s">
        <v>383</v>
      </c>
      <c r="O165" t="s">
        <v>37</v>
      </c>
      <c r="P165" t="s">
        <v>29</v>
      </c>
      <c r="Q165" t="s">
        <v>384</v>
      </c>
      <c r="R165" t="s">
        <v>56</v>
      </c>
      <c r="S165" t="s">
        <v>32</v>
      </c>
      <c r="T165">
        <v>58</v>
      </c>
      <c r="U165">
        <v>4</v>
      </c>
      <c r="V165">
        <v>5</v>
      </c>
      <c r="W165">
        <v>84.16</v>
      </c>
      <c r="X165">
        <v>16.8</v>
      </c>
      <c r="Y165">
        <v>10.14</v>
      </c>
      <c r="Z165" s="1">
        <v>45284</v>
      </c>
      <c r="AA165" t="s">
        <v>33</v>
      </c>
      <c r="AB165" s="1">
        <v>45209</v>
      </c>
      <c r="AD165">
        <v>0</v>
      </c>
      <c r="AE165">
        <v>1</v>
      </c>
      <c r="AF165" t="s">
        <v>52</v>
      </c>
      <c r="AG165">
        <v>19</v>
      </c>
      <c r="AH165">
        <v>181</v>
      </c>
      <c r="AI165">
        <v>87</v>
      </c>
      <c r="AJ165" t="s">
        <v>35</v>
      </c>
      <c r="AK165">
        <v>40.299999999999997</v>
      </c>
      <c r="AL165">
        <v>7.55</v>
      </c>
      <c r="AM165">
        <v>0.8</v>
      </c>
      <c r="AN165">
        <v>93.68</v>
      </c>
    </row>
    <row r="166" spans="14:40" x14ac:dyDescent="0.3">
      <c r="N166" t="s">
        <v>385</v>
      </c>
      <c r="O166" t="s">
        <v>64</v>
      </c>
      <c r="P166" t="s">
        <v>29</v>
      </c>
      <c r="Q166" t="s">
        <v>386</v>
      </c>
      <c r="R166" t="s">
        <v>51</v>
      </c>
      <c r="S166" t="s">
        <v>41</v>
      </c>
      <c r="T166">
        <v>21</v>
      </c>
      <c r="U166">
        <v>1</v>
      </c>
      <c r="V166">
        <v>1</v>
      </c>
      <c r="W166">
        <v>57.29</v>
      </c>
      <c r="X166">
        <v>7.3</v>
      </c>
      <c r="Y166">
        <v>10.88</v>
      </c>
      <c r="Z166" s="1">
        <v>45245</v>
      </c>
      <c r="AA166" t="s">
        <v>33</v>
      </c>
      <c r="AD166">
        <v>0</v>
      </c>
      <c r="AE166">
        <v>0</v>
      </c>
      <c r="AF166" t="s">
        <v>61</v>
      </c>
      <c r="AG166">
        <v>31</v>
      </c>
      <c r="AH166">
        <v>184</v>
      </c>
      <c r="AI166">
        <v>95</v>
      </c>
      <c r="AJ166" t="s">
        <v>48</v>
      </c>
      <c r="AK166">
        <v>59.1</v>
      </c>
      <c r="AL166">
        <v>8.5299999999999994</v>
      </c>
      <c r="AM166">
        <v>0.73</v>
      </c>
      <c r="AN166">
        <v>79.23</v>
      </c>
    </row>
    <row r="167" spans="14:40" x14ac:dyDescent="0.3">
      <c r="N167" t="s">
        <v>387</v>
      </c>
      <c r="O167" t="s">
        <v>68</v>
      </c>
      <c r="P167" t="s">
        <v>38</v>
      </c>
      <c r="Q167" t="s">
        <v>388</v>
      </c>
      <c r="R167" t="s">
        <v>31</v>
      </c>
      <c r="S167" t="s">
        <v>41</v>
      </c>
      <c r="T167">
        <v>22</v>
      </c>
      <c r="U167">
        <v>3</v>
      </c>
      <c r="V167">
        <v>3</v>
      </c>
      <c r="W167">
        <v>71.45</v>
      </c>
      <c r="X167">
        <v>12.6</v>
      </c>
      <c r="Y167">
        <v>5.29</v>
      </c>
      <c r="AA167" t="s">
        <v>47</v>
      </c>
      <c r="AD167">
        <v>0</v>
      </c>
      <c r="AE167">
        <v>3</v>
      </c>
      <c r="AF167" t="s">
        <v>34</v>
      </c>
      <c r="AG167">
        <v>21</v>
      </c>
      <c r="AH167">
        <v>181</v>
      </c>
      <c r="AI167">
        <v>96</v>
      </c>
      <c r="AJ167" t="s">
        <v>44</v>
      </c>
      <c r="AK167">
        <v>67.400000000000006</v>
      </c>
      <c r="AL167">
        <v>8.82</v>
      </c>
      <c r="AM167">
        <v>0.5</v>
      </c>
      <c r="AN167">
        <v>97.41</v>
      </c>
    </row>
    <row r="168" spans="14:40" x14ac:dyDescent="0.3">
      <c r="N168" t="s">
        <v>389</v>
      </c>
      <c r="O168" t="s">
        <v>68</v>
      </c>
      <c r="P168" t="s">
        <v>29</v>
      </c>
      <c r="Q168" t="s">
        <v>390</v>
      </c>
      <c r="R168" t="s">
        <v>75</v>
      </c>
      <c r="S168" t="s">
        <v>32</v>
      </c>
      <c r="T168">
        <v>75</v>
      </c>
      <c r="U168">
        <v>1</v>
      </c>
      <c r="V168">
        <v>1</v>
      </c>
      <c r="W168">
        <v>57.22</v>
      </c>
      <c r="X168">
        <v>7.3</v>
      </c>
      <c r="Y168">
        <v>8.9600000000000009</v>
      </c>
      <c r="AA168" t="s">
        <v>33</v>
      </c>
      <c r="AD168">
        <v>0</v>
      </c>
      <c r="AE168">
        <v>1</v>
      </c>
      <c r="AF168" t="s">
        <v>61</v>
      </c>
      <c r="AG168">
        <v>18</v>
      </c>
      <c r="AH168">
        <v>187</v>
      </c>
      <c r="AI168">
        <v>80</v>
      </c>
      <c r="AJ168" t="s">
        <v>44</v>
      </c>
      <c r="AK168">
        <v>58.4</v>
      </c>
      <c r="AL168">
        <v>6.02</v>
      </c>
      <c r="AM168">
        <v>1.23</v>
      </c>
      <c r="AN168">
        <v>98.58</v>
      </c>
    </row>
    <row r="169" spans="14:40" x14ac:dyDescent="0.3">
      <c r="N169" t="s">
        <v>391</v>
      </c>
      <c r="O169" t="s">
        <v>64</v>
      </c>
      <c r="P169" t="s">
        <v>38</v>
      </c>
      <c r="Q169" t="s">
        <v>392</v>
      </c>
      <c r="R169" t="s">
        <v>31</v>
      </c>
      <c r="S169" t="s">
        <v>32</v>
      </c>
      <c r="T169">
        <v>78</v>
      </c>
      <c r="U169">
        <v>0</v>
      </c>
      <c r="V169">
        <v>4</v>
      </c>
      <c r="W169">
        <v>77.040000000000006</v>
      </c>
      <c r="X169">
        <v>14.5</v>
      </c>
      <c r="Y169">
        <v>11.06</v>
      </c>
      <c r="AA169" t="s">
        <v>47</v>
      </c>
      <c r="AD169">
        <v>0</v>
      </c>
      <c r="AE169">
        <v>3</v>
      </c>
      <c r="AF169" t="s">
        <v>61</v>
      </c>
      <c r="AG169">
        <v>35</v>
      </c>
      <c r="AH169">
        <v>188</v>
      </c>
      <c r="AI169">
        <v>67</v>
      </c>
      <c r="AJ169" t="s">
        <v>62</v>
      </c>
      <c r="AK169">
        <v>66.2</v>
      </c>
      <c r="AL169">
        <v>6.67</v>
      </c>
      <c r="AM169">
        <v>1.47</v>
      </c>
      <c r="AN169">
        <v>79.8</v>
      </c>
    </row>
    <row r="170" spans="14:40" x14ac:dyDescent="0.3">
      <c r="N170" t="s">
        <v>393</v>
      </c>
      <c r="O170" t="s">
        <v>37</v>
      </c>
      <c r="P170" t="s">
        <v>82</v>
      </c>
      <c r="Q170" t="s">
        <v>394</v>
      </c>
      <c r="R170" t="s">
        <v>40</v>
      </c>
      <c r="S170" t="s">
        <v>41</v>
      </c>
      <c r="T170">
        <v>21</v>
      </c>
      <c r="U170">
        <v>0</v>
      </c>
      <c r="V170">
        <v>0</v>
      </c>
      <c r="W170">
        <v>52</v>
      </c>
      <c r="X170">
        <v>5.7</v>
      </c>
      <c r="Y170">
        <v>10.98</v>
      </c>
      <c r="Z170" s="1">
        <v>45096</v>
      </c>
      <c r="AA170" t="s">
        <v>42</v>
      </c>
      <c r="AD170">
        <v>1</v>
      </c>
      <c r="AE170">
        <v>3</v>
      </c>
      <c r="AF170" t="s">
        <v>34</v>
      </c>
      <c r="AG170">
        <v>30</v>
      </c>
      <c r="AH170">
        <v>172</v>
      </c>
      <c r="AI170">
        <v>68</v>
      </c>
      <c r="AJ170" t="s">
        <v>70</v>
      </c>
      <c r="AK170">
        <v>61.7</v>
      </c>
      <c r="AL170">
        <v>8.85</v>
      </c>
      <c r="AM170">
        <v>0.72</v>
      </c>
      <c r="AN170">
        <v>80.63</v>
      </c>
    </row>
    <row r="171" spans="14:40" x14ac:dyDescent="0.3">
      <c r="N171" t="s">
        <v>395</v>
      </c>
      <c r="O171" t="s">
        <v>28</v>
      </c>
      <c r="P171" t="s">
        <v>38</v>
      </c>
      <c r="Q171" t="s">
        <v>396</v>
      </c>
      <c r="R171" t="s">
        <v>40</v>
      </c>
      <c r="S171" t="s">
        <v>32</v>
      </c>
      <c r="T171">
        <v>21</v>
      </c>
      <c r="U171">
        <v>2</v>
      </c>
      <c r="V171">
        <v>6</v>
      </c>
      <c r="W171">
        <v>90.79</v>
      </c>
      <c r="X171">
        <v>19</v>
      </c>
      <c r="Y171">
        <v>12.93</v>
      </c>
      <c r="AA171" t="s">
        <v>43</v>
      </c>
      <c r="AC171">
        <v>55</v>
      </c>
      <c r="AD171">
        <v>1</v>
      </c>
      <c r="AE171">
        <v>2</v>
      </c>
      <c r="AF171" t="s">
        <v>52</v>
      </c>
      <c r="AG171">
        <v>19</v>
      </c>
      <c r="AH171">
        <v>177</v>
      </c>
      <c r="AI171">
        <v>74</v>
      </c>
      <c r="AJ171" t="s">
        <v>62</v>
      </c>
      <c r="AK171">
        <v>43.6</v>
      </c>
      <c r="AL171">
        <v>8.67</v>
      </c>
      <c r="AM171">
        <v>1.1599999999999999</v>
      </c>
      <c r="AN171">
        <v>85.17</v>
      </c>
    </row>
    <row r="172" spans="14:40" x14ac:dyDescent="0.3">
      <c r="N172" t="s">
        <v>397</v>
      </c>
      <c r="O172" t="s">
        <v>28</v>
      </c>
      <c r="P172" t="s">
        <v>29</v>
      </c>
      <c r="Q172" t="s">
        <v>398</v>
      </c>
      <c r="R172" t="s">
        <v>51</v>
      </c>
      <c r="S172" t="s">
        <v>41</v>
      </c>
      <c r="T172">
        <v>73</v>
      </c>
      <c r="U172">
        <v>1</v>
      </c>
      <c r="V172">
        <v>0</v>
      </c>
      <c r="W172">
        <v>51.99</v>
      </c>
      <c r="X172">
        <v>5.7</v>
      </c>
      <c r="Y172">
        <v>11.55</v>
      </c>
      <c r="AA172" t="s">
        <v>47</v>
      </c>
      <c r="AD172">
        <v>1</v>
      </c>
      <c r="AE172">
        <v>0</v>
      </c>
      <c r="AF172" t="s">
        <v>61</v>
      </c>
      <c r="AG172">
        <v>26</v>
      </c>
      <c r="AH172">
        <v>161</v>
      </c>
      <c r="AI172">
        <v>99</v>
      </c>
      <c r="AJ172" t="s">
        <v>62</v>
      </c>
      <c r="AK172">
        <v>67.099999999999994</v>
      </c>
      <c r="AL172">
        <v>9.86</v>
      </c>
      <c r="AM172">
        <v>1.24</v>
      </c>
      <c r="AN172">
        <v>98.23</v>
      </c>
    </row>
    <row r="173" spans="14:40" x14ac:dyDescent="0.3">
      <c r="N173" t="s">
        <v>399</v>
      </c>
      <c r="O173" t="s">
        <v>37</v>
      </c>
      <c r="P173" t="s">
        <v>38</v>
      </c>
      <c r="Q173" t="s">
        <v>400</v>
      </c>
      <c r="R173" t="s">
        <v>40</v>
      </c>
      <c r="S173" t="s">
        <v>32</v>
      </c>
      <c r="T173">
        <v>20</v>
      </c>
      <c r="U173">
        <v>0</v>
      </c>
      <c r="V173">
        <v>3</v>
      </c>
      <c r="W173">
        <v>71.34</v>
      </c>
      <c r="X173">
        <v>12.5</v>
      </c>
      <c r="Y173">
        <v>14.92</v>
      </c>
      <c r="AA173" t="s">
        <v>33</v>
      </c>
      <c r="AB173" s="1">
        <v>45029</v>
      </c>
      <c r="AD173">
        <v>0</v>
      </c>
      <c r="AE173">
        <v>3</v>
      </c>
      <c r="AF173" t="s">
        <v>34</v>
      </c>
      <c r="AG173">
        <v>38</v>
      </c>
      <c r="AH173">
        <v>188</v>
      </c>
      <c r="AI173">
        <v>77</v>
      </c>
      <c r="AJ173" t="s">
        <v>35</v>
      </c>
      <c r="AK173">
        <v>42</v>
      </c>
      <c r="AL173">
        <v>9.0399999999999991</v>
      </c>
      <c r="AM173">
        <v>1.35</v>
      </c>
      <c r="AN173">
        <v>96.29</v>
      </c>
    </row>
    <row r="174" spans="14:40" x14ac:dyDescent="0.3">
      <c r="N174" t="s">
        <v>401</v>
      </c>
      <c r="O174" t="s">
        <v>28</v>
      </c>
      <c r="P174" t="s">
        <v>29</v>
      </c>
      <c r="Q174" t="s">
        <v>402</v>
      </c>
      <c r="R174" t="s">
        <v>31</v>
      </c>
      <c r="S174" t="s">
        <v>32</v>
      </c>
      <c r="T174">
        <v>38</v>
      </c>
      <c r="U174">
        <v>4</v>
      </c>
      <c r="V174">
        <v>0</v>
      </c>
      <c r="W174">
        <v>51.69</v>
      </c>
      <c r="X174">
        <v>5.6</v>
      </c>
      <c r="Y174">
        <v>7.84</v>
      </c>
      <c r="AA174" t="s">
        <v>43</v>
      </c>
      <c r="AB174" s="1">
        <v>45156</v>
      </c>
      <c r="AD174">
        <v>0</v>
      </c>
      <c r="AE174">
        <v>4</v>
      </c>
      <c r="AF174" t="s">
        <v>61</v>
      </c>
      <c r="AG174">
        <v>19</v>
      </c>
      <c r="AH174">
        <v>180</v>
      </c>
      <c r="AI174">
        <v>79</v>
      </c>
      <c r="AJ174" t="s">
        <v>35</v>
      </c>
      <c r="AK174">
        <v>56</v>
      </c>
      <c r="AL174">
        <v>9.8000000000000007</v>
      </c>
      <c r="AM174">
        <v>0.92</v>
      </c>
      <c r="AN174">
        <v>73.08</v>
      </c>
    </row>
    <row r="175" spans="14:40" x14ac:dyDescent="0.3">
      <c r="N175" t="s">
        <v>403</v>
      </c>
      <c r="O175" t="s">
        <v>37</v>
      </c>
      <c r="P175" t="s">
        <v>38</v>
      </c>
      <c r="Q175" t="s">
        <v>404</v>
      </c>
      <c r="R175" t="s">
        <v>80</v>
      </c>
      <c r="S175" t="s">
        <v>32</v>
      </c>
      <c r="T175">
        <v>21</v>
      </c>
      <c r="U175">
        <v>3</v>
      </c>
      <c r="V175">
        <v>0</v>
      </c>
      <c r="W175">
        <v>51.65</v>
      </c>
      <c r="X175">
        <v>5.6</v>
      </c>
      <c r="Y175">
        <v>8.59</v>
      </c>
      <c r="Z175" s="1">
        <v>44944</v>
      </c>
      <c r="AA175" t="s">
        <v>47</v>
      </c>
      <c r="AB175" s="1">
        <v>45047</v>
      </c>
      <c r="AD175">
        <v>0</v>
      </c>
      <c r="AE175">
        <v>0</v>
      </c>
      <c r="AF175" t="s">
        <v>61</v>
      </c>
      <c r="AG175">
        <v>26</v>
      </c>
      <c r="AH175">
        <v>174</v>
      </c>
      <c r="AI175">
        <v>65</v>
      </c>
      <c r="AJ175" t="s">
        <v>53</v>
      </c>
      <c r="AK175">
        <v>44.3</v>
      </c>
      <c r="AL175">
        <v>8.81</v>
      </c>
      <c r="AM175">
        <v>0.8</v>
      </c>
      <c r="AN175">
        <v>81.78</v>
      </c>
    </row>
    <row r="176" spans="14:40" x14ac:dyDescent="0.3">
      <c r="N176" t="s">
        <v>405</v>
      </c>
      <c r="O176" t="s">
        <v>68</v>
      </c>
      <c r="P176" t="s">
        <v>65</v>
      </c>
      <c r="Q176" t="s">
        <v>406</v>
      </c>
      <c r="R176" t="s">
        <v>80</v>
      </c>
      <c r="S176" t="s">
        <v>32</v>
      </c>
      <c r="T176">
        <v>72</v>
      </c>
      <c r="U176">
        <v>1</v>
      </c>
      <c r="V176">
        <v>3</v>
      </c>
      <c r="W176">
        <v>71.290000000000006</v>
      </c>
      <c r="X176">
        <v>12.5</v>
      </c>
      <c r="Y176">
        <v>8.84</v>
      </c>
      <c r="AA176" t="s">
        <v>33</v>
      </c>
      <c r="AD176">
        <v>0</v>
      </c>
      <c r="AE176">
        <v>1</v>
      </c>
      <c r="AF176" t="s">
        <v>52</v>
      </c>
      <c r="AG176">
        <v>18</v>
      </c>
      <c r="AH176">
        <v>186</v>
      </c>
      <c r="AI176">
        <v>71</v>
      </c>
      <c r="AJ176" t="s">
        <v>44</v>
      </c>
      <c r="AK176">
        <v>40.4</v>
      </c>
      <c r="AL176">
        <v>7.19</v>
      </c>
      <c r="AM176">
        <v>0.83</v>
      </c>
      <c r="AN176">
        <v>86.6</v>
      </c>
    </row>
    <row r="177" spans="14:40" x14ac:dyDescent="0.3">
      <c r="N177" t="s">
        <v>407</v>
      </c>
      <c r="O177" t="s">
        <v>68</v>
      </c>
      <c r="P177" t="s">
        <v>29</v>
      </c>
      <c r="Q177" t="s">
        <v>408</v>
      </c>
      <c r="R177" t="s">
        <v>51</v>
      </c>
      <c r="S177" t="s">
        <v>32</v>
      </c>
      <c r="T177">
        <v>63</v>
      </c>
      <c r="U177">
        <v>1</v>
      </c>
      <c r="V177">
        <v>5</v>
      </c>
      <c r="W177">
        <v>84.13</v>
      </c>
      <c r="X177">
        <v>16.7</v>
      </c>
      <c r="Y177">
        <v>9.66</v>
      </c>
      <c r="AA177" t="s">
        <v>43</v>
      </c>
      <c r="AD177">
        <v>0</v>
      </c>
      <c r="AE177">
        <v>2</v>
      </c>
      <c r="AF177" t="s">
        <v>34</v>
      </c>
      <c r="AG177">
        <v>28</v>
      </c>
      <c r="AH177">
        <v>190</v>
      </c>
      <c r="AI177">
        <v>61</v>
      </c>
      <c r="AJ177" t="s">
        <v>53</v>
      </c>
      <c r="AK177">
        <v>52.7</v>
      </c>
      <c r="AL177">
        <v>6.42</v>
      </c>
      <c r="AM177">
        <v>1.21</v>
      </c>
      <c r="AN177">
        <v>85.09</v>
      </c>
    </row>
    <row r="178" spans="14:40" x14ac:dyDescent="0.3">
      <c r="N178" t="s">
        <v>409</v>
      </c>
      <c r="O178" t="s">
        <v>28</v>
      </c>
      <c r="P178" t="s">
        <v>29</v>
      </c>
      <c r="Q178" t="s">
        <v>410</v>
      </c>
      <c r="R178" t="s">
        <v>31</v>
      </c>
      <c r="S178" t="s">
        <v>41</v>
      </c>
      <c r="T178">
        <v>51</v>
      </c>
      <c r="U178">
        <v>2</v>
      </c>
      <c r="V178">
        <v>5</v>
      </c>
      <c r="W178">
        <v>84.05</v>
      </c>
      <c r="X178">
        <v>16.600000000000001</v>
      </c>
      <c r="Y178">
        <v>13.36</v>
      </c>
      <c r="Z178" s="1">
        <v>44942</v>
      </c>
      <c r="AA178" t="s">
        <v>43</v>
      </c>
      <c r="AB178" s="1">
        <v>45054</v>
      </c>
      <c r="AD178">
        <v>0</v>
      </c>
      <c r="AE178">
        <v>1</v>
      </c>
      <c r="AF178" t="s">
        <v>61</v>
      </c>
      <c r="AG178">
        <v>20</v>
      </c>
      <c r="AH178">
        <v>174</v>
      </c>
      <c r="AI178">
        <v>66</v>
      </c>
      <c r="AJ178" t="s">
        <v>62</v>
      </c>
      <c r="AK178">
        <v>48.9</v>
      </c>
      <c r="AL178">
        <v>9.1300000000000008</v>
      </c>
      <c r="AM178">
        <v>1.32</v>
      </c>
      <c r="AN178">
        <v>75.819999999999993</v>
      </c>
    </row>
    <row r="179" spans="14:40" x14ac:dyDescent="0.3">
      <c r="N179" t="s">
        <v>411</v>
      </c>
      <c r="O179" t="s">
        <v>37</v>
      </c>
      <c r="P179" t="s">
        <v>65</v>
      </c>
      <c r="Q179" t="s">
        <v>412</v>
      </c>
      <c r="R179" t="s">
        <v>31</v>
      </c>
      <c r="S179" t="s">
        <v>32</v>
      </c>
      <c r="T179">
        <v>89</v>
      </c>
      <c r="U179">
        <v>2</v>
      </c>
      <c r="V179">
        <v>3</v>
      </c>
      <c r="W179">
        <v>71.2</v>
      </c>
      <c r="X179">
        <v>12.4</v>
      </c>
      <c r="Y179">
        <v>7.36</v>
      </c>
      <c r="AA179" t="s">
        <v>33</v>
      </c>
      <c r="AD179">
        <v>1</v>
      </c>
      <c r="AE179">
        <v>1</v>
      </c>
      <c r="AF179" t="s">
        <v>43</v>
      </c>
      <c r="AG179">
        <v>37</v>
      </c>
      <c r="AH179">
        <v>182</v>
      </c>
      <c r="AI179">
        <v>75</v>
      </c>
      <c r="AJ179" t="s">
        <v>62</v>
      </c>
      <c r="AK179">
        <v>54.6</v>
      </c>
      <c r="AL179">
        <v>8.58</v>
      </c>
      <c r="AM179">
        <v>0.68</v>
      </c>
      <c r="AN179">
        <v>95.76</v>
      </c>
    </row>
    <row r="180" spans="14:40" x14ac:dyDescent="0.3">
      <c r="N180" t="s">
        <v>413</v>
      </c>
      <c r="O180" t="s">
        <v>37</v>
      </c>
      <c r="P180" t="s">
        <v>38</v>
      </c>
      <c r="Q180" t="s">
        <v>414</v>
      </c>
      <c r="R180" t="s">
        <v>40</v>
      </c>
      <c r="S180" t="s">
        <v>41</v>
      </c>
      <c r="T180">
        <v>51</v>
      </c>
      <c r="U180">
        <v>4</v>
      </c>
      <c r="V180">
        <v>6</v>
      </c>
      <c r="W180">
        <v>90.67</v>
      </c>
      <c r="X180">
        <v>19</v>
      </c>
      <c r="Y180">
        <v>12.76</v>
      </c>
      <c r="Z180" s="1">
        <v>45149</v>
      </c>
      <c r="AA180" t="s">
        <v>47</v>
      </c>
      <c r="AB180" s="1">
        <v>45267</v>
      </c>
      <c r="AD180">
        <v>0</v>
      </c>
      <c r="AE180">
        <v>0</v>
      </c>
      <c r="AF180" t="s">
        <v>61</v>
      </c>
      <c r="AG180">
        <v>21</v>
      </c>
      <c r="AH180">
        <v>183</v>
      </c>
      <c r="AI180">
        <v>62</v>
      </c>
      <c r="AJ180" t="s">
        <v>70</v>
      </c>
      <c r="AK180">
        <v>57.3</v>
      </c>
      <c r="AL180">
        <v>6.19</v>
      </c>
      <c r="AM180">
        <v>0.87</v>
      </c>
      <c r="AN180">
        <v>90.31</v>
      </c>
    </row>
    <row r="181" spans="14:40" x14ac:dyDescent="0.3">
      <c r="N181" t="s">
        <v>415</v>
      </c>
      <c r="O181" t="s">
        <v>28</v>
      </c>
      <c r="P181" t="s">
        <v>38</v>
      </c>
      <c r="Q181" t="s">
        <v>416</v>
      </c>
      <c r="R181" t="s">
        <v>94</v>
      </c>
      <c r="S181" t="s">
        <v>32</v>
      </c>
      <c r="T181">
        <v>87</v>
      </c>
      <c r="U181">
        <v>4</v>
      </c>
      <c r="V181">
        <v>4</v>
      </c>
      <c r="W181">
        <v>76.92</v>
      </c>
      <c r="X181">
        <v>14.4</v>
      </c>
      <c r="Y181">
        <v>9.0500000000000007</v>
      </c>
      <c r="AA181" t="s">
        <v>42</v>
      </c>
      <c r="AD181">
        <v>0</v>
      </c>
      <c r="AE181">
        <v>1</v>
      </c>
      <c r="AF181" t="s">
        <v>52</v>
      </c>
      <c r="AG181">
        <v>35</v>
      </c>
      <c r="AH181">
        <v>172</v>
      </c>
      <c r="AI181">
        <v>62</v>
      </c>
      <c r="AJ181" t="s">
        <v>48</v>
      </c>
      <c r="AK181">
        <v>41.3</v>
      </c>
      <c r="AL181">
        <v>7.44</v>
      </c>
      <c r="AM181">
        <v>1.4</v>
      </c>
      <c r="AN181">
        <v>95.14</v>
      </c>
    </row>
    <row r="182" spans="14:40" x14ac:dyDescent="0.3">
      <c r="N182" t="s">
        <v>417</v>
      </c>
      <c r="O182" t="s">
        <v>68</v>
      </c>
      <c r="P182" t="s">
        <v>65</v>
      </c>
      <c r="Q182" t="s">
        <v>418</v>
      </c>
      <c r="R182" t="s">
        <v>75</v>
      </c>
      <c r="S182" t="s">
        <v>41</v>
      </c>
      <c r="T182">
        <v>74</v>
      </c>
      <c r="U182">
        <v>0</v>
      </c>
      <c r="V182">
        <v>0</v>
      </c>
      <c r="W182">
        <v>51.59</v>
      </c>
      <c r="X182">
        <v>5.6</v>
      </c>
      <c r="Y182">
        <v>11.02</v>
      </c>
      <c r="AA182" t="s">
        <v>47</v>
      </c>
      <c r="AD182">
        <v>0</v>
      </c>
      <c r="AE182">
        <v>3</v>
      </c>
      <c r="AF182" t="s">
        <v>43</v>
      </c>
      <c r="AG182">
        <v>23</v>
      </c>
      <c r="AH182">
        <v>181</v>
      </c>
      <c r="AI182">
        <v>86</v>
      </c>
      <c r="AJ182" t="s">
        <v>44</v>
      </c>
      <c r="AK182">
        <v>43.7</v>
      </c>
      <c r="AL182">
        <v>9.83</v>
      </c>
      <c r="AM182">
        <v>1.31</v>
      </c>
      <c r="AN182">
        <v>95.76</v>
      </c>
    </row>
    <row r="183" spans="14:40" x14ac:dyDescent="0.3">
      <c r="N183" t="s">
        <v>419</v>
      </c>
      <c r="O183" t="s">
        <v>68</v>
      </c>
      <c r="P183" t="s">
        <v>38</v>
      </c>
      <c r="Q183" t="s">
        <v>420</v>
      </c>
      <c r="R183" t="s">
        <v>51</v>
      </c>
      <c r="S183" t="s">
        <v>32</v>
      </c>
      <c r="T183">
        <v>94</v>
      </c>
      <c r="U183">
        <v>0</v>
      </c>
      <c r="V183">
        <v>6</v>
      </c>
      <c r="W183">
        <v>90.65</v>
      </c>
      <c r="X183">
        <v>19</v>
      </c>
      <c r="Y183">
        <v>11.33</v>
      </c>
      <c r="Z183" s="1">
        <v>45242</v>
      </c>
      <c r="AA183" t="s">
        <v>43</v>
      </c>
      <c r="AB183" s="1">
        <v>44979</v>
      </c>
      <c r="AD183">
        <v>0</v>
      </c>
      <c r="AE183">
        <v>1</v>
      </c>
      <c r="AF183" t="s">
        <v>52</v>
      </c>
      <c r="AG183">
        <v>20</v>
      </c>
      <c r="AH183">
        <v>196</v>
      </c>
      <c r="AI183">
        <v>99</v>
      </c>
      <c r="AJ183" t="s">
        <v>35</v>
      </c>
      <c r="AK183">
        <v>56.8</v>
      </c>
      <c r="AL183">
        <v>8</v>
      </c>
      <c r="AM183">
        <v>1.48</v>
      </c>
      <c r="AN183">
        <v>92.45</v>
      </c>
    </row>
    <row r="184" spans="14:40" x14ac:dyDescent="0.3">
      <c r="N184" t="s">
        <v>421</v>
      </c>
      <c r="O184" t="s">
        <v>28</v>
      </c>
      <c r="P184" t="s">
        <v>29</v>
      </c>
      <c r="Q184" t="s">
        <v>422</v>
      </c>
      <c r="R184" t="s">
        <v>40</v>
      </c>
      <c r="S184" t="s">
        <v>41</v>
      </c>
      <c r="T184">
        <v>75</v>
      </c>
      <c r="U184">
        <v>4</v>
      </c>
      <c r="V184">
        <v>0</v>
      </c>
      <c r="W184">
        <v>51.57</v>
      </c>
      <c r="X184">
        <v>5.5</v>
      </c>
      <c r="Y184">
        <v>8.73</v>
      </c>
      <c r="Z184" s="1">
        <v>45255</v>
      </c>
      <c r="AA184" t="s">
        <v>33</v>
      </c>
      <c r="AD184">
        <v>0</v>
      </c>
      <c r="AE184">
        <v>2</v>
      </c>
      <c r="AF184" t="s">
        <v>34</v>
      </c>
      <c r="AG184">
        <v>39</v>
      </c>
      <c r="AH184">
        <v>192</v>
      </c>
      <c r="AI184">
        <v>97</v>
      </c>
      <c r="AJ184" t="s">
        <v>48</v>
      </c>
      <c r="AK184">
        <v>50.3</v>
      </c>
      <c r="AL184">
        <v>7.73</v>
      </c>
      <c r="AM184">
        <v>1.25</v>
      </c>
      <c r="AN184">
        <v>83.18</v>
      </c>
    </row>
    <row r="185" spans="14:40" x14ac:dyDescent="0.3">
      <c r="N185" t="s">
        <v>423</v>
      </c>
      <c r="O185" t="s">
        <v>28</v>
      </c>
      <c r="P185" t="s">
        <v>38</v>
      </c>
      <c r="Q185" t="s">
        <v>424</v>
      </c>
      <c r="R185" t="s">
        <v>31</v>
      </c>
      <c r="S185" t="s">
        <v>32</v>
      </c>
      <c r="T185">
        <v>36</v>
      </c>
      <c r="U185">
        <v>4</v>
      </c>
      <c r="V185">
        <v>4</v>
      </c>
      <c r="W185">
        <v>76.88</v>
      </c>
      <c r="X185">
        <v>14.4</v>
      </c>
      <c r="Y185">
        <v>10.130000000000001</v>
      </c>
      <c r="AA185" t="s">
        <v>43</v>
      </c>
      <c r="AB185" s="1">
        <v>45001</v>
      </c>
      <c r="AD185">
        <v>0</v>
      </c>
      <c r="AE185">
        <v>2</v>
      </c>
      <c r="AF185" t="s">
        <v>34</v>
      </c>
      <c r="AG185">
        <v>28</v>
      </c>
      <c r="AH185">
        <v>162</v>
      </c>
      <c r="AI185">
        <v>92</v>
      </c>
      <c r="AJ185" t="s">
        <v>44</v>
      </c>
      <c r="AK185">
        <v>61.9</v>
      </c>
      <c r="AL185">
        <v>7.83</v>
      </c>
      <c r="AM185">
        <v>0.89</v>
      </c>
      <c r="AN185">
        <v>88.32</v>
      </c>
    </row>
    <row r="186" spans="14:40" x14ac:dyDescent="0.3">
      <c r="N186" t="s">
        <v>425</v>
      </c>
      <c r="O186" t="s">
        <v>28</v>
      </c>
      <c r="P186" t="s">
        <v>29</v>
      </c>
      <c r="Q186" t="s">
        <v>426</v>
      </c>
      <c r="R186" t="s">
        <v>75</v>
      </c>
      <c r="S186" t="s">
        <v>41</v>
      </c>
      <c r="T186">
        <v>57</v>
      </c>
      <c r="U186">
        <v>3</v>
      </c>
      <c r="V186">
        <v>5</v>
      </c>
      <c r="W186">
        <v>83.92</v>
      </c>
      <c r="X186">
        <v>16.5</v>
      </c>
      <c r="Y186">
        <v>9.1300000000000008</v>
      </c>
      <c r="AA186" t="s">
        <v>47</v>
      </c>
      <c r="AD186">
        <v>0</v>
      </c>
      <c r="AE186">
        <v>4</v>
      </c>
      <c r="AF186" t="s">
        <v>43</v>
      </c>
      <c r="AG186">
        <v>32</v>
      </c>
      <c r="AH186">
        <v>178</v>
      </c>
      <c r="AI186">
        <v>87</v>
      </c>
      <c r="AJ186" t="s">
        <v>70</v>
      </c>
      <c r="AK186">
        <v>59.6</v>
      </c>
      <c r="AL186">
        <v>6.84</v>
      </c>
      <c r="AM186">
        <v>1.0900000000000001</v>
      </c>
      <c r="AN186">
        <v>74.81</v>
      </c>
    </row>
    <row r="187" spans="14:40" x14ac:dyDescent="0.3">
      <c r="N187" t="s">
        <v>427</v>
      </c>
      <c r="O187" t="s">
        <v>64</v>
      </c>
      <c r="P187" t="s">
        <v>38</v>
      </c>
      <c r="Q187" t="s">
        <v>428</v>
      </c>
      <c r="R187" t="s">
        <v>94</v>
      </c>
      <c r="S187" t="s">
        <v>41</v>
      </c>
      <c r="T187">
        <v>43</v>
      </c>
      <c r="U187">
        <v>2</v>
      </c>
      <c r="V187">
        <v>6</v>
      </c>
      <c r="W187">
        <v>90.53</v>
      </c>
      <c r="X187">
        <v>18.899999999999999</v>
      </c>
      <c r="Y187">
        <v>5.69</v>
      </c>
      <c r="Z187" s="1">
        <v>44937</v>
      </c>
      <c r="AA187" t="s">
        <v>42</v>
      </c>
      <c r="AD187">
        <v>0</v>
      </c>
      <c r="AE187">
        <v>2</v>
      </c>
      <c r="AF187" t="s">
        <v>43</v>
      </c>
      <c r="AG187">
        <v>39</v>
      </c>
      <c r="AH187">
        <v>182</v>
      </c>
      <c r="AI187">
        <v>60</v>
      </c>
      <c r="AJ187" t="s">
        <v>70</v>
      </c>
      <c r="AK187">
        <v>65.400000000000006</v>
      </c>
      <c r="AL187">
        <v>7.47</v>
      </c>
      <c r="AM187">
        <v>1.1599999999999999</v>
      </c>
      <c r="AN187">
        <v>90.21</v>
      </c>
    </row>
    <row r="188" spans="14:40" x14ac:dyDescent="0.3">
      <c r="N188" t="s">
        <v>429</v>
      </c>
      <c r="O188" t="s">
        <v>28</v>
      </c>
      <c r="P188" t="s">
        <v>29</v>
      </c>
      <c r="Q188" t="s">
        <v>430</v>
      </c>
      <c r="R188" t="s">
        <v>51</v>
      </c>
      <c r="S188" t="s">
        <v>41</v>
      </c>
      <c r="T188">
        <v>88</v>
      </c>
      <c r="U188">
        <v>0</v>
      </c>
      <c r="V188">
        <v>2</v>
      </c>
      <c r="W188">
        <v>65.11</v>
      </c>
      <c r="X188">
        <v>10.3</v>
      </c>
      <c r="Y188">
        <v>9.3699999999999992</v>
      </c>
      <c r="AA188" t="s">
        <v>42</v>
      </c>
      <c r="AD188">
        <v>1</v>
      </c>
      <c r="AE188">
        <v>1</v>
      </c>
      <c r="AF188" t="s">
        <v>34</v>
      </c>
      <c r="AG188">
        <v>22</v>
      </c>
      <c r="AH188">
        <v>188</v>
      </c>
      <c r="AI188">
        <v>67</v>
      </c>
      <c r="AJ188" t="s">
        <v>35</v>
      </c>
      <c r="AK188">
        <v>60.8</v>
      </c>
      <c r="AL188">
        <v>7.48</v>
      </c>
      <c r="AM188">
        <v>0.57999999999999996</v>
      </c>
      <c r="AN188">
        <v>75.38</v>
      </c>
    </row>
    <row r="189" spans="14:40" x14ac:dyDescent="0.3">
      <c r="N189" t="s">
        <v>431</v>
      </c>
      <c r="O189" t="s">
        <v>68</v>
      </c>
      <c r="P189" t="s">
        <v>29</v>
      </c>
      <c r="Q189" t="s">
        <v>432</v>
      </c>
      <c r="R189" t="s">
        <v>75</v>
      </c>
      <c r="S189" t="s">
        <v>41</v>
      </c>
      <c r="T189">
        <v>89</v>
      </c>
      <c r="U189">
        <v>2</v>
      </c>
      <c r="V189">
        <v>2</v>
      </c>
      <c r="W189">
        <v>65.03</v>
      </c>
      <c r="X189">
        <v>10.3</v>
      </c>
      <c r="Y189">
        <v>5.97</v>
      </c>
      <c r="AA189" t="s">
        <v>47</v>
      </c>
      <c r="AD189">
        <v>1</v>
      </c>
      <c r="AE189">
        <v>2</v>
      </c>
      <c r="AF189" t="s">
        <v>61</v>
      </c>
      <c r="AG189">
        <v>37</v>
      </c>
      <c r="AH189">
        <v>189</v>
      </c>
      <c r="AI189">
        <v>96</v>
      </c>
      <c r="AJ189" t="s">
        <v>62</v>
      </c>
      <c r="AK189">
        <v>52.9</v>
      </c>
      <c r="AL189">
        <v>6.21</v>
      </c>
      <c r="AM189">
        <v>1.04</v>
      </c>
      <c r="AN189">
        <v>90.82</v>
      </c>
    </row>
    <row r="190" spans="14:40" x14ac:dyDescent="0.3">
      <c r="N190" t="s">
        <v>433</v>
      </c>
      <c r="O190" t="s">
        <v>37</v>
      </c>
      <c r="P190" t="s">
        <v>38</v>
      </c>
      <c r="Q190" t="s">
        <v>434</v>
      </c>
      <c r="R190" t="s">
        <v>75</v>
      </c>
      <c r="S190" t="s">
        <v>41</v>
      </c>
      <c r="T190">
        <v>30</v>
      </c>
      <c r="U190">
        <v>2</v>
      </c>
      <c r="V190">
        <v>2</v>
      </c>
      <c r="W190">
        <v>64.81</v>
      </c>
      <c r="X190">
        <v>10.3</v>
      </c>
      <c r="Y190">
        <v>9.0500000000000007</v>
      </c>
      <c r="AA190" t="s">
        <v>42</v>
      </c>
      <c r="AD190">
        <v>0</v>
      </c>
      <c r="AE190">
        <v>0</v>
      </c>
      <c r="AF190" t="s">
        <v>43</v>
      </c>
      <c r="AG190">
        <v>27</v>
      </c>
      <c r="AH190">
        <v>198</v>
      </c>
      <c r="AI190">
        <v>91</v>
      </c>
      <c r="AJ190" t="s">
        <v>62</v>
      </c>
      <c r="AK190">
        <v>60.2</v>
      </c>
      <c r="AL190">
        <v>9.07</v>
      </c>
      <c r="AM190">
        <v>1.21</v>
      </c>
      <c r="AN190">
        <v>76.89</v>
      </c>
    </row>
    <row r="191" spans="14:40" x14ac:dyDescent="0.3">
      <c r="N191" t="s">
        <v>435</v>
      </c>
      <c r="O191" t="s">
        <v>68</v>
      </c>
      <c r="P191" t="s">
        <v>38</v>
      </c>
      <c r="Q191" t="s">
        <v>436</v>
      </c>
      <c r="R191" t="s">
        <v>51</v>
      </c>
      <c r="S191" t="s">
        <v>32</v>
      </c>
      <c r="T191">
        <v>35</v>
      </c>
      <c r="U191">
        <v>4</v>
      </c>
      <c r="V191">
        <v>5</v>
      </c>
      <c r="W191">
        <v>83.65</v>
      </c>
      <c r="X191">
        <v>16.399999999999999</v>
      </c>
      <c r="Y191">
        <v>10.93</v>
      </c>
      <c r="AA191" t="s">
        <v>42</v>
      </c>
      <c r="AD191">
        <v>0</v>
      </c>
      <c r="AE191">
        <v>2</v>
      </c>
      <c r="AF191" t="s">
        <v>61</v>
      </c>
      <c r="AG191">
        <v>29</v>
      </c>
      <c r="AH191">
        <v>184</v>
      </c>
      <c r="AI191">
        <v>96</v>
      </c>
      <c r="AJ191" t="s">
        <v>48</v>
      </c>
      <c r="AK191">
        <v>48.3</v>
      </c>
      <c r="AL191">
        <v>7.67</v>
      </c>
      <c r="AM191">
        <v>0.67</v>
      </c>
      <c r="AN191">
        <v>73.53</v>
      </c>
    </row>
    <row r="192" spans="14:40" x14ac:dyDescent="0.3">
      <c r="N192" t="s">
        <v>437</v>
      </c>
      <c r="O192" t="s">
        <v>28</v>
      </c>
      <c r="P192" t="s">
        <v>29</v>
      </c>
      <c r="Q192" t="s">
        <v>438</v>
      </c>
      <c r="R192" t="s">
        <v>94</v>
      </c>
      <c r="S192" t="s">
        <v>41</v>
      </c>
      <c r="T192">
        <v>92</v>
      </c>
      <c r="U192">
        <v>3</v>
      </c>
      <c r="V192">
        <v>5</v>
      </c>
      <c r="W192">
        <v>83.53</v>
      </c>
      <c r="X192">
        <v>16.399999999999999</v>
      </c>
      <c r="Y192">
        <v>10.79</v>
      </c>
      <c r="AA192" t="s">
        <v>43</v>
      </c>
      <c r="AB192" s="1">
        <v>44958</v>
      </c>
      <c r="AC192">
        <v>52</v>
      </c>
      <c r="AD192">
        <v>1</v>
      </c>
      <c r="AE192">
        <v>3</v>
      </c>
      <c r="AF192" t="s">
        <v>61</v>
      </c>
      <c r="AG192">
        <v>32</v>
      </c>
      <c r="AH192">
        <v>196</v>
      </c>
      <c r="AI192">
        <v>63</v>
      </c>
      <c r="AJ192" t="s">
        <v>48</v>
      </c>
      <c r="AK192">
        <v>49.2</v>
      </c>
      <c r="AL192">
        <v>9.2899999999999991</v>
      </c>
      <c r="AM192">
        <v>1.28</v>
      </c>
      <c r="AN192">
        <v>74.959999999999994</v>
      </c>
    </row>
    <row r="193" spans="14:40" x14ac:dyDescent="0.3">
      <c r="N193" t="s">
        <v>439</v>
      </c>
      <c r="O193" t="s">
        <v>37</v>
      </c>
      <c r="P193" t="s">
        <v>38</v>
      </c>
      <c r="Q193" t="s">
        <v>440</v>
      </c>
      <c r="R193" t="s">
        <v>40</v>
      </c>
      <c r="S193" t="s">
        <v>32</v>
      </c>
      <c r="T193">
        <v>78</v>
      </c>
      <c r="U193">
        <v>1</v>
      </c>
      <c r="V193">
        <v>4</v>
      </c>
      <c r="W193">
        <v>76.510000000000005</v>
      </c>
      <c r="X193">
        <v>14.4</v>
      </c>
      <c r="Y193">
        <v>11.63</v>
      </c>
      <c r="Z193" s="1">
        <v>45096</v>
      </c>
      <c r="AA193" t="s">
        <v>43</v>
      </c>
      <c r="AC193">
        <v>30</v>
      </c>
      <c r="AD193">
        <v>1</v>
      </c>
      <c r="AE193">
        <v>0</v>
      </c>
      <c r="AF193" t="s">
        <v>34</v>
      </c>
      <c r="AG193">
        <v>34</v>
      </c>
      <c r="AH193">
        <v>167</v>
      </c>
      <c r="AI193">
        <v>89</v>
      </c>
      <c r="AJ193" t="s">
        <v>53</v>
      </c>
      <c r="AK193">
        <v>63.7</v>
      </c>
      <c r="AL193">
        <v>9.4</v>
      </c>
      <c r="AM193">
        <v>1.08</v>
      </c>
      <c r="AN193">
        <v>70.06</v>
      </c>
    </row>
    <row r="194" spans="14:40" x14ac:dyDescent="0.3">
      <c r="N194" t="s">
        <v>441</v>
      </c>
      <c r="O194" t="s">
        <v>28</v>
      </c>
      <c r="P194" t="s">
        <v>29</v>
      </c>
      <c r="Q194" t="s">
        <v>442</v>
      </c>
      <c r="R194" t="s">
        <v>75</v>
      </c>
      <c r="S194" t="s">
        <v>41</v>
      </c>
      <c r="T194">
        <v>89</v>
      </c>
      <c r="U194">
        <v>3</v>
      </c>
      <c r="V194">
        <v>0</v>
      </c>
      <c r="W194">
        <v>51.54</v>
      </c>
      <c r="X194">
        <v>5.5</v>
      </c>
      <c r="Y194">
        <v>5.95</v>
      </c>
      <c r="AA194" t="s">
        <v>42</v>
      </c>
      <c r="AD194">
        <v>0</v>
      </c>
      <c r="AE194">
        <v>4</v>
      </c>
      <c r="AF194" t="s">
        <v>52</v>
      </c>
      <c r="AG194">
        <v>27</v>
      </c>
      <c r="AH194">
        <v>175</v>
      </c>
      <c r="AI194">
        <v>65</v>
      </c>
      <c r="AJ194" t="s">
        <v>48</v>
      </c>
      <c r="AK194">
        <v>53.4</v>
      </c>
      <c r="AL194">
        <v>6.85</v>
      </c>
      <c r="AM194">
        <v>1.45</v>
      </c>
      <c r="AN194">
        <v>91.56</v>
      </c>
    </row>
    <row r="195" spans="14:40" x14ac:dyDescent="0.3">
      <c r="N195" t="s">
        <v>443</v>
      </c>
      <c r="O195" t="s">
        <v>28</v>
      </c>
      <c r="P195" t="s">
        <v>29</v>
      </c>
      <c r="Q195" t="s">
        <v>444</v>
      </c>
      <c r="R195" t="s">
        <v>40</v>
      </c>
      <c r="S195" t="s">
        <v>41</v>
      </c>
      <c r="T195">
        <v>22</v>
      </c>
      <c r="U195">
        <v>3</v>
      </c>
      <c r="V195">
        <v>4</v>
      </c>
      <c r="W195">
        <v>76.48</v>
      </c>
      <c r="X195">
        <v>14.4</v>
      </c>
      <c r="Y195">
        <v>11.52</v>
      </c>
      <c r="Z195" s="1">
        <v>45257</v>
      </c>
      <c r="AA195" t="s">
        <v>33</v>
      </c>
      <c r="AB195" s="1">
        <v>45165</v>
      </c>
      <c r="AD195">
        <v>0</v>
      </c>
      <c r="AE195">
        <v>3</v>
      </c>
      <c r="AF195" t="s">
        <v>52</v>
      </c>
      <c r="AG195">
        <v>23</v>
      </c>
      <c r="AH195">
        <v>167</v>
      </c>
      <c r="AI195">
        <v>78</v>
      </c>
      <c r="AJ195" t="s">
        <v>48</v>
      </c>
      <c r="AK195">
        <v>64</v>
      </c>
      <c r="AL195">
        <v>8.6300000000000008</v>
      </c>
      <c r="AM195">
        <v>0.54</v>
      </c>
      <c r="AN195">
        <v>91.97</v>
      </c>
    </row>
    <row r="196" spans="14:40" x14ac:dyDescent="0.3">
      <c r="N196" t="s">
        <v>445</v>
      </c>
      <c r="O196" t="s">
        <v>68</v>
      </c>
      <c r="P196" t="s">
        <v>29</v>
      </c>
      <c r="Q196" t="s">
        <v>446</v>
      </c>
      <c r="R196" t="s">
        <v>75</v>
      </c>
      <c r="S196" t="s">
        <v>41</v>
      </c>
      <c r="T196">
        <v>39</v>
      </c>
      <c r="U196">
        <v>2</v>
      </c>
      <c r="V196">
        <v>4</v>
      </c>
      <c r="W196">
        <v>76.47</v>
      </c>
      <c r="X196">
        <v>14.3</v>
      </c>
      <c r="Y196">
        <v>8.1199999999999992</v>
      </c>
      <c r="AA196" t="s">
        <v>42</v>
      </c>
      <c r="AD196">
        <v>0</v>
      </c>
      <c r="AE196">
        <v>1</v>
      </c>
      <c r="AF196" t="s">
        <v>52</v>
      </c>
      <c r="AG196">
        <v>35</v>
      </c>
      <c r="AH196">
        <v>160</v>
      </c>
      <c r="AI196">
        <v>91</v>
      </c>
      <c r="AJ196" t="s">
        <v>48</v>
      </c>
      <c r="AK196">
        <v>64.7</v>
      </c>
      <c r="AL196">
        <v>7.89</v>
      </c>
      <c r="AM196">
        <v>0.77</v>
      </c>
      <c r="AN196">
        <v>85.45</v>
      </c>
    </row>
    <row r="197" spans="14:40" x14ac:dyDescent="0.3">
      <c r="N197" t="s">
        <v>447</v>
      </c>
      <c r="O197" t="s">
        <v>64</v>
      </c>
      <c r="P197" t="s">
        <v>29</v>
      </c>
      <c r="Q197" t="s">
        <v>448</v>
      </c>
      <c r="R197" t="s">
        <v>75</v>
      </c>
      <c r="S197" t="s">
        <v>32</v>
      </c>
      <c r="T197">
        <v>78</v>
      </c>
      <c r="U197">
        <v>3</v>
      </c>
      <c r="V197">
        <v>5</v>
      </c>
      <c r="W197">
        <v>83.45</v>
      </c>
      <c r="X197">
        <v>16.3</v>
      </c>
      <c r="Y197">
        <v>8.99</v>
      </c>
      <c r="AA197" t="s">
        <v>47</v>
      </c>
      <c r="AD197">
        <v>1</v>
      </c>
      <c r="AE197">
        <v>1</v>
      </c>
      <c r="AF197" t="s">
        <v>43</v>
      </c>
      <c r="AG197">
        <v>30</v>
      </c>
      <c r="AH197">
        <v>164</v>
      </c>
      <c r="AI197">
        <v>68</v>
      </c>
      <c r="AJ197" t="s">
        <v>48</v>
      </c>
      <c r="AK197">
        <v>65.7</v>
      </c>
      <c r="AL197">
        <v>9.52</v>
      </c>
      <c r="AM197">
        <v>1.1000000000000001</v>
      </c>
      <c r="AN197">
        <v>74.84</v>
      </c>
    </row>
    <row r="198" spans="14:40" x14ac:dyDescent="0.3">
      <c r="N198" t="s">
        <v>449</v>
      </c>
      <c r="O198" t="s">
        <v>28</v>
      </c>
      <c r="P198" t="s">
        <v>38</v>
      </c>
      <c r="Q198" t="s">
        <v>450</v>
      </c>
      <c r="R198" t="s">
        <v>56</v>
      </c>
      <c r="S198" t="s">
        <v>41</v>
      </c>
      <c r="T198">
        <v>55</v>
      </c>
      <c r="U198">
        <v>0</v>
      </c>
      <c r="V198">
        <v>2</v>
      </c>
      <c r="W198">
        <v>64.69</v>
      </c>
      <c r="X198">
        <v>10.1</v>
      </c>
      <c r="Y198">
        <v>13.58</v>
      </c>
      <c r="Z198" s="1">
        <v>45239</v>
      </c>
      <c r="AA198" t="s">
        <v>42</v>
      </c>
      <c r="AC198">
        <v>32</v>
      </c>
      <c r="AD198">
        <v>1</v>
      </c>
      <c r="AE198">
        <v>1</v>
      </c>
      <c r="AF198" t="s">
        <v>43</v>
      </c>
      <c r="AG198">
        <v>20</v>
      </c>
      <c r="AH198">
        <v>162</v>
      </c>
      <c r="AI198">
        <v>71</v>
      </c>
      <c r="AJ198" t="s">
        <v>48</v>
      </c>
      <c r="AK198">
        <v>67.5</v>
      </c>
      <c r="AL198">
        <v>6.86</v>
      </c>
      <c r="AM198">
        <v>0.8</v>
      </c>
      <c r="AN198">
        <v>72.510000000000005</v>
      </c>
    </row>
    <row r="199" spans="14:40" x14ac:dyDescent="0.3">
      <c r="N199" t="s">
        <v>451</v>
      </c>
      <c r="O199" t="s">
        <v>28</v>
      </c>
      <c r="P199" t="s">
        <v>65</v>
      </c>
      <c r="Q199" t="s">
        <v>452</v>
      </c>
      <c r="R199" t="s">
        <v>31</v>
      </c>
      <c r="S199" t="s">
        <v>41</v>
      </c>
      <c r="T199">
        <v>38</v>
      </c>
      <c r="U199">
        <v>2</v>
      </c>
      <c r="V199">
        <v>1</v>
      </c>
      <c r="W199">
        <v>57.08</v>
      </c>
      <c r="X199">
        <v>7.1</v>
      </c>
      <c r="Y199">
        <v>5.09</v>
      </c>
      <c r="AA199" t="s">
        <v>42</v>
      </c>
      <c r="AD199">
        <v>0</v>
      </c>
      <c r="AE199">
        <v>3</v>
      </c>
      <c r="AF199" t="s">
        <v>34</v>
      </c>
      <c r="AG199">
        <v>27</v>
      </c>
      <c r="AH199">
        <v>160</v>
      </c>
      <c r="AI199">
        <v>70</v>
      </c>
      <c r="AJ199" t="s">
        <v>62</v>
      </c>
      <c r="AK199">
        <v>52.9</v>
      </c>
      <c r="AL199">
        <v>8.7100000000000009</v>
      </c>
      <c r="AM199">
        <v>1.21</v>
      </c>
      <c r="AN199">
        <v>70.569999999999993</v>
      </c>
    </row>
    <row r="200" spans="14:40" x14ac:dyDescent="0.3">
      <c r="N200" t="s">
        <v>453</v>
      </c>
      <c r="O200" t="s">
        <v>68</v>
      </c>
      <c r="P200" t="s">
        <v>38</v>
      </c>
      <c r="Q200" t="s">
        <v>454</v>
      </c>
      <c r="R200" t="s">
        <v>56</v>
      </c>
      <c r="S200" t="s">
        <v>32</v>
      </c>
      <c r="T200">
        <v>86</v>
      </c>
      <c r="U200">
        <v>0</v>
      </c>
      <c r="V200">
        <v>0</v>
      </c>
      <c r="W200">
        <v>50.83</v>
      </c>
      <c r="X200">
        <v>5.4</v>
      </c>
      <c r="Y200">
        <v>10.88</v>
      </c>
      <c r="Z200" s="1">
        <v>45028</v>
      </c>
      <c r="AA200" t="s">
        <v>42</v>
      </c>
      <c r="AD200">
        <v>1</v>
      </c>
      <c r="AE200">
        <v>3</v>
      </c>
      <c r="AF200" t="s">
        <v>61</v>
      </c>
      <c r="AG200">
        <v>31</v>
      </c>
      <c r="AH200">
        <v>163</v>
      </c>
      <c r="AI200">
        <v>75</v>
      </c>
      <c r="AJ200" t="s">
        <v>44</v>
      </c>
      <c r="AK200">
        <v>49.6</v>
      </c>
      <c r="AL200">
        <v>8.43</v>
      </c>
      <c r="AM200">
        <v>1.26</v>
      </c>
      <c r="AN200">
        <v>74.97</v>
      </c>
    </row>
    <row r="201" spans="14:40" x14ac:dyDescent="0.3">
      <c r="N201" t="s">
        <v>455</v>
      </c>
      <c r="O201" t="s">
        <v>68</v>
      </c>
      <c r="P201" t="s">
        <v>29</v>
      </c>
      <c r="Q201" t="s">
        <v>456</v>
      </c>
      <c r="R201" t="s">
        <v>94</v>
      </c>
      <c r="S201" t="s">
        <v>41</v>
      </c>
      <c r="T201">
        <v>38</v>
      </c>
      <c r="U201">
        <v>1</v>
      </c>
      <c r="V201">
        <v>5</v>
      </c>
      <c r="W201">
        <v>83.38</v>
      </c>
      <c r="X201">
        <v>16.3</v>
      </c>
      <c r="Y201">
        <v>10.99</v>
      </c>
      <c r="Z201" s="1">
        <v>45159</v>
      </c>
      <c r="AA201" t="s">
        <v>43</v>
      </c>
      <c r="AB201" s="1">
        <v>44985</v>
      </c>
      <c r="AD201">
        <v>0</v>
      </c>
      <c r="AE201">
        <v>3</v>
      </c>
      <c r="AF201" t="s">
        <v>43</v>
      </c>
      <c r="AG201">
        <v>23</v>
      </c>
      <c r="AH201">
        <v>199</v>
      </c>
      <c r="AI201">
        <v>60</v>
      </c>
      <c r="AJ201" t="s">
        <v>35</v>
      </c>
      <c r="AK201">
        <v>57.5</v>
      </c>
      <c r="AL201">
        <v>7.18</v>
      </c>
      <c r="AM201">
        <v>0.6</v>
      </c>
      <c r="AN201">
        <v>96.73</v>
      </c>
    </row>
    <row r="202" spans="14:40" x14ac:dyDescent="0.3">
      <c r="N202" t="s">
        <v>457</v>
      </c>
      <c r="O202" t="s">
        <v>37</v>
      </c>
      <c r="P202" t="s">
        <v>29</v>
      </c>
      <c r="Q202" t="s">
        <v>458</v>
      </c>
      <c r="R202" t="s">
        <v>80</v>
      </c>
      <c r="S202" t="s">
        <v>41</v>
      </c>
      <c r="T202">
        <v>39</v>
      </c>
      <c r="U202">
        <v>2</v>
      </c>
      <c r="V202">
        <v>2</v>
      </c>
      <c r="W202">
        <v>64.16</v>
      </c>
      <c r="X202">
        <v>10.1</v>
      </c>
      <c r="Y202">
        <v>8.9700000000000006</v>
      </c>
      <c r="AA202" t="s">
        <v>43</v>
      </c>
      <c r="AC202">
        <v>89</v>
      </c>
      <c r="AD202">
        <v>1</v>
      </c>
      <c r="AE202">
        <v>0</v>
      </c>
      <c r="AF202" t="s">
        <v>43</v>
      </c>
      <c r="AG202">
        <v>20</v>
      </c>
      <c r="AH202">
        <v>194</v>
      </c>
      <c r="AI202">
        <v>80</v>
      </c>
      <c r="AJ202" t="s">
        <v>70</v>
      </c>
      <c r="AK202">
        <v>51.1</v>
      </c>
      <c r="AL202">
        <v>6.55</v>
      </c>
      <c r="AM202">
        <v>1.01</v>
      </c>
      <c r="AN202">
        <v>77.25</v>
      </c>
    </row>
    <row r="203" spans="14:40" x14ac:dyDescent="0.3">
      <c r="N203" t="s">
        <v>459</v>
      </c>
      <c r="O203" t="s">
        <v>37</v>
      </c>
      <c r="P203" t="s">
        <v>38</v>
      </c>
      <c r="Q203" t="s">
        <v>460</v>
      </c>
      <c r="R203" t="s">
        <v>94</v>
      </c>
      <c r="S203" t="s">
        <v>32</v>
      </c>
      <c r="T203">
        <v>90</v>
      </c>
      <c r="U203">
        <v>1</v>
      </c>
      <c r="V203">
        <v>6</v>
      </c>
      <c r="W203">
        <v>90.38</v>
      </c>
      <c r="X203">
        <v>18.7</v>
      </c>
      <c r="Y203">
        <v>7.37</v>
      </c>
      <c r="AA203" t="s">
        <v>33</v>
      </c>
      <c r="AD203">
        <v>0</v>
      </c>
      <c r="AE203">
        <v>0</v>
      </c>
      <c r="AF203" t="s">
        <v>34</v>
      </c>
      <c r="AG203">
        <v>33</v>
      </c>
      <c r="AH203">
        <v>191</v>
      </c>
      <c r="AI203">
        <v>89</v>
      </c>
      <c r="AJ203" t="s">
        <v>35</v>
      </c>
      <c r="AK203">
        <v>58</v>
      </c>
      <c r="AL203">
        <v>8.61</v>
      </c>
      <c r="AM203">
        <v>1.01</v>
      </c>
      <c r="AN203">
        <v>80.63</v>
      </c>
    </row>
    <row r="204" spans="14:40" x14ac:dyDescent="0.3">
      <c r="N204" t="s">
        <v>461</v>
      </c>
      <c r="O204" t="s">
        <v>28</v>
      </c>
      <c r="P204" t="s">
        <v>38</v>
      </c>
      <c r="Q204" t="s">
        <v>462</v>
      </c>
      <c r="R204" t="s">
        <v>56</v>
      </c>
      <c r="S204" t="s">
        <v>32</v>
      </c>
      <c r="T204">
        <v>71</v>
      </c>
      <c r="U204">
        <v>2</v>
      </c>
      <c r="V204">
        <v>1</v>
      </c>
      <c r="W204">
        <v>56.96</v>
      </c>
      <c r="X204">
        <v>7.1</v>
      </c>
      <c r="Y204">
        <v>7.35</v>
      </c>
      <c r="AA204" t="s">
        <v>33</v>
      </c>
      <c r="AD204">
        <v>1</v>
      </c>
      <c r="AE204">
        <v>1</v>
      </c>
      <c r="AF204" t="s">
        <v>52</v>
      </c>
      <c r="AG204">
        <v>24</v>
      </c>
      <c r="AH204">
        <v>193</v>
      </c>
      <c r="AI204">
        <v>72</v>
      </c>
      <c r="AJ204" t="s">
        <v>62</v>
      </c>
      <c r="AK204">
        <v>61.2</v>
      </c>
      <c r="AL204">
        <v>8.9499999999999993</v>
      </c>
      <c r="AM204">
        <v>0.87</v>
      </c>
      <c r="AN204">
        <v>73.16</v>
      </c>
    </row>
    <row r="205" spans="14:40" x14ac:dyDescent="0.3">
      <c r="N205" t="s">
        <v>463</v>
      </c>
      <c r="O205" t="s">
        <v>64</v>
      </c>
      <c r="P205" t="s">
        <v>65</v>
      </c>
      <c r="Q205" t="s">
        <v>464</v>
      </c>
      <c r="R205" t="s">
        <v>80</v>
      </c>
      <c r="S205" t="s">
        <v>41</v>
      </c>
      <c r="T205">
        <v>52</v>
      </c>
      <c r="U205">
        <v>4</v>
      </c>
      <c r="V205">
        <v>1</v>
      </c>
      <c r="W205">
        <v>56.3</v>
      </c>
      <c r="X205">
        <v>6.9</v>
      </c>
      <c r="Y205">
        <v>13.84</v>
      </c>
      <c r="AA205" t="s">
        <v>42</v>
      </c>
      <c r="AB205" s="1">
        <v>45258</v>
      </c>
      <c r="AD205">
        <v>0</v>
      </c>
      <c r="AE205">
        <v>2</v>
      </c>
      <c r="AF205" t="s">
        <v>43</v>
      </c>
      <c r="AG205">
        <v>37</v>
      </c>
      <c r="AH205">
        <v>184</v>
      </c>
      <c r="AI205">
        <v>93</v>
      </c>
      <c r="AJ205" t="s">
        <v>48</v>
      </c>
      <c r="AK205">
        <v>60.7</v>
      </c>
      <c r="AL205">
        <v>7.26</v>
      </c>
      <c r="AM205">
        <v>1.43</v>
      </c>
      <c r="AN205">
        <v>76.67</v>
      </c>
    </row>
    <row r="206" spans="14:40" x14ac:dyDescent="0.3">
      <c r="N206" t="s">
        <v>465</v>
      </c>
      <c r="O206" t="s">
        <v>68</v>
      </c>
      <c r="P206" t="s">
        <v>29</v>
      </c>
      <c r="Q206" t="s">
        <v>466</v>
      </c>
      <c r="R206" t="s">
        <v>94</v>
      </c>
      <c r="S206" t="s">
        <v>32</v>
      </c>
      <c r="T206">
        <v>59</v>
      </c>
      <c r="U206">
        <v>3</v>
      </c>
      <c r="V206">
        <v>5</v>
      </c>
      <c r="W206">
        <v>83.2</v>
      </c>
      <c r="X206">
        <v>16.3</v>
      </c>
      <c r="Y206">
        <v>9.42</v>
      </c>
      <c r="AA206" t="s">
        <v>33</v>
      </c>
      <c r="AB206" s="1">
        <v>45274</v>
      </c>
      <c r="AD206">
        <v>0</v>
      </c>
      <c r="AE206">
        <v>1</v>
      </c>
      <c r="AF206" t="s">
        <v>52</v>
      </c>
      <c r="AG206">
        <v>31</v>
      </c>
      <c r="AH206">
        <v>169</v>
      </c>
      <c r="AI206">
        <v>63</v>
      </c>
      <c r="AJ206" t="s">
        <v>53</v>
      </c>
      <c r="AK206">
        <v>51.2</v>
      </c>
      <c r="AL206">
        <v>8.58</v>
      </c>
      <c r="AM206">
        <v>1.33</v>
      </c>
      <c r="AN206">
        <v>85.58</v>
      </c>
    </row>
    <row r="207" spans="14:40" x14ac:dyDescent="0.3">
      <c r="N207" t="s">
        <v>467</v>
      </c>
      <c r="O207" t="s">
        <v>37</v>
      </c>
      <c r="P207" t="s">
        <v>65</v>
      </c>
      <c r="Q207" t="s">
        <v>468</v>
      </c>
      <c r="R207" t="s">
        <v>51</v>
      </c>
      <c r="S207" t="s">
        <v>32</v>
      </c>
      <c r="T207">
        <v>58</v>
      </c>
      <c r="U207">
        <v>4</v>
      </c>
      <c r="V207">
        <v>3</v>
      </c>
      <c r="W207">
        <v>71.03</v>
      </c>
      <c r="X207">
        <v>12.4</v>
      </c>
      <c r="Y207">
        <v>8.31</v>
      </c>
      <c r="AA207" t="s">
        <v>42</v>
      </c>
      <c r="AD207">
        <v>0</v>
      </c>
      <c r="AE207">
        <v>4</v>
      </c>
      <c r="AF207" t="s">
        <v>52</v>
      </c>
      <c r="AG207">
        <v>26</v>
      </c>
      <c r="AH207">
        <v>180</v>
      </c>
      <c r="AI207">
        <v>87</v>
      </c>
      <c r="AJ207" t="s">
        <v>70</v>
      </c>
      <c r="AK207">
        <v>45</v>
      </c>
      <c r="AL207">
        <v>7.58</v>
      </c>
      <c r="AM207">
        <v>1.2</v>
      </c>
      <c r="AN207">
        <v>88.23</v>
      </c>
    </row>
    <row r="208" spans="14:40" x14ac:dyDescent="0.3">
      <c r="N208" t="s">
        <v>469</v>
      </c>
      <c r="O208" t="s">
        <v>68</v>
      </c>
      <c r="P208" t="s">
        <v>38</v>
      </c>
      <c r="Q208" t="s">
        <v>470</v>
      </c>
      <c r="R208" t="s">
        <v>80</v>
      </c>
      <c r="S208" t="s">
        <v>32</v>
      </c>
      <c r="T208">
        <v>20</v>
      </c>
      <c r="U208">
        <v>1</v>
      </c>
      <c r="V208">
        <v>0</v>
      </c>
      <c r="W208">
        <v>50.43</v>
      </c>
      <c r="X208">
        <v>5.4</v>
      </c>
      <c r="Y208">
        <v>9.49</v>
      </c>
      <c r="AA208" t="s">
        <v>33</v>
      </c>
      <c r="AB208" s="1">
        <v>45053</v>
      </c>
      <c r="AD208">
        <v>1</v>
      </c>
      <c r="AE208">
        <v>0</v>
      </c>
      <c r="AF208" t="s">
        <v>52</v>
      </c>
      <c r="AG208">
        <v>32</v>
      </c>
      <c r="AH208">
        <v>198</v>
      </c>
      <c r="AI208">
        <v>97</v>
      </c>
      <c r="AJ208" t="s">
        <v>53</v>
      </c>
      <c r="AK208">
        <v>52.9</v>
      </c>
      <c r="AL208">
        <v>8.85</v>
      </c>
      <c r="AM208">
        <v>1.21</v>
      </c>
      <c r="AN208">
        <v>77.36</v>
      </c>
    </row>
    <row r="209" spans="14:40" x14ac:dyDescent="0.3">
      <c r="N209" t="s">
        <v>471</v>
      </c>
      <c r="O209" t="s">
        <v>68</v>
      </c>
      <c r="P209" t="s">
        <v>29</v>
      </c>
      <c r="Q209" t="s">
        <v>472</v>
      </c>
      <c r="R209" t="s">
        <v>75</v>
      </c>
      <c r="S209" t="s">
        <v>32</v>
      </c>
      <c r="T209">
        <v>30</v>
      </c>
      <c r="U209">
        <v>3</v>
      </c>
      <c r="V209">
        <v>1</v>
      </c>
      <c r="W209">
        <v>56.08</v>
      </c>
      <c r="X209">
        <v>6.8</v>
      </c>
      <c r="Y209">
        <v>11.69</v>
      </c>
      <c r="AA209" t="s">
        <v>42</v>
      </c>
      <c r="AD209">
        <v>1</v>
      </c>
      <c r="AE209">
        <v>3</v>
      </c>
      <c r="AF209" t="s">
        <v>52</v>
      </c>
      <c r="AG209">
        <v>38</v>
      </c>
      <c r="AH209">
        <v>186</v>
      </c>
      <c r="AI209">
        <v>90</v>
      </c>
      <c r="AJ209" t="s">
        <v>62</v>
      </c>
      <c r="AK209">
        <v>44.3</v>
      </c>
      <c r="AL209">
        <v>6.8</v>
      </c>
      <c r="AM209">
        <v>0.96</v>
      </c>
      <c r="AN209">
        <v>71.73</v>
      </c>
    </row>
    <row r="210" spans="14:40" x14ac:dyDescent="0.3">
      <c r="N210" t="s">
        <v>473</v>
      </c>
      <c r="O210" t="s">
        <v>37</v>
      </c>
      <c r="P210" t="s">
        <v>29</v>
      </c>
      <c r="Q210" t="s">
        <v>474</v>
      </c>
      <c r="R210" t="s">
        <v>94</v>
      </c>
      <c r="S210" t="s">
        <v>41</v>
      </c>
      <c r="T210">
        <v>76</v>
      </c>
      <c r="U210">
        <v>2</v>
      </c>
      <c r="V210">
        <v>5</v>
      </c>
      <c r="W210">
        <v>83.08</v>
      </c>
      <c r="X210">
        <v>16.3</v>
      </c>
      <c r="Y210">
        <v>6.46</v>
      </c>
      <c r="AA210" t="s">
        <v>33</v>
      </c>
      <c r="AD210">
        <v>1</v>
      </c>
      <c r="AE210">
        <v>0</v>
      </c>
      <c r="AF210" t="s">
        <v>34</v>
      </c>
      <c r="AG210">
        <v>20</v>
      </c>
      <c r="AH210">
        <v>186</v>
      </c>
      <c r="AI210">
        <v>86</v>
      </c>
      <c r="AJ210" t="s">
        <v>35</v>
      </c>
      <c r="AK210">
        <v>66.7</v>
      </c>
      <c r="AL210">
        <v>9.56</v>
      </c>
      <c r="AM210">
        <v>1.42</v>
      </c>
      <c r="AN210">
        <v>81.73</v>
      </c>
    </row>
    <row r="211" spans="14:40" x14ac:dyDescent="0.3">
      <c r="N211" t="s">
        <v>475</v>
      </c>
      <c r="O211" t="s">
        <v>68</v>
      </c>
      <c r="P211" t="s">
        <v>29</v>
      </c>
      <c r="Q211" t="s">
        <v>476</v>
      </c>
      <c r="R211" t="s">
        <v>80</v>
      </c>
      <c r="S211" t="s">
        <v>32</v>
      </c>
      <c r="T211">
        <v>69</v>
      </c>
      <c r="U211">
        <v>3</v>
      </c>
      <c r="V211">
        <v>5</v>
      </c>
      <c r="W211">
        <v>83.03</v>
      </c>
      <c r="X211">
        <v>16.3</v>
      </c>
      <c r="Y211">
        <v>9.49</v>
      </c>
      <c r="AA211" t="s">
        <v>33</v>
      </c>
      <c r="AC211">
        <v>56</v>
      </c>
      <c r="AD211">
        <v>1</v>
      </c>
      <c r="AE211">
        <v>3</v>
      </c>
      <c r="AF211" t="s">
        <v>43</v>
      </c>
      <c r="AG211">
        <v>19</v>
      </c>
      <c r="AH211">
        <v>161</v>
      </c>
      <c r="AI211">
        <v>64</v>
      </c>
      <c r="AJ211" t="s">
        <v>53</v>
      </c>
      <c r="AK211">
        <v>50.4</v>
      </c>
      <c r="AL211">
        <v>7.15</v>
      </c>
      <c r="AM211">
        <v>1.19</v>
      </c>
      <c r="AN211">
        <v>77.03</v>
      </c>
    </row>
    <row r="212" spans="14:40" x14ac:dyDescent="0.3">
      <c r="N212" t="s">
        <v>477</v>
      </c>
      <c r="O212" t="s">
        <v>37</v>
      </c>
      <c r="P212" t="s">
        <v>65</v>
      </c>
      <c r="Q212" t="s">
        <v>478</v>
      </c>
      <c r="R212" t="s">
        <v>94</v>
      </c>
      <c r="S212" t="s">
        <v>41</v>
      </c>
      <c r="T212">
        <v>42</v>
      </c>
      <c r="U212">
        <v>0</v>
      </c>
      <c r="V212">
        <v>2</v>
      </c>
      <c r="W212">
        <v>64.08</v>
      </c>
      <c r="X212">
        <v>9.9</v>
      </c>
      <c r="Y212">
        <v>10.88</v>
      </c>
      <c r="AA212" t="s">
        <v>42</v>
      </c>
      <c r="AD212">
        <v>0</v>
      </c>
      <c r="AE212">
        <v>4</v>
      </c>
      <c r="AF212" t="s">
        <v>34</v>
      </c>
      <c r="AG212">
        <v>19</v>
      </c>
      <c r="AH212">
        <v>172</v>
      </c>
      <c r="AI212">
        <v>84</v>
      </c>
      <c r="AJ212" t="s">
        <v>44</v>
      </c>
      <c r="AK212">
        <v>44.6</v>
      </c>
      <c r="AL212">
        <v>7.47</v>
      </c>
      <c r="AM212">
        <v>1.23</v>
      </c>
      <c r="AN212">
        <v>76.59</v>
      </c>
    </row>
    <row r="213" spans="14:40" x14ac:dyDescent="0.3">
      <c r="N213" t="s">
        <v>479</v>
      </c>
      <c r="O213" t="s">
        <v>68</v>
      </c>
      <c r="P213" t="s">
        <v>38</v>
      </c>
      <c r="Q213" t="s">
        <v>480</v>
      </c>
      <c r="R213" t="s">
        <v>75</v>
      </c>
      <c r="S213" t="s">
        <v>41</v>
      </c>
      <c r="T213">
        <v>50</v>
      </c>
      <c r="U213">
        <v>3</v>
      </c>
      <c r="V213">
        <v>6</v>
      </c>
      <c r="W213">
        <v>90.27</v>
      </c>
      <c r="X213">
        <v>18.7</v>
      </c>
      <c r="Y213">
        <v>14.49</v>
      </c>
      <c r="AA213" t="s">
        <v>42</v>
      </c>
      <c r="AC213">
        <v>24</v>
      </c>
      <c r="AD213">
        <v>0</v>
      </c>
      <c r="AE213">
        <v>4</v>
      </c>
      <c r="AF213" t="s">
        <v>61</v>
      </c>
      <c r="AG213">
        <v>20</v>
      </c>
      <c r="AH213">
        <v>168</v>
      </c>
      <c r="AI213">
        <v>62</v>
      </c>
      <c r="AJ213" t="s">
        <v>44</v>
      </c>
      <c r="AK213">
        <v>40.799999999999997</v>
      </c>
      <c r="AL213">
        <v>6.23</v>
      </c>
      <c r="AM213">
        <v>1.36</v>
      </c>
      <c r="AN213">
        <v>98.8</v>
      </c>
    </row>
    <row r="214" spans="14:40" x14ac:dyDescent="0.3">
      <c r="N214" t="s">
        <v>481</v>
      </c>
      <c r="O214" t="s">
        <v>64</v>
      </c>
      <c r="P214" t="s">
        <v>65</v>
      </c>
      <c r="Q214" t="s">
        <v>482</v>
      </c>
      <c r="R214" t="s">
        <v>94</v>
      </c>
      <c r="S214" t="s">
        <v>41</v>
      </c>
      <c r="T214">
        <v>61</v>
      </c>
      <c r="U214">
        <v>0</v>
      </c>
      <c r="V214">
        <v>3</v>
      </c>
      <c r="W214">
        <v>70.95</v>
      </c>
      <c r="X214">
        <v>12.4</v>
      </c>
      <c r="Y214">
        <v>7.53</v>
      </c>
      <c r="Z214" s="1">
        <v>45116</v>
      </c>
      <c r="AA214" t="s">
        <v>42</v>
      </c>
      <c r="AB214" s="1">
        <v>45202</v>
      </c>
      <c r="AC214">
        <v>34</v>
      </c>
      <c r="AD214">
        <v>0</v>
      </c>
      <c r="AE214">
        <v>0</v>
      </c>
      <c r="AF214" t="s">
        <v>34</v>
      </c>
      <c r="AG214">
        <v>35</v>
      </c>
      <c r="AH214">
        <v>195</v>
      </c>
      <c r="AI214">
        <v>92</v>
      </c>
      <c r="AJ214" t="s">
        <v>48</v>
      </c>
      <c r="AK214">
        <v>59.4</v>
      </c>
      <c r="AL214">
        <v>6.45</v>
      </c>
      <c r="AM214">
        <v>0.77</v>
      </c>
      <c r="AN214">
        <v>88.49</v>
      </c>
    </row>
    <row r="215" spans="14:40" x14ac:dyDescent="0.3">
      <c r="N215" t="s">
        <v>483</v>
      </c>
      <c r="O215" t="s">
        <v>37</v>
      </c>
      <c r="P215" t="s">
        <v>82</v>
      </c>
      <c r="Q215" t="s">
        <v>484</v>
      </c>
      <c r="R215" t="s">
        <v>94</v>
      </c>
      <c r="S215" t="s">
        <v>32</v>
      </c>
      <c r="T215">
        <v>26</v>
      </c>
      <c r="U215">
        <v>0</v>
      </c>
      <c r="V215">
        <v>0</v>
      </c>
      <c r="W215">
        <v>50.41</v>
      </c>
      <c r="X215">
        <v>5.4</v>
      </c>
      <c r="Y215">
        <v>8.59</v>
      </c>
      <c r="AA215" t="s">
        <v>42</v>
      </c>
      <c r="AD215">
        <v>0</v>
      </c>
      <c r="AE215">
        <v>3</v>
      </c>
      <c r="AF215" t="s">
        <v>34</v>
      </c>
      <c r="AG215">
        <v>31</v>
      </c>
      <c r="AH215">
        <v>181</v>
      </c>
      <c r="AI215">
        <v>63</v>
      </c>
      <c r="AJ215" t="s">
        <v>53</v>
      </c>
      <c r="AK215">
        <v>59.1</v>
      </c>
      <c r="AL215">
        <v>8.06</v>
      </c>
      <c r="AM215">
        <v>1.31</v>
      </c>
      <c r="AN215">
        <v>86.71</v>
      </c>
    </row>
    <row r="216" spans="14:40" x14ac:dyDescent="0.3">
      <c r="N216" t="s">
        <v>485</v>
      </c>
      <c r="O216" t="s">
        <v>64</v>
      </c>
      <c r="P216" t="s">
        <v>38</v>
      </c>
      <c r="Q216" t="s">
        <v>486</v>
      </c>
      <c r="R216" t="s">
        <v>31</v>
      </c>
      <c r="S216" t="s">
        <v>32</v>
      </c>
      <c r="T216">
        <v>35</v>
      </c>
      <c r="U216">
        <v>0</v>
      </c>
      <c r="V216">
        <v>4</v>
      </c>
      <c r="W216">
        <v>76.13</v>
      </c>
      <c r="X216">
        <v>14.3</v>
      </c>
      <c r="Y216">
        <v>8.7899999999999991</v>
      </c>
      <c r="Z216" s="1">
        <v>45018</v>
      </c>
      <c r="AA216" t="s">
        <v>33</v>
      </c>
      <c r="AC216">
        <v>45</v>
      </c>
      <c r="AD216">
        <v>0</v>
      </c>
      <c r="AE216">
        <v>4</v>
      </c>
      <c r="AF216" t="s">
        <v>34</v>
      </c>
      <c r="AG216">
        <v>37</v>
      </c>
      <c r="AH216">
        <v>185</v>
      </c>
      <c r="AI216">
        <v>84</v>
      </c>
      <c r="AJ216" t="s">
        <v>53</v>
      </c>
      <c r="AK216">
        <v>50.2</v>
      </c>
      <c r="AL216">
        <v>7.07</v>
      </c>
      <c r="AM216">
        <v>0.7</v>
      </c>
      <c r="AN216">
        <v>82.47</v>
      </c>
    </row>
    <row r="217" spans="14:40" x14ac:dyDescent="0.3">
      <c r="N217" t="s">
        <v>487</v>
      </c>
      <c r="O217" t="s">
        <v>68</v>
      </c>
      <c r="P217" t="s">
        <v>38</v>
      </c>
      <c r="Q217" t="s">
        <v>488</v>
      </c>
      <c r="R217" t="s">
        <v>80</v>
      </c>
      <c r="S217" t="s">
        <v>41</v>
      </c>
      <c r="T217">
        <v>79</v>
      </c>
      <c r="U217">
        <v>1</v>
      </c>
      <c r="V217">
        <v>6</v>
      </c>
      <c r="W217">
        <v>90.25</v>
      </c>
      <c r="X217">
        <v>18.7</v>
      </c>
      <c r="Y217">
        <v>11.06</v>
      </c>
      <c r="AA217" t="s">
        <v>47</v>
      </c>
      <c r="AB217" s="1">
        <v>45179</v>
      </c>
      <c r="AD217">
        <v>0</v>
      </c>
      <c r="AE217">
        <v>1</v>
      </c>
      <c r="AF217" t="s">
        <v>34</v>
      </c>
      <c r="AG217">
        <v>35</v>
      </c>
      <c r="AH217">
        <v>171</v>
      </c>
      <c r="AI217">
        <v>79</v>
      </c>
      <c r="AJ217" t="s">
        <v>53</v>
      </c>
      <c r="AK217">
        <v>42.2</v>
      </c>
      <c r="AL217">
        <v>9.34</v>
      </c>
      <c r="AM217">
        <v>0.85</v>
      </c>
      <c r="AN217">
        <v>82.87</v>
      </c>
    </row>
    <row r="218" spans="14:40" x14ac:dyDescent="0.3">
      <c r="N218" t="s">
        <v>489</v>
      </c>
      <c r="O218" t="s">
        <v>37</v>
      </c>
      <c r="P218" t="s">
        <v>29</v>
      </c>
      <c r="Q218" t="s">
        <v>490</v>
      </c>
      <c r="R218" t="s">
        <v>80</v>
      </c>
      <c r="S218" t="s">
        <v>41</v>
      </c>
      <c r="T218">
        <v>21</v>
      </c>
      <c r="U218">
        <v>4</v>
      </c>
      <c r="V218">
        <v>6</v>
      </c>
      <c r="W218">
        <v>89.82</v>
      </c>
      <c r="X218">
        <v>18.600000000000001</v>
      </c>
      <c r="Y218">
        <v>8.57</v>
      </c>
      <c r="AA218" t="s">
        <v>47</v>
      </c>
      <c r="AC218">
        <v>84</v>
      </c>
      <c r="AD218">
        <v>0</v>
      </c>
      <c r="AE218">
        <v>1</v>
      </c>
      <c r="AF218" t="s">
        <v>34</v>
      </c>
      <c r="AG218">
        <v>27</v>
      </c>
      <c r="AH218">
        <v>176</v>
      </c>
      <c r="AI218">
        <v>93</v>
      </c>
      <c r="AJ218" t="s">
        <v>53</v>
      </c>
      <c r="AK218">
        <v>52.3</v>
      </c>
      <c r="AL218">
        <v>6.06</v>
      </c>
      <c r="AM218">
        <v>0.84</v>
      </c>
      <c r="AN218">
        <v>86.23</v>
      </c>
    </row>
    <row r="219" spans="14:40" x14ac:dyDescent="0.3">
      <c r="N219" t="s">
        <v>491</v>
      </c>
      <c r="O219" t="s">
        <v>28</v>
      </c>
      <c r="P219" t="s">
        <v>65</v>
      </c>
      <c r="Q219" t="s">
        <v>492</v>
      </c>
      <c r="R219" t="s">
        <v>56</v>
      </c>
      <c r="S219" t="s">
        <v>41</v>
      </c>
      <c r="T219">
        <v>20</v>
      </c>
      <c r="U219">
        <v>2</v>
      </c>
      <c r="V219">
        <v>2</v>
      </c>
      <c r="W219">
        <v>63.37</v>
      </c>
      <c r="X219">
        <v>9.8000000000000007</v>
      </c>
      <c r="Y219">
        <v>10.34</v>
      </c>
      <c r="AA219" t="s">
        <v>33</v>
      </c>
      <c r="AB219" s="1">
        <v>45073</v>
      </c>
      <c r="AD219">
        <v>0</v>
      </c>
      <c r="AE219">
        <v>3</v>
      </c>
      <c r="AF219" t="s">
        <v>52</v>
      </c>
      <c r="AG219">
        <v>19</v>
      </c>
      <c r="AH219">
        <v>173</v>
      </c>
      <c r="AI219">
        <v>85</v>
      </c>
      <c r="AJ219" t="s">
        <v>35</v>
      </c>
      <c r="AK219">
        <v>49.3</v>
      </c>
      <c r="AL219">
        <v>7.52</v>
      </c>
      <c r="AM219">
        <v>1.48</v>
      </c>
      <c r="AN219">
        <v>90.89</v>
      </c>
    </row>
    <row r="220" spans="14:40" x14ac:dyDescent="0.3">
      <c r="N220" t="s">
        <v>493</v>
      </c>
      <c r="O220" t="s">
        <v>28</v>
      </c>
      <c r="P220" t="s">
        <v>38</v>
      </c>
      <c r="Q220" t="s">
        <v>494</v>
      </c>
      <c r="R220" t="s">
        <v>31</v>
      </c>
      <c r="S220" t="s">
        <v>41</v>
      </c>
      <c r="T220">
        <v>67</v>
      </c>
      <c r="U220">
        <v>3</v>
      </c>
      <c r="V220">
        <v>1</v>
      </c>
      <c r="W220">
        <v>55.95</v>
      </c>
      <c r="X220">
        <v>6.8</v>
      </c>
      <c r="Y220">
        <v>12.82</v>
      </c>
      <c r="AA220" t="s">
        <v>43</v>
      </c>
      <c r="AB220" s="1">
        <v>45048</v>
      </c>
      <c r="AD220">
        <v>0</v>
      </c>
      <c r="AE220">
        <v>0</v>
      </c>
      <c r="AF220" t="s">
        <v>61</v>
      </c>
      <c r="AG220">
        <v>39</v>
      </c>
      <c r="AH220">
        <v>173</v>
      </c>
      <c r="AI220">
        <v>64</v>
      </c>
      <c r="AJ220" t="s">
        <v>35</v>
      </c>
      <c r="AK220">
        <v>60.3</v>
      </c>
      <c r="AL220">
        <v>7.35</v>
      </c>
      <c r="AM220">
        <v>1.36</v>
      </c>
      <c r="AN220">
        <v>91.06</v>
      </c>
    </row>
    <row r="221" spans="14:40" x14ac:dyDescent="0.3">
      <c r="N221" t="s">
        <v>495</v>
      </c>
      <c r="O221" t="s">
        <v>28</v>
      </c>
      <c r="P221" t="s">
        <v>65</v>
      </c>
      <c r="Q221" t="s">
        <v>496</v>
      </c>
      <c r="R221" t="s">
        <v>80</v>
      </c>
      <c r="S221" t="s">
        <v>32</v>
      </c>
      <c r="T221">
        <v>31</v>
      </c>
      <c r="U221">
        <v>4</v>
      </c>
      <c r="V221">
        <v>1</v>
      </c>
      <c r="W221">
        <v>55.78</v>
      </c>
      <c r="X221">
        <v>6.8</v>
      </c>
      <c r="Y221">
        <v>12.05</v>
      </c>
      <c r="AA221" t="s">
        <v>47</v>
      </c>
      <c r="AD221">
        <v>0</v>
      </c>
      <c r="AE221">
        <v>4</v>
      </c>
      <c r="AF221" t="s">
        <v>34</v>
      </c>
      <c r="AG221">
        <v>18</v>
      </c>
      <c r="AH221">
        <v>193</v>
      </c>
      <c r="AI221">
        <v>94</v>
      </c>
      <c r="AJ221" t="s">
        <v>70</v>
      </c>
      <c r="AK221">
        <v>58.2</v>
      </c>
      <c r="AL221">
        <v>6.08</v>
      </c>
      <c r="AM221">
        <v>1.2</v>
      </c>
      <c r="AN221">
        <v>75.150000000000006</v>
      </c>
    </row>
    <row r="222" spans="14:40" x14ac:dyDescent="0.3">
      <c r="N222" t="s">
        <v>497</v>
      </c>
      <c r="O222" t="s">
        <v>64</v>
      </c>
      <c r="P222" t="s">
        <v>65</v>
      </c>
      <c r="Q222" t="s">
        <v>498</v>
      </c>
      <c r="R222" t="s">
        <v>31</v>
      </c>
      <c r="S222" t="s">
        <v>41</v>
      </c>
      <c r="T222">
        <v>88</v>
      </c>
      <c r="U222">
        <v>2</v>
      </c>
      <c r="V222">
        <v>2</v>
      </c>
      <c r="W222">
        <v>62.75</v>
      </c>
      <c r="X222">
        <v>9.8000000000000007</v>
      </c>
      <c r="Y222">
        <v>9.4600000000000009</v>
      </c>
      <c r="AA222" t="s">
        <v>33</v>
      </c>
      <c r="AD222">
        <v>1</v>
      </c>
      <c r="AE222">
        <v>0</v>
      </c>
      <c r="AF222" t="s">
        <v>61</v>
      </c>
      <c r="AG222">
        <v>21</v>
      </c>
      <c r="AH222">
        <v>179</v>
      </c>
      <c r="AI222">
        <v>87</v>
      </c>
      <c r="AJ222" t="s">
        <v>53</v>
      </c>
      <c r="AK222">
        <v>50.9</v>
      </c>
      <c r="AL222">
        <v>6.5</v>
      </c>
      <c r="AM222">
        <v>1.23</v>
      </c>
      <c r="AN222">
        <v>85</v>
      </c>
    </row>
    <row r="223" spans="14:40" x14ac:dyDescent="0.3">
      <c r="N223" t="s">
        <v>499</v>
      </c>
      <c r="O223" t="s">
        <v>37</v>
      </c>
      <c r="P223" t="s">
        <v>38</v>
      </c>
      <c r="Q223" t="s">
        <v>500</v>
      </c>
      <c r="R223" t="s">
        <v>94</v>
      </c>
      <c r="S223" t="s">
        <v>32</v>
      </c>
      <c r="T223">
        <v>56</v>
      </c>
      <c r="U223">
        <v>2</v>
      </c>
      <c r="V223">
        <v>5</v>
      </c>
      <c r="W223">
        <v>82.95</v>
      </c>
      <c r="X223">
        <v>16.2</v>
      </c>
      <c r="Y223">
        <v>13.64</v>
      </c>
      <c r="AA223" t="s">
        <v>47</v>
      </c>
      <c r="AC223">
        <v>60</v>
      </c>
      <c r="AD223">
        <v>0</v>
      </c>
      <c r="AE223">
        <v>1</v>
      </c>
      <c r="AF223" t="s">
        <v>52</v>
      </c>
      <c r="AG223">
        <v>31</v>
      </c>
      <c r="AH223">
        <v>170</v>
      </c>
      <c r="AI223">
        <v>88</v>
      </c>
      <c r="AJ223" t="s">
        <v>35</v>
      </c>
      <c r="AK223">
        <v>46.5</v>
      </c>
      <c r="AL223">
        <v>7.65</v>
      </c>
      <c r="AM223">
        <v>1.06</v>
      </c>
      <c r="AN223">
        <v>82.36</v>
      </c>
    </row>
    <row r="224" spans="14:40" x14ac:dyDescent="0.3">
      <c r="N224" t="s">
        <v>501</v>
      </c>
      <c r="O224" t="s">
        <v>64</v>
      </c>
      <c r="P224" t="s">
        <v>29</v>
      </c>
      <c r="Q224" t="s">
        <v>502</v>
      </c>
      <c r="R224" t="s">
        <v>40</v>
      </c>
      <c r="S224" t="s">
        <v>41</v>
      </c>
      <c r="T224">
        <v>51</v>
      </c>
      <c r="U224">
        <v>0</v>
      </c>
      <c r="V224">
        <v>1</v>
      </c>
      <c r="W224">
        <v>55.6</v>
      </c>
      <c r="X224">
        <v>6.8</v>
      </c>
      <c r="Y224">
        <v>10.58</v>
      </c>
      <c r="AA224" t="s">
        <v>47</v>
      </c>
      <c r="AD224">
        <v>1</v>
      </c>
      <c r="AE224">
        <v>4</v>
      </c>
      <c r="AF224" t="s">
        <v>43</v>
      </c>
      <c r="AG224">
        <v>18</v>
      </c>
      <c r="AH224">
        <v>175</v>
      </c>
      <c r="AI224">
        <v>68</v>
      </c>
      <c r="AJ224" t="s">
        <v>48</v>
      </c>
      <c r="AK224">
        <v>69.599999999999994</v>
      </c>
      <c r="AL224">
        <v>7.97</v>
      </c>
      <c r="AM224">
        <v>1.45</v>
      </c>
      <c r="AN224">
        <v>96.12</v>
      </c>
    </row>
    <row r="225" spans="14:40" x14ac:dyDescent="0.3">
      <c r="N225" t="s">
        <v>503</v>
      </c>
      <c r="O225" t="s">
        <v>64</v>
      </c>
      <c r="P225" t="s">
        <v>65</v>
      </c>
      <c r="Q225" t="s">
        <v>504</v>
      </c>
      <c r="R225" t="s">
        <v>75</v>
      </c>
      <c r="S225" t="s">
        <v>32</v>
      </c>
      <c r="T225">
        <v>28</v>
      </c>
      <c r="U225">
        <v>1</v>
      </c>
      <c r="V225">
        <v>3</v>
      </c>
      <c r="W225">
        <v>70.849999999999994</v>
      </c>
      <c r="X225">
        <v>12.1</v>
      </c>
      <c r="Y225">
        <v>10.4</v>
      </c>
      <c r="AA225" t="s">
        <v>42</v>
      </c>
      <c r="AB225" s="1">
        <v>45085</v>
      </c>
      <c r="AC225">
        <v>24</v>
      </c>
      <c r="AD225">
        <v>0</v>
      </c>
      <c r="AE225">
        <v>0</v>
      </c>
      <c r="AF225" t="s">
        <v>61</v>
      </c>
      <c r="AG225">
        <v>31</v>
      </c>
      <c r="AH225">
        <v>190</v>
      </c>
      <c r="AI225">
        <v>97</v>
      </c>
      <c r="AJ225" t="s">
        <v>53</v>
      </c>
      <c r="AK225">
        <v>53.6</v>
      </c>
      <c r="AL225">
        <v>7.62</v>
      </c>
      <c r="AM225">
        <v>1</v>
      </c>
      <c r="AN225">
        <v>88.94</v>
      </c>
    </row>
    <row r="226" spans="14:40" x14ac:dyDescent="0.3">
      <c r="N226" t="s">
        <v>505</v>
      </c>
      <c r="O226" t="s">
        <v>37</v>
      </c>
      <c r="P226" t="s">
        <v>38</v>
      </c>
      <c r="Q226" t="s">
        <v>506</v>
      </c>
      <c r="R226" t="s">
        <v>94</v>
      </c>
      <c r="S226" t="s">
        <v>41</v>
      </c>
      <c r="T226">
        <v>38</v>
      </c>
      <c r="U226">
        <v>1</v>
      </c>
      <c r="V226">
        <v>0</v>
      </c>
      <c r="W226">
        <v>50.24</v>
      </c>
      <c r="X226">
        <v>5.3</v>
      </c>
      <c r="Y226">
        <v>5.34</v>
      </c>
      <c r="AA226" t="s">
        <v>43</v>
      </c>
      <c r="AD226">
        <v>0</v>
      </c>
      <c r="AE226">
        <v>2</v>
      </c>
      <c r="AF226" t="s">
        <v>34</v>
      </c>
      <c r="AG226">
        <v>33</v>
      </c>
      <c r="AH226">
        <v>165</v>
      </c>
      <c r="AI226">
        <v>65</v>
      </c>
      <c r="AJ226" t="s">
        <v>48</v>
      </c>
      <c r="AK226">
        <v>60.6</v>
      </c>
      <c r="AL226">
        <v>8.1199999999999992</v>
      </c>
      <c r="AM226">
        <v>0.88</v>
      </c>
      <c r="AN226">
        <v>85.98</v>
      </c>
    </row>
    <row r="227" spans="14:40" x14ac:dyDescent="0.3">
      <c r="N227" t="s">
        <v>507</v>
      </c>
      <c r="O227" t="s">
        <v>68</v>
      </c>
      <c r="P227" t="s">
        <v>38</v>
      </c>
      <c r="Q227" t="s">
        <v>508</v>
      </c>
      <c r="R227" t="s">
        <v>75</v>
      </c>
      <c r="S227" t="s">
        <v>32</v>
      </c>
      <c r="T227">
        <v>67</v>
      </c>
      <c r="U227">
        <v>4</v>
      </c>
      <c r="V227">
        <v>6</v>
      </c>
      <c r="W227">
        <v>89.79</v>
      </c>
      <c r="X227">
        <v>18.600000000000001</v>
      </c>
      <c r="Y227">
        <v>14.87</v>
      </c>
      <c r="AA227" t="s">
        <v>33</v>
      </c>
      <c r="AC227">
        <v>77</v>
      </c>
      <c r="AD227">
        <v>0</v>
      </c>
      <c r="AE227">
        <v>3</v>
      </c>
      <c r="AF227" t="s">
        <v>61</v>
      </c>
      <c r="AG227">
        <v>39</v>
      </c>
      <c r="AH227">
        <v>178</v>
      </c>
      <c r="AI227">
        <v>78</v>
      </c>
      <c r="AJ227" t="s">
        <v>35</v>
      </c>
      <c r="AK227">
        <v>44.2</v>
      </c>
      <c r="AL227">
        <v>8.3800000000000008</v>
      </c>
      <c r="AM227">
        <v>0.66</v>
      </c>
      <c r="AN227">
        <v>73.459999999999994</v>
      </c>
    </row>
    <row r="228" spans="14:40" x14ac:dyDescent="0.3">
      <c r="N228" t="s">
        <v>509</v>
      </c>
      <c r="O228" t="s">
        <v>68</v>
      </c>
      <c r="P228" t="s">
        <v>29</v>
      </c>
      <c r="Q228" t="s">
        <v>510</v>
      </c>
      <c r="R228" t="s">
        <v>56</v>
      </c>
      <c r="S228" t="s">
        <v>32</v>
      </c>
      <c r="T228">
        <v>22</v>
      </c>
      <c r="U228">
        <v>1</v>
      </c>
      <c r="V228">
        <v>6</v>
      </c>
      <c r="W228">
        <v>89.73</v>
      </c>
      <c r="X228">
        <v>18.600000000000001</v>
      </c>
      <c r="Y228">
        <v>6.23</v>
      </c>
      <c r="AA228" t="s">
        <v>47</v>
      </c>
      <c r="AC228">
        <v>30</v>
      </c>
      <c r="AD228">
        <v>0</v>
      </c>
      <c r="AE228">
        <v>3</v>
      </c>
      <c r="AF228" t="s">
        <v>52</v>
      </c>
      <c r="AG228">
        <v>31</v>
      </c>
      <c r="AH228">
        <v>196</v>
      </c>
      <c r="AI228">
        <v>70</v>
      </c>
      <c r="AJ228" t="s">
        <v>53</v>
      </c>
      <c r="AK228">
        <v>54.6</v>
      </c>
      <c r="AL228">
        <v>6.04</v>
      </c>
      <c r="AM228">
        <v>1.29</v>
      </c>
      <c r="AN228">
        <v>88.17</v>
      </c>
    </row>
    <row r="229" spans="14:40" x14ac:dyDescent="0.3">
      <c r="N229" t="s">
        <v>511</v>
      </c>
      <c r="O229" t="s">
        <v>64</v>
      </c>
      <c r="P229" t="s">
        <v>29</v>
      </c>
      <c r="Q229" t="s">
        <v>512</v>
      </c>
      <c r="R229" t="s">
        <v>56</v>
      </c>
      <c r="S229" t="s">
        <v>32</v>
      </c>
      <c r="T229">
        <v>39</v>
      </c>
      <c r="U229">
        <v>3</v>
      </c>
      <c r="V229">
        <v>3</v>
      </c>
      <c r="W229">
        <v>70.790000000000006</v>
      </c>
      <c r="X229">
        <v>12.1</v>
      </c>
      <c r="Y229">
        <v>7.31</v>
      </c>
      <c r="AA229" t="s">
        <v>47</v>
      </c>
      <c r="AD229">
        <v>0</v>
      </c>
      <c r="AE229">
        <v>2</v>
      </c>
      <c r="AF229" t="s">
        <v>52</v>
      </c>
      <c r="AG229">
        <v>37</v>
      </c>
      <c r="AH229">
        <v>163</v>
      </c>
      <c r="AI229">
        <v>61</v>
      </c>
      <c r="AJ229" t="s">
        <v>62</v>
      </c>
      <c r="AK229">
        <v>40.799999999999997</v>
      </c>
      <c r="AL229">
        <v>7.86</v>
      </c>
      <c r="AM229">
        <v>1.23</v>
      </c>
      <c r="AN229">
        <v>73.52</v>
      </c>
    </row>
    <row r="230" spans="14:40" x14ac:dyDescent="0.3">
      <c r="N230" t="s">
        <v>513</v>
      </c>
      <c r="O230" t="s">
        <v>68</v>
      </c>
      <c r="P230" t="s">
        <v>29</v>
      </c>
      <c r="Q230" t="s">
        <v>514</v>
      </c>
      <c r="R230" t="s">
        <v>56</v>
      </c>
      <c r="S230" t="s">
        <v>32</v>
      </c>
      <c r="T230">
        <v>43</v>
      </c>
      <c r="U230">
        <v>1</v>
      </c>
      <c r="V230">
        <v>1</v>
      </c>
      <c r="W230">
        <v>55.42</v>
      </c>
      <c r="X230">
        <v>6.7</v>
      </c>
      <c r="Y230">
        <v>5.52</v>
      </c>
      <c r="AA230" t="s">
        <v>33</v>
      </c>
      <c r="AC230">
        <v>22</v>
      </c>
      <c r="AD230">
        <v>0</v>
      </c>
      <c r="AE230">
        <v>1</v>
      </c>
      <c r="AF230" t="s">
        <v>61</v>
      </c>
      <c r="AG230">
        <v>20</v>
      </c>
      <c r="AH230">
        <v>163</v>
      </c>
      <c r="AI230">
        <v>68</v>
      </c>
      <c r="AJ230" t="s">
        <v>35</v>
      </c>
      <c r="AK230">
        <v>55.2</v>
      </c>
      <c r="AL230">
        <v>9.85</v>
      </c>
      <c r="AM230">
        <v>0.88</v>
      </c>
      <c r="AN230">
        <v>80.12</v>
      </c>
    </row>
    <row r="231" spans="14:40" x14ac:dyDescent="0.3">
      <c r="N231" t="s">
        <v>515</v>
      </c>
      <c r="O231" t="s">
        <v>37</v>
      </c>
      <c r="P231" t="s">
        <v>38</v>
      </c>
      <c r="Q231" t="s">
        <v>516</v>
      </c>
      <c r="R231" t="s">
        <v>56</v>
      </c>
      <c r="S231" t="s">
        <v>41</v>
      </c>
      <c r="T231">
        <v>73</v>
      </c>
      <c r="U231">
        <v>4</v>
      </c>
      <c r="V231">
        <v>6</v>
      </c>
      <c r="W231">
        <v>89.67</v>
      </c>
      <c r="X231">
        <v>18.5</v>
      </c>
      <c r="Y231">
        <v>11.4</v>
      </c>
      <c r="AA231" t="s">
        <v>47</v>
      </c>
      <c r="AC231">
        <v>28</v>
      </c>
      <c r="AD231">
        <v>0</v>
      </c>
      <c r="AE231">
        <v>4</v>
      </c>
      <c r="AF231" t="s">
        <v>61</v>
      </c>
      <c r="AG231">
        <v>20</v>
      </c>
      <c r="AH231">
        <v>179</v>
      </c>
      <c r="AI231">
        <v>80</v>
      </c>
      <c r="AJ231" t="s">
        <v>35</v>
      </c>
      <c r="AK231">
        <v>68.900000000000006</v>
      </c>
      <c r="AL231">
        <v>8.08</v>
      </c>
      <c r="AM231">
        <v>0.53</v>
      </c>
      <c r="AN231">
        <v>74.290000000000006</v>
      </c>
    </row>
    <row r="232" spans="14:40" x14ac:dyDescent="0.3">
      <c r="N232" t="s">
        <v>517</v>
      </c>
      <c r="O232" t="s">
        <v>64</v>
      </c>
      <c r="P232" t="s">
        <v>38</v>
      </c>
      <c r="Q232" t="s">
        <v>518</v>
      </c>
      <c r="R232" t="s">
        <v>80</v>
      </c>
      <c r="S232" t="s">
        <v>41</v>
      </c>
      <c r="T232">
        <v>52</v>
      </c>
      <c r="U232">
        <v>1</v>
      </c>
      <c r="V232">
        <v>4</v>
      </c>
      <c r="W232">
        <v>75.8</v>
      </c>
      <c r="X232">
        <v>14.3</v>
      </c>
      <c r="Y232">
        <v>7.25</v>
      </c>
      <c r="Z232" s="1">
        <v>45287</v>
      </c>
      <c r="AA232" t="s">
        <v>47</v>
      </c>
      <c r="AD232">
        <v>0</v>
      </c>
      <c r="AE232">
        <v>3</v>
      </c>
      <c r="AF232" t="s">
        <v>61</v>
      </c>
      <c r="AG232">
        <v>26</v>
      </c>
      <c r="AH232">
        <v>169</v>
      </c>
      <c r="AI232">
        <v>83</v>
      </c>
      <c r="AJ232" t="s">
        <v>53</v>
      </c>
      <c r="AK232">
        <v>51.5</v>
      </c>
      <c r="AL232">
        <v>8.7100000000000009</v>
      </c>
      <c r="AM232">
        <v>1.34</v>
      </c>
      <c r="AN232">
        <v>90.76</v>
      </c>
    </row>
    <row r="233" spans="14:40" x14ac:dyDescent="0.3">
      <c r="N233" t="s">
        <v>519</v>
      </c>
      <c r="O233" t="s">
        <v>68</v>
      </c>
      <c r="P233" t="s">
        <v>29</v>
      </c>
      <c r="Q233" t="s">
        <v>520</v>
      </c>
      <c r="R233" t="s">
        <v>75</v>
      </c>
      <c r="S233" t="s">
        <v>41</v>
      </c>
      <c r="T233">
        <v>43</v>
      </c>
      <c r="U233">
        <v>3</v>
      </c>
      <c r="V233">
        <v>0</v>
      </c>
      <c r="W233">
        <v>50.23</v>
      </c>
      <c r="X233">
        <v>5.3</v>
      </c>
      <c r="Y233">
        <v>6.8</v>
      </c>
      <c r="AA233" t="s">
        <v>47</v>
      </c>
      <c r="AB233" s="1">
        <v>45073</v>
      </c>
      <c r="AD233">
        <v>0</v>
      </c>
      <c r="AE233">
        <v>2</v>
      </c>
      <c r="AF233" t="s">
        <v>43</v>
      </c>
      <c r="AG233">
        <v>23</v>
      </c>
      <c r="AH233">
        <v>183</v>
      </c>
      <c r="AI233">
        <v>93</v>
      </c>
      <c r="AJ233" t="s">
        <v>70</v>
      </c>
      <c r="AK233">
        <v>41.2</v>
      </c>
      <c r="AL233">
        <v>7.25</v>
      </c>
      <c r="AM233">
        <v>0.51</v>
      </c>
      <c r="AN233">
        <v>76.19</v>
      </c>
    </row>
    <row r="234" spans="14:40" x14ac:dyDescent="0.3">
      <c r="N234" t="s">
        <v>521</v>
      </c>
      <c r="O234" t="s">
        <v>28</v>
      </c>
      <c r="P234" t="s">
        <v>29</v>
      </c>
      <c r="Q234" t="s">
        <v>522</v>
      </c>
      <c r="R234" t="s">
        <v>56</v>
      </c>
      <c r="S234" t="s">
        <v>32</v>
      </c>
      <c r="T234">
        <v>94</v>
      </c>
      <c r="U234">
        <v>0</v>
      </c>
      <c r="V234">
        <v>0</v>
      </c>
      <c r="W234">
        <v>50.23</v>
      </c>
      <c r="X234">
        <v>5.2</v>
      </c>
      <c r="Y234">
        <v>5.89</v>
      </c>
      <c r="AA234" t="s">
        <v>33</v>
      </c>
      <c r="AB234" s="1">
        <v>45029</v>
      </c>
      <c r="AC234">
        <v>43</v>
      </c>
      <c r="AD234">
        <v>0</v>
      </c>
      <c r="AE234">
        <v>2</v>
      </c>
      <c r="AF234" t="s">
        <v>43</v>
      </c>
      <c r="AG234">
        <v>30</v>
      </c>
      <c r="AH234">
        <v>194</v>
      </c>
      <c r="AI234">
        <v>81</v>
      </c>
      <c r="AJ234" t="s">
        <v>70</v>
      </c>
      <c r="AK234">
        <v>40.9</v>
      </c>
      <c r="AL234">
        <v>9.1</v>
      </c>
      <c r="AM234">
        <v>1.2</v>
      </c>
      <c r="AN234">
        <v>81.760000000000005</v>
      </c>
    </row>
    <row r="235" spans="14:40" x14ac:dyDescent="0.3">
      <c r="N235" t="s">
        <v>523</v>
      </c>
      <c r="O235" t="s">
        <v>64</v>
      </c>
      <c r="P235" t="s">
        <v>29</v>
      </c>
      <c r="Q235" t="s">
        <v>524</v>
      </c>
      <c r="R235" t="s">
        <v>40</v>
      </c>
      <c r="S235" t="s">
        <v>41</v>
      </c>
      <c r="T235">
        <v>91</v>
      </c>
      <c r="U235">
        <v>4</v>
      </c>
      <c r="V235">
        <v>6</v>
      </c>
      <c r="W235">
        <v>89.56</v>
      </c>
      <c r="X235">
        <v>18.5</v>
      </c>
      <c r="Y235">
        <v>6.03</v>
      </c>
      <c r="AA235" t="s">
        <v>43</v>
      </c>
      <c r="AD235">
        <v>0</v>
      </c>
      <c r="AE235">
        <v>1</v>
      </c>
      <c r="AF235" t="s">
        <v>34</v>
      </c>
      <c r="AG235">
        <v>38</v>
      </c>
      <c r="AH235">
        <v>185</v>
      </c>
      <c r="AI235">
        <v>62</v>
      </c>
      <c r="AJ235" t="s">
        <v>53</v>
      </c>
      <c r="AK235">
        <v>51.6</v>
      </c>
      <c r="AL235">
        <v>9.09</v>
      </c>
      <c r="AM235">
        <v>1.47</v>
      </c>
      <c r="AN235">
        <v>96.87</v>
      </c>
    </row>
    <row r="236" spans="14:40" x14ac:dyDescent="0.3">
      <c r="N236" t="s">
        <v>525</v>
      </c>
      <c r="O236" t="s">
        <v>28</v>
      </c>
      <c r="P236" t="s">
        <v>38</v>
      </c>
      <c r="Q236" t="s">
        <v>526</v>
      </c>
      <c r="R236" t="s">
        <v>75</v>
      </c>
      <c r="S236" t="s">
        <v>32</v>
      </c>
      <c r="T236">
        <v>55</v>
      </c>
      <c r="U236">
        <v>0</v>
      </c>
      <c r="V236">
        <v>2</v>
      </c>
      <c r="W236">
        <v>62.66</v>
      </c>
      <c r="X236">
        <v>9.8000000000000007</v>
      </c>
      <c r="Y236">
        <v>10.85</v>
      </c>
      <c r="AA236" t="s">
        <v>42</v>
      </c>
      <c r="AB236" s="1">
        <v>45215</v>
      </c>
      <c r="AC236">
        <v>87</v>
      </c>
      <c r="AD236">
        <v>0</v>
      </c>
      <c r="AE236">
        <v>1</v>
      </c>
      <c r="AF236" t="s">
        <v>34</v>
      </c>
      <c r="AG236">
        <v>19</v>
      </c>
      <c r="AH236">
        <v>196</v>
      </c>
      <c r="AI236">
        <v>71</v>
      </c>
      <c r="AJ236" t="s">
        <v>53</v>
      </c>
      <c r="AK236">
        <v>44.8</v>
      </c>
      <c r="AL236">
        <v>8.09</v>
      </c>
      <c r="AM236">
        <v>0.94</v>
      </c>
      <c r="AN236">
        <v>76.13</v>
      </c>
    </row>
    <row r="237" spans="14:40" x14ac:dyDescent="0.3">
      <c r="N237" t="s">
        <v>527</v>
      </c>
      <c r="O237" t="s">
        <v>37</v>
      </c>
      <c r="P237" t="s">
        <v>29</v>
      </c>
      <c r="Q237" t="s">
        <v>528</v>
      </c>
      <c r="R237" t="s">
        <v>80</v>
      </c>
      <c r="S237" t="s">
        <v>32</v>
      </c>
      <c r="T237">
        <v>57</v>
      </c>
      <c r="U237">
        <v>0</v>
      </c>
      <c r="V237">
        <v>6</v>
      </c>
      <c r="W237">
        <v>89.45</v>
      </c>
      <c r="X237">
        <v>18.399999999999999</v>
      </c>
      <c r="Y237">
        <v>11.88</v>
      </c>
      <c r="AA237" t="s">
        <v>47</v>
      </c>
      <c r="AD237">
        <v>1</v>
      </c>
      <c r="AE237">
        <v>0</v>
      </c>
      <c r="AF237" t="s">
        <v>52</v>
      </c>
      <c r="AG237">
        <v>25</v>
      </c>
      <c r="AH237">
        <v>197</v>
      </c>
      <c r="AI237">
        <v>87</v>
      </c>
      <c r="AJ237" t="s">
        <v>35</v>
      </c>
      <c r="AK237">
        <v>40.700000000000003</v>
      </c>
      <c r="AL237">
        <v>9.9</v>
      </c>
      <c r="AM237">
        <v>0.73</v>
      </c>
      <c r="AN237">
        <v>85.23</v>
      </c>
    </row>
    <row r="238" spans="14:40" x14ac:dyDescent="0.3">
      <c r="N238" t="s">
        <v>529</v>
      </c>
      <c r="O238" t="s">
        <v>37</v>
      </c>
      <c r="P238" t="s">
        <v>29</v>
      </c>
      <c r="Q238" t="s">
        <v>530</v>
      </c>
      <c r="R238" t="s">
        <v>51</v>
      </c>
      <c r="S238" t="s">
        <v>41</v>
      </c>
      <c r="T238">
        <v>44</v>
      </c>
      <c r="U238">
        <v>0</v>
      </c>
      <c r="V238">
        <v>2</v>
      </c>
      <c r="W238">
        <v>62.48</v>
      </c>
      <c r="X238">
        <v>9.8000000000000007</v>
      </c>
      <c r="Y238">
        <v>8.9700000000000006</v>
      </c>
      <c r="AA238" t="s">
        <v>33</v>
      </c>
      <c r="AC238">
        <v>77</v>
      </c>
      <c r="AD238">
        <v>0</v>
      </c>
      <c r="AE238">
        <v>3</v>
      </c>
      <c r="AF238" t="s">
        <v>34</v>
      </c>
      <c r="AG238">
        <v>38</v>
      </c>
      <c r="AH238">
        <v>180</v>
      </c>
      <c r="AI238">
        <v>89</v>
      </c>
      <c r="AJ238" t="s">
        <v>44</v>
      </c>
      <c r="AK238">
        <v>62.7</v>
      </c>
      <c r="AL238">
        <v>6.5</v>
      </c>
      <c r="AM238">
        <v>1.2</v>
      </c>
      <c r="AN238">
        <v>82.58</v>
      </c>
    </row>
    <row r="239" spans="14:40" x14ac:dyDescent="0.3">
      <c r="N239" t="s">
        <v>531</v>
      </c>
      <c r="O239" t="s">
        <v>68</v>
      </c>
      <c r="P239" t="s">
        <v>29</v>
      </c>
      <c r="Q239" t="s">
        <v>532</v>
      </c>
      <c r="R239" t="s">
        <v>40</v>
      </c>
      <c r="S239" t="s">
        <v>41</v>
      </c>
      <c r="T239">
        <v>37</v>
      </c>
      <c r="U239">
        <v>2</v>
      </c>
      <c r="V239">
        <v>6</v>
      </c>
      <c r="W239">
        <v>89.07</v>
      </c>
      <c r="X239">
        <v>18.399999999999999</v>
      </c>
      <c r="Y239">
        <v>9.8000000000000007</v>
      </c>
      <c r="AA239" t="s">
        <v>42</v>
      </c>
      <c r="AC239">
        <v>61</v>
      </c>
      <c r="AD239">
        <v>0</v>
      </c>
      <c r="AE239">
        <v>0</v>
      </c>
      <c r="AF239" t="s">
        <v>52</v>
      </c>
      <c r="AG239">
        <v>19</v>
      </c>
      <c r="AH239">
        <v>199</v>
      </c>
      <c r="AI239">
        <v>85</v>
      </c>
      <c r="AJ239" t="s">
        <v>70</v>
      </c>
      <c r="AK239">
        <v>53.8</v>
      </c>
      <c r="AL239">
        <v>6.07</v>
      </c>
      <c r="AM239">
        <v>1.32</v>
      </c>
      <c r="AN239">
        <v>70.540000000000006</v>
      </c>
    </row>
    <row r="240" spans="14:40" x14ac:dyDescent="0.3">
      <c r="N240" t="s">
        <v>533</v>
      </c>
      <c r="O240" t="s">
        <v>28</v>
      </c>
      <c r="P240" t="s">
        <v>38</v>
      </c>
      <c r="Q240" t="s">
        <v>534</v>
      </c>
      <c r="R240" t="s">
        <v>51</v>
      </c>
      <c r="S240" t="s">
        <v>32</v>
      </c>
      <c r="T240">
        <v>85</v>
      </c>
      <c r="U240">
        <v>2</v>
      </c>
      <c r="V240">
        <v>4</v>
      </c>
      <c r="W240">
        <v>75.760000000000005</v>
      </c>
      <c r="X240">
        <v>14.2</v>
      </c>
      <c r="Y240">
        <v>11.86</v>
      </c>
      <c r="AA240" t="s">
        <v>33</v>
      </c>
      <c r="AC240">
        <v>36</v>
      </c>
      <c r="AD240">
        <v>1</v>
      </c>
      <c r="AE240">
        <v>2</v>
      </c>
      <c r="AF240" t="s">
        <v>52</v>
      </c>
      <c r="AG240">
        <v>21</v>
      </c>
      <c r="AH240">
        <v>198</v>
      </c>
      <c r="AI240">
        <v>80</v>
      </c>
      <c r="AJ240" t="s">
        <v>48</v>
      </c>
      <c r="AK240">
        <v>48.7</v>
      </c>
      <c r="AL240">
        <v>9.08</v>
      </c>
      <c r="AM240">
        <v>1.05</v>
      </c>
      <c r="AN240">
        <v>93.78</v>
      </c>
    </row>
    <row r="241" spans="14:40" x14ac:dyDescent="0.3">
      <c r="N241" t="s">
        <v>535</v>
      </c>
      <c r="O241" t="s">
        <v>64</v>
      </c>
      <c r="P241" t="s">
        <v>29</v>
      </c>
      <c r="Q241" t="s">
        <v>536</v>
      </c>
      <c r="R241" t="s">
        <v>80</v>
      </c>
      <c r="S241" t="s">
        <v>32</v>
      </c>
      <c r="T241">
        <v>73</v>
      </c>
      <c r="U241">
        <v>0</v>
      </c>
      <c r="V241">
        <v>5</v>
      </c>
      <c r="W241">
        <v>82.95</v>
      </c>
      <c r="X241">
        <v>16.100000000000001</v>
      </c>
      <c r="Y241">
        <v>5.17</v>
      </c>
      <c r="AA241" t="s">
        <v>42</v>
      </c>
      <c r="AC241">
        <v>38</v>
      </c>
      <c r="AD241">
        <v>0</v>
      </c>
      <c r="AE241">
        <v>4</v>
      </c>
      <c r="AF241" t="s">
        <v>34</v>
      </c>
      <c r="AG241">
        <v>32</v>
      </c>
      <c r="AH241">
        <v>180</v>
      </c>
      <c r="AI241">
        <v>87</v>
      </c>
      <c r="AJ241" t="s">
        <v>44</v>
      </c>
      <c r="AK241">
        <v>67</v>
      </c>
      <c r="AL241">
        <v>9.23</v>
      </c>
      <c r="AM241">
        <v>1.47</v>
      </c>
      <c r="AN241">
        <v>72.069999999999993</v>
      </c>
    </row>
    <row r="242" spans="14:40" x14ac:dyDescent="0.3">
      <c r="N242" t="s">
        <v>537</v>
      </c>
      <c r="O242" t="s">
        <v>28</v>
      </c>
      <c r="P242" t="s">
        <v>38</v>
      </c>
      <c r="Q242" t="s">
        <v>538</v>
      </c>
      <c r="R242" t="s">
        <v>40</v>
      </c>
      <c r="S242" t="s">
        <v>32</v>
      </c>
      <c r="T242">
        <v>54</v>
      </c>
      <c r="U242">
        <v>4</v>
      </c>
      <c r="V242">
        <v>0</v>
      </c>
      <c r="W242">
        <v>50.15</v>
      </c>
      <c r="X242">
        <v>5.2</v>
      </c>
      <c r="Y242">
        <v>8.23</v>
      </c>
      <c r="AA242" t="s">
        <v>47</v>
      </c>
      <c r="AD242">
        <v>0</v>
      </c>
      <c r="AE242">
        <v>4</v>
      </c>
      <c r="AF242" t="s">
        <v>43</v>
      </c>
      <c r="AG242">
        <v>21</v>
      </c>
      <c r="AH242">
        <v>169</v>
      </c>
      <c r="AI242">
        <v>85</v>
      </c>
      <c r="AJ242" t="s">
        <v>48</v>
      </c>
      <c r="AK242">
        <v>43.5</v>
      </c>
      <c r="AL242">
        <v>6.48</v>
      </c>
      <c r="AM242">
        <v>0.55000000000000004</v>
      </c>
      <c r="AN242">
        <v>84.23</v>
      </c>
    </row>
    <row r="243" spans="14:40" x14ac:dyDescent="0.3">
      <c r="N243" t="s">
        <v>539</v>
      </c>
      <c r="O243" t="s">
        <v>28</v>
      </c>
      <c r="P243" t="s">
        <v>29</v>
      </c>
      <c r="Q243" t="s">
        <v>540</v>
      </c>
      <c r="R243" t="s">
        <v>56</v>
      </c>
      <c r="S243" t="s">
        <v>32</v>
      </c>
      <c r="T243">
        <v>80</v>
      </c>
      <c r="U243">
        <v>3</v>
      </c>
      <c r="V243">
        <v>6</v>
      </c>
      <c r="W243">
        <v>88.9</v>
      </c>
      <c r="X243">
        <v>18.399999999999999</v>
      </c>
      <c r="Y243">
        <v>14.73</v>
      </c>
      <c r="AA243" t="s">
        <v>43</v>
      </c>
      <c r="AD243">
        <v>0</v>
      </c>
      <c r="AE243">
        <v>1</v>
      </c>
      <c r="AF243" t="s">
        <v>34</v>
      </c>
      <c r="AG243">
        <v>30</v>
      </c>
      <c r="AH243">
        <v>197</v>
      </c>
      <c r="AI243">
        <v>92</v>
      </c>
      <c r="AJ243" t="s">
        <v>35</v>
      </c>
      <c r="AK243">
        <v>68.7</v>
      </c>
      <c r="AL243">
        <v>7.06</v>
      </c>
      <c r="AM243">
        <v>1</v>
      </c>
      <c r="AN243">
        <v>86.82</v>
      </c>
    </row>
    <row r="244" spans="14:40" x14ac:dyDescent="0.3">
      <c r="N244" t="s">
        <v>541</v>
      </c>
      <c r="O244" t="s">
        <v>28</v>
      </c>
      <c r="P244" t="s">
        <v>38</v>
      </c>
      <c r="Q244" t="s">
        <v>542</v>
      </c>
      <c r="R244" t="s">
        <v>56</v>
      </c>
      <c r="S244" t="s">
        <v>41</v>
      </c>
      <c r="T244">
        <v>60</v>
      </c>
      <c r="U244">
        <v>3</v>
      </c>
      <c r="V244">
        <v>4</v>
      </c>
      <c r="W244">
        <v>75.709999999999994</v>
      </c>
      <c r="X244">
        <v>14.2</v>
      </c>
      <c r="Y244">
        <v>10.8</v>
      </c>
      <c r="AA244" t="s">
        <v>42</v>
      </c>
      <c r="AC244">
        <v>37</v>
      </c>
      <c r="AD244">
        <v>0</v>
      </c>
      <c r="AE244">
        <v>4</v>
      </c>
      <c r="AF244" t="s">
        <v>34</v>
      </c>
      <c r="AG244">
        <v>29</v>
      </c>
      <c r="AH244">
        <v>163</v>
      </c>
      <c r="AI244">
        <v>80</v>
      </c>
      <c r="AJ244" t="s">
        <v>70</v>
      </c>
      <c r="AK244">
        <v>49.4</v>
      </c>
      <c r="AL244">
        <v>6.07</v>
      </c>
      <c r="AM244">
        <v>1.22</v>
      </c>
      <c r="AN244">
        <v>88.85</v>
      </c>
    </row>
    <row r="245" spans="14:40" x14ac:dyDescent="0.3">
      <c r="N245" t="s">
        <v>543</v>
      </c>
      <c r="O245" t="s">
        <v>37</v>
      </c>
      <c r="P245" t="s">
        <v>65</v>
      </c>
      <c r="Q245" t="s">
        <v>544</v>
      </c>
      <c r="R245" t="s">
        <v>56</v>
      </c>
      <c r="S245" t="s">
        <v>41</v>
      </c>
      <c r="T245">
        <v>52</v>
      </c>
      <c r="U245">
        <v>1</v>
      </c>
      <c r="V245">
        <v>2</v>
      </c>
      <c r="W245">
        <v>62.28</v>
      </c>
      <c r="X245">
        <v>9.8000000000000007</v>
      </c>
      <c r="Y245">
        <v>7.54</v>
      </c>
      <c r="AA245" t="s">
        <v>42</v>
      </c>
      <c r="AB245" s="1">
        <v>45123</v>
      </c>
      <c r="AD245">
        <v>0</v>
      </c>
      <c r="AE245">
        <v>4</v>
      </c>
      <c r="AF245" t="s">
        <v>52</v>
      </c>
      <c r="AG245">
        <v>30</v>
      </c>
      <c r="AH245">
        <v>179</v>
      </c>
      <c r="AI245">
        <v>94</v>
      </c>
      <c r="AJ245" t="s">
        <v>53</v>
      </c>
      <c r="AK245">
        <v>66.7</v>
      </c>
      <c r="AL245">
        <v>7.17</v>
      </c>
      <c r="AM245">
        <v>1.36</v>
      </c>
      <c r="AN245">
        <v>90.66</v>
      </c>
    </row>
    <row r="246" spans="14:40" x14ac:dyDescent="0.3">
      <c r="N246" t="s">
        <v>545</v>
      </c>
      <c r="O246" t="s">
        <v>37</v>
      </c>
      <c r="P246" t="s">
        <v>65</v>
      </c>
      <c r="Q246" t="s">
        <v>546</v>
      </c>
      <c r="R246" t="s">
        <v>94</v>
      </c>
      <c r="S246" t="s">
        <v>32</v>
      </c>
      <c r="T246">
        <v>87</v>
      </c>
      <c r="U246">
        <v>4</v>
      </c>
      <c r="V246">
        <v>2</v>
      </c>
      <c r="W246">
        <v>62.23</v>
      </c>
      <c r="X246">
        <v>9.6</v>
      </c>
      <c r="Y246">
        <v>10.220000000000001</v>
      </c>
      <c r="AA246" t="s">
        <v>47</v>
      </c>
      <c r="AC246">
        <v>44</v>
      </c>
      <c r="AD246">
        <v>1</v>
      </c>
      <c r="AE246">
        <v>4</v>
      </c>
      <c r="AF246" t="s">
        <v>43</v>
      </c>
      <c r="AG246">
        <v>31</v>
      </c>
      <c r="AH246">
        <v>176</v>
      </c>
      <c r="AI246">
        <v>93</v>
      </c>
      <c r="AJ246" t="s">
        <v>53</v>
      </c>
      <c r="AK246">
        <v>58.1</v>
      </c>
      <c r="AL246">
        <v>9.09</v>
      </c>
      <c r="AM246">
        <v>0.68</v>
      </c>
      <c r="AN246">
        <v>77.599999999999994</v>
      </c>
    </row>
    <row r="247" spans="14:40" x14ac:dyDescent="0.3">
      <c r="N247" t="s">
        <v>547</v>
      </c>
      <c r="O247" t="s">
        <v>68</v>
      </c>
      <c r="P247" t="s">
        <v>29</v>
      </c>
      <c r="Q247" t="s">
        <v>548</v>
      </c>
      <c r="R247" t="s">
        <v>40</v>
      </c>
      <c r="S247" t="s">
        <v>32</v>
      </c>
      <c r="T247">
        <v>52</v>
      </c>
      <c r="U247">
        <v>2</v>
      </c>
      <c r="V247">
        <v>0</v>
      </c>
      <c r="W247">
        <v>50.11</v>
      </c>
      <c r="X247">
        <v>5.2</v>
      </c>
      <c r="Y247">
        <v>8.43</v>
      </c>
      <c r="Z247" s="1">
        <v>45181</v>
      </c>
      <c r="AA247" t="s">
        <v>42</v>
      </c>
      <c r="AB247" s="1">
        <v>45027</v>
      </c>
      <c r="AC247">
        <v>17</v>
      </c>
      <c r="AD247">
        <v>0</v>
      </c>
      <c r="AE247">
        <v>2</v>
      </c>
      <c r="AF247" t="s">
        <v>34</v>
      </c>
      <c r="AG247">
        <v>37</v>
      </c>
      <c r="AH247">
        <v>166</v>
      </c>
      <c r="AI247">
        <v>77</v>
      </c>
      <c r="AJ247" t="s">
        <v>70</v>
      </c>
      <c r="AK247">
        <v>64.8</v>
      </c>
      <c r="AL247">
        <v>8.07</v>
      </c>
      <c r="AM247">
        <v>1.3</v>
      </c>
      <c r="AN247">
        <v>70.3</v>
      </c>
    </row>
    <row r="248" spans="14:40" x14ac:dyDescent="0.3">
      <c r="N248" t="s">
        <v>549</v>
      </c>
      <c r="O248" t="s">
        <v>68</v>
      </c>
      <c r="P248" t="s">
        <v>65</v>
      </c>
      <c r="Q248" t="s">
        <v>550</v>
      </c>
      <c r="R248" t="s">
        <v>94</v>
      </c>
      <c r="S248" t="s">
        <v>32</v>
      </c>
      <c r="T248">
        <v>33</v>
      </c>
      <c r="U248">
        <v>0</v>
      </c>
      <c r="V248">
        <v>3</v>
      </c>
      <c r="W248">
        <v>70.69</v>
      </c>
      <c r="X248">
        <v>12</v>
      </c>
      <c r="Y248">
        <v>10.32</v>
      </c>
      <c r="Z248" s="1">
        <v>45155</v>
      </c>
      <c r="AA248" t="s">
        <v>42</v>
      </c>
      <c r="AD248">
        <v>0</v>
      </c>
      <c r="AE248">
        <v>4</v>
      </c>
      <c r="AF248" t="s">
        <v>52</v>
      </c>
      <c r="AG248">
        <v>35</v>
      </c>
      <c r="AH248">
        <v>163</v>
      </c>
      <c r="AI248">
        <v>70</v>
      </c>
      <c r="AJ248" t="s">
        <v>44</v>
      </c>
      <c r="AK248">
        <v>69.5</v>
      </c>
      <c r="AL248">
        <v>7.39</v>
      </c>
      <c r="AM248">
        <v>1.05</v>
      </c>
      <c r="AN248">
        <v>91.7</v>
      </c>
    </row>
    <row r="249" spans="14:40" x14ac:dyDescent="0.3">
      <c r="N249" t="s">
        <v>551</v>
      </c>
      <c r="O249" t="s">
        <v>37</v>
      </c>
      <c r="P249" t="s">
        <v>29</v>
      </c>
      <c r="Q249" t="s">
        <v>552</v>
      </c>
      <c r="R249" t="s">
        <v>56</v>
      </c>
      <c r="S249" t="s">
        <v>32</v>
      </c>
      <c r="T249">
        <v>40</v>
      </c>
      <c r="U249">
        <v>1</v>
      </c>
      <c r="V249">
        <v>6</v>
      </c>
      <c r="W249">
        <v>88.75</v>
      </c>
      <c r="X249">
        <v>18.399999999999999</v>
      </c>
      <c r="Y249">
        <v>6.26</v>
      </c>
      <c r="Z249" s="1">
        <v>45084</v>
      </c>
      <c r="AA249" t="s">
        <v>43</v>
      </c>
      <c r="AC249">
        <v>25</v>
      </c>
      <c r="AD249">
        <v>0</v>
      </c>
      <c r="AE249">
        <v>4</v>
      </c>
      <c r="AF249" t="s">
        <v>34</v>
      </c>
      <c r="AG249">
        <v>23</v>
      </c>
      <c r="AH249">
        <v>188</v>
      </c>
      <c r="AI249">
        <v>82</v>
      </c>
      <c r="AJ249" t="s">
        <v>48</v>
      </c>
      <c r="AK249">
        <v>48.7</v>
      </c>
      <c r="AL249">
        <v>7.49</v>
      </c>
      <c r="AM249">
        <v>0.9</v>
      </c>
      <c r="AN249">
        <v>86.07</v>
      </c>
    </row>
    <row r="250" spans="14:40" x14ac:dyDescent="0.3">
      <c r="N250" t="s">
        <v>553</v>
      </c>
      <c r="O250" t="s">
        <v>37</v>
      </c>
      <c r="P250" t="s">
        <v>38</v>
      </c>
      <c r="Q250" t="s">
        <v>554</v>
      </c>
      <c r="R250" t="s">
        <v>31</v>
      </c>
      <c r="S250" t="s">
        <v>32</v>
      </c>
      <c r="T250">
        <v>67</v>
      </c>
      <c r="U250">
        <v>3</v>
      </c>
      <c r="V250">
        <v>1</v>
      </c>
      <c r="W250">
        <v>55.42</v>
      </c>
      <c r="X250">
        <v>6.7</v>
      </c>
      <c r="Y250">
        <v>6.33</v>
      </c>
      <c r="AA250" t="s">
        <v>47</v>
      </c>
      <c r="AB250" s="1">
        <v>45183</v>
      </c>
      <c r="AC250">
        <v>45</v>
      </c>
      <c r="AD250">
        <v>0</v>
      </c>
      <c r="AE250">
        <v>4</v>
      </c>
      <c r="AF250" t="s">
        <v>61</v>
      </c>
      <c r="AG250">
        <v>28</v>
      </c>
      <c r="AH250">
        <v>173</v>
      </c>
      <c r="AI250">
        <v>81</v>
      </c>
      <c r="AJ250" t="s">
        <v>48</v>
      </c>
      <c r="AK250">
        <v>68.8</v>
      </c>
      <c r="AL250">
        <v>6.01</v>
      </c>
      <c r="AM250">
        <v>0.63</v>
      </c>
      <c r="AN250">
        <v>95.08</v>
      </c>
    </row>
    <row r="251" spans="14:40" x14ac:dyDescent="0.3">
      <c r="N251" t="s">
        <v>555</v>
      </c>
      <c r="O251" t="s">
        <v>37</v>
      </c>
      <c r="P251" t="s">
        <v>29</v>
      </c>
      <c r="Q251" t="s">
        <v>556</v>
      </c>
      <c r="R251" t="s">
        <v>31</v>
      </c>
      <c r="S251" t="s">
        <v>41</v>
      </c>
      <c r="T251">
        <v>39</v>
      </c>
      <c r="U251">
        <v>2</v>
      </c>
      <c r="V251">
        <v>2</v>
      </c>
      <c r="W251">
        <v>62.15</v>
      </c>
      <c r="X251">
        <v>9.4</v>
      </c>
      <c r="Y251">
        <v>6.44</v>
      </c>
      <c r="AA251" t="s">
        <v>42</v>
      </c>
      <c r="AB251" s="1">
        <v>44987</v>
      </c>
      <c r="AC251">
        <v>39</v>
      </c>
      <c r="AD251">
        <v>0</v>
      </c>
      <c r="AE251">
        <v>0</v>
      </c>
      <c r="AF251" t="s">
        <v>34</v>
      </c>
      <c r="AG251">
        <v>19</v>
      </c>
      <c r="AH251">
        <v>162</v>
      </c>
      <c r="AI251">
        <v>76</v>
      </c>
      <c r="AJ251" t="s">
        <v>35</v>
      </c>
      <c r="AK251">
        <v>51.7</v>
      </c>
      <c r="AL251">
        <v>7.2</v>
      </c>
      <c r="AM251">
        <v>1.37</v>
      </c>
      <c r="AN251">
        <v>94.64</v>
      </c>
    </row>
    <row r="252" spans="14:40" x14ac:dyDescent="0.3">
      <c r="N252" t="s">
        <v>557</v>
      </c>
      <c r="O252" t="s">
        <v>37</v>
      </c>
      <c r="P252" t="s">
        <v>29</v>
      </c>
      <c r="Q252" t="s">
        <v>558</v>
      </c>
      <c r="R252" t="s">
        <v>94</v>
      </c>
      <c r="S252" t="s">
        <v>41</v>
      </c>
      <c r="T252">
        <v>27</v>
      </c>
      <c r="U252">
        <v>2</v>
      </c>
      <c r="V252">
        <v>5</v>
      </c>
      <c r="W252">
        <v>82.9</v>
      </c>
      <c r="X252">
        <v>16.100000000000001</v>
      </c>
      <c r="Y252">
        <v>14.4</v>
      </c>
      <c r="AA252" t="s">
        <v>43</v>
      </c>
      <c r="AB252" s="1">
        <v>45072</v>
      </c>
      <c r="AD252">
        <v>0</v>
      </c>
      <c r="AE252">
        <v>2</v>
      </c>
      <c r="AF252" t="s">
        <v>52</v>
      </c>
      <c r="AG252">
        <v>36</v>
      </c>
      <c r="AH252">
        <v>183</v>
      </c>
      <c r="AI252">
        <v>64</v>
      </c>
      <c r="AJ252" t="s">
        <v>62</v>
      </c>
      <c r="AK252">
        <v>51.6</v>
      </c>
      <c r="AL252">
        <v>8.59</v>
      </c>
      <c r="AM252">
        <v>0.66</v>
      </c>
      <c r="AN252">
        <v>95.3</v>
      </c>
    </row>
    <row r="253" spans="14:40" x14ac:dyDescent="0.3">
      <c r="N253" t="s">
        <v>559</v>
      </c>
      <c r="O253" t="s">
        <v>64</v>
      </c>
      <c r="P253" t="s">
        <v>38</v>
      </c>
      <c r="Q253" t="s">
        <v>560</v>
      </c>
      <c r="R253" t="s">
        <v>80</v>
      </c>
      <c r="S253" t="s">
        <v>32</v>
      </c>
      <c r="T253">
        <v>26</v>
      </c>
      <c r="U253">
        <v>0</v>
      </c>
      <c r="V253">
        <v>5</v>
      </c>
      <c r="W253">
        <v>82.58</v>
      </c>
      <c r="X253">
        <v>16</v>
      </c>
      <c r="Y253">
        <v>12.33</v>
      </c>
      <c r="AA253" t="s">
        <v>42</v>
      </c>
      <c r="AD253">
        <v>0</v>
      </c>
      <c r="AE253">
        <v>1</v>
      </c>
      <c r="AF253" t="s">
        <v>52</v>
      </c>
      <c r="AG253">
        <v>36</v>
      </c>
      <c r="AH253">
        <v>196</v>
      </c>
      <c r="AI253">
        <v>70</v>
      </c>
      <c r="AJ253" t="s">
        <v>35</v>
      </c>
      <c r="AK253">
        <v>50.2</v>
      </c>
      <c r="AL253">
        <v>9.9</v>
      </c>
      <c r="AM253">
        <v>0.81</v>
      </c>
      <c r="AN253">
        <v>84.55</v>
      </c>
    </row>
    <row r="254" spans="14:40" x14ac:dyDescent="0.3">
      <c r="N254" t="s">
        <v>561</v>
      </c>
      <c r="O254" t="s">
        <v>64</v>
      </c>
      <c r="P254" t="s">
        <v>29</v>
      </c>
      <c r="Q254" t="s">
        <v>562</v>
      </c>
      <c r="R254" t="s">
        <v>51</v>
      </c>
      <c r="S254" t="s">
        <v>32</v>
      </c>
      <c r="T254">
        <v>86</v>
      </c>
      <c r="U254">
        <v>3</v>
      </c>
      <c r="V254">
        <v>2</v>
      </c>
      <c r="W254">
        <v>61.99</v>
      </c>
      <c r="X254">
        <v>9.4</v>
      </c>
      <c r="Y254">
        <v>6.62</v>
      </c>
      <c r="AA254" t="s">
        <v>43</v>
      </c>
      <c r="AB254" s="1">
        <v>45211</v>
      </c>
      <c r="AC254">
        <v>27</v>
      </c>
      <c r="AD254">
        <v>0</v>
      </c>
      <c r="AE254">
        <v>0</v>
      </c>
      <c r="AF254" t="s">
        <v>43</v>
      </c>
      <c r="AG254">
        <v>22</v>
      </c>
      <c r="AH254">
        <v>175</v>
      </c>
      <c r="AI254">
        <v>89</v>
      </c>
      <c r="AJ254" t="s">
        <v>62</v>
      </c>
      <c r="AK254">
        <v>56.2</v>
      </c>
      <c r="AL254">
        <v>9.39</v>
      </c>
      <c r="AM254">
        <v>0.79</v>
      </c>
      <c r="AN254">
        <v>80.010000000000005</v>
      </c>
    </row>
    <row r="255" spans="14:40" x14ac:dyDescent="0.3">
      <c r="N255" t="s">
        <v>563</v>
      </c>
      <c r="O255" t="s">
        <v>37</v>
      </c>
      <c r="P255" t="s">
        <v>29</v>
      </c>
      <c r="Q255" t="s">
        <v>564</v>
      </c>
      <c r="R255" t="s">
        <v>31</v>
      </c>
      <c r="S255" t="s">
        <v>32</v>
      </c>
      <c r="T255">
        <v>36</v>
      </c>
      <c r="U255">
        <v>4</v>
      </c>
      <c r="V255">
        <v>3</v>
      </c>
      <c r="W255">
        <v>70.58</v>
      </c>
      <c r="X255">
        <v>12</v>
      </c>
      <c r="Y255">
        <v>6.88</v>
      </c>
      <c r="AA255" t="s">
        <v>43</v>
      </c>
      <c r="AD255">
        <v>0</v>
      </c>
      <c r="AE255">
        <v>3</v>
      </c>
      <c r="AF255" t="s">
        <v>52</v>
      </c>
      <c r="AG255">
        <v>36</v>
      </c>
      <c r="AH255">
        <v>163</v>
      </c>
      <c r="AI255">
        <v>74</v>
      </c>
      <c r="AJ255" t="s">
        <v>70</v>
      </c>
      <c r="AK255">
        <v>44.6</v>
      </c>
      <c r="AL255">
        <v>6.09</v>
      </c>
      <c r="AM255">
        <v>1.37</v>
      </c>
      <c r="AN255">
        <v>93.75</v>
      </c>
    </row>
    <row r="256" spans="14:40" x14ac:dyDescent="0.3">
      <c r="N256" t="s">
        <v>565</v>
      </c>
      <c r="O256" t="s">
        <v>37</v>
      </c>
      <c r="P256" t="s">
        <v>65</v>
      </c>
      <c r="Q256" t="s">
        <v>566</v>
      </c>
      <c r="R256" t="s">
        <v>40</v>
      </c>
      <c r="S256" t="s">
        <v>41</v>
      </c>
      <c r="T256">
        <v>52</v>
      </c>
      <c r="U256">
        <v>2</v>
      </c>
      <c r="V256">
        <v>3</v>
      </c>
      <c r="W256">
        <v>70.48</v>
      </c>
      <c r="X256">
        <v>12</v>
      </c>
      <c r="Y256">
        <v>12.31</v>
      </c>
      <c r="AA256" t="s">
        <v>42</v>
      </c>
      <c r="AD256">
        <v>0</v>
      </c>
      <c r="AE256">
        <v>2</v>
      </c>
      <c r="AF256" t="s">
        <v>43</v>
      </c>
      <c r="AG256">
        <v>19</v>
      </c>
      <c r="AH256">
        <v>183</v>
      </c>
      <c r="AI256">
        <v>86</v>
      </c>
      <c r="AJ256" t="s">
        <v>35</v>
      </c>
      <c r="AK256">
        <v>56.6</v>
      </c>
      <c r="AL256">
        <v>9.59</v>
      </c>
      <c r="AM256">
        <v>1.17</v>
      </c>
      <c r="AN256">
        <v>83.54</v>
      </c>
    </row>
    <row r="257" spans="14:40" x14ac:dyDescent="0.3">
      <c r="N257" t="s">
        <v>567</v>
      </c>
      <c r="O257" t="s">
        <v>68</v>
      </c>
      <c r="P257" t="s">
        <v>38</v>
      </c>
      <c r="Q257" t="s">
        <v>568</v>
      </c>
      <c r="R257" t="s">
        <v>31</v>
      </c>
      <c r="S257" t="s">
        <v>41</v>
      </c>
      <c r="T257">
        <v>67</v>
      </c>
      <c r="U257">
        <v>0</v>
      </c>
      <c r="V257">
        <v>4</v>
      </c>
      <c r="W257">
        <v>75.459999999999994</v>
      </c>
      <c r="X257">
        <v>14.2</v>
      </c>
      <c r="Y257">
        <v>6.56</v>
      </c>
      <c r="Z257" s="1">
        <v>44994</v>
      </c>
      <c r="AA257" t="s">
        <v>43</v>
      </c>
      <c r="AB257" s="1">
        <v>45213</v>
      </c>
      <c r="AD257">
        <v>1</v>
      </c>
      <c r="AE257">
        <v>2</v>
      </c>
      <c r="AF257" t="s">
        <v>34</v>
      </c>
      <c r="AG257">
        <v>27</v>
      </c>
      <c r="AH257">
        <v>193</v>
      </c>
      <c r="AI257">
        <v>94</v>
      </c>
      <c r="AJ257" t="s">
        <v>35</v>
      </c>
      <c r="AK257">
        <v>56.3</v>
      </c>
      <c r="AL257">
        <v>9.1300000000000008</v>
      </c>
      <c r="AM257">
        <v>1.3</v>
      </c>
      <c r="AN257">
        <v>75.5</v>
      </c>
    </row>
    <row r="258" spans="14:40" x14ac:dyDescent="0.3">
      <c r="N258" t="s">
        <v>569</v>
      </c>
      <c r="O258" t="s">
        <v>28</v>
      </c>
      <c r="P258" t="s">
        <v>38</v>
      </c>
      <c r="Q258" t="s">
        <v>570</v>
      </c>
      <c r="R258" t="s">
        <v>94</v>
      </c>
      <c r="S258" t="s">
        <v>41</v>
      </c>
      <c r="T258">
        <v>78</v>
      </c>
      <c r="U258">
        <v>4</v>
      </c>
      <c r="V258">
        <v>5</v>
      </c>
      <c r="W258">
        <v>82.47</v>
      </c>
      <c r="X258">
        <v>15.9</v>
      </c>
      <c r="Y258">
        <v>7.35</v>
      </c>
      <c r="AA258" t="s">
        <v>42</v>
      </c>
      <c r="AD258">
        <v>0</v>
      </c>
      <c r="AE258">
        <v>3</v>
      </c>
      <c r="AF258" t="s">
        <v>61</v>
      </c>
      <c r="AG258">
        <v>19</v>
      </c>
      <c r="AH258">
        <v>189</v>
      </c>
      <c r="AI258">
        <v>92</v>
      </c>
      <c r="AJ258" t="s">
        <v>53</v>
      </c>
      <c r="AK258">
        <v>62.9</v>
      </c>
      <c r="AL258">
        <v>9.1199999999999992</v>
      </c>
      <c r="AM258">
        <v>0.75</v>
      </c>
      <c r="AN258">
        <v>95.65</v>
      </c>
    </row>
    <row r="259" spans="14:40" x14ac:dyDescent="0.3">
      <c r="N259" t="s">
        <v>571</v>
      </c>
      <c r="O259" t="s">
        <v>37</v>
      </c>
      <c r="P259" t="s">
        <v>38</v>
      </c>
      <c r="Q259" t="s">
        <v>572</v>
      </c>
      <c r="R259" t="s">
        <v>75</v>
      </c>
      <c r="S259" t="s">
        <v>32</v>
      </c>
      <c r="T259">
        <v>41</v>
      </c>
      <c r="U259">
        <v>3</v>
      </c>
      <c r="V259">
        <v>4</v>
      </c>
      <c r="W259">
        <v>75.23</v>
      </c>
      <c r="X259">
        <v>14.2</v>
      </c>
      <c r="Y259">
        <v>14.63</v>
      </c>
      <c r="AA259" t="s">
        <v>42</v>
      </c>
      <c r="AC259">
        <v>11</v>
      </c>
      <c r="AD259">
        <v>0</v>
      </c>
      <c r="AE259">
        <v>3</v>
      </c>
      <c r="AF259" t="s">
        <v>34</v>
      </c>
      <c r="AG259">
        <v>28</v>
      </c>
      <c r="AH259">
        <v>177</v>
      </c>
      <c r="AI259">
        <v>79</v>
      </c>
      <c r="AJ259" t="s">
        <v>35</v>
      </c>
      <c r="AK259">
        <v>65</v>
      </c>
      <c r="AL259">
        <v>7.83</v>
      </c>
      <c r="AM259">
        <v>1.1200000000000001</v>
      </c>
      <c r="AN259">
        <v>96.48</v>
      </c>
    </row>
    <row r="260" spans="14:40" x14ac:dyDescent="0.3">
      <c r="N260" t="s">
        <v>573</v>
      </c>
      <c r="O260" t="s">
        <v>68</v>
      </c>
      <c r="P260" t="s">
        <v>38</v>
      </c>
      <c r="Q260" t="s">
        <v>574</v>
      </c>
      <c r="R260" t="s">
        <v>80</v>
      </c>
      <c r="S260" t="s">
        <v>41</v>
      </c>
      <c r="T260">
        <v>49</v>
      </c>
      <c r="U260">
        <v>2</v>
      </c>
      <c r="V260">
        <v>5</v>
      </c>
      <c r="W260">
        <v>82.41</v>
      </c>
      <c r="X260">
        <v>15.9</v>
      </c>
      <c r="Y260">
        <v>7.55</v>
      </c>
      <c r="Z260" s="1">
        <v>45124</v>
      </c>
      <c r="AA260" t="s">
        <v>43</v>
      </c>
      <c r="AB260" s="1">
        <v>45093</v>
      </c>
      <c r="AD260">
        <v>0</v>
      </c>
      <c r="AE260">
        <v>3</v>
      </c>
      <c r="AF260" t="s">
        <v>43</v>
      </c>
      <c r="AG260">
        <v>35</v>
      </c>
      <c r="AH260">
        <v>178</v>
      </c>
      <c r="AI260">
        <v>75</v>
      </c>
      <c r="AJ260" t="s">
        <v>48</v>
      </c>
      <c r="AK260">
        <v>53.2</v>
      </c>
      <c r="AL260">
        <v>7.59</v>
      </c>
      <c r="AM260">
        <v>1.07</v>
      </c>
      <c r="AN260">
        <v>83.99</v>
      </c>
    </row>
    <row r="261" spans="14:40" x14ac:dyDescent="0.3">
      <c r="N261" t="s">
        <v>575</v>
      </c>
      <c r="O261" t="s">
        <v>68</v>
      </c>
      <c r="P261" t="s">
        <v>38</v>
      </c>
      <c r="Q261" t="s">
        <v>576</v>
      </c>
      <c r="R261" t="s">
        <v>31</v>
      </c>
      <c r="S261" t="s">
        <v>41</v>
      </c>
      <c r="T261">
        <v>57</v>
      </c>
      <c r="U261">
        <v>4</v>
      </c>
      <c r="V261">
        <v>6</v>
      </c>
      <c r="W261">
        <v>88.71</v>
      </c>
      <c r="X261">
        <v>18.3</v>
      </c>
      <c r="Y261">
        <v>11.62</v>
      </c>
      <c r="AA261" t="s">
        <v>43</v>
      </c>
      <c r="AC261">
        <v>58</v>
      </c>
      <c r="AD261">
        <v>0</v>
      </c>
      <c r="AE261">
        <v>1</v>
      </c>
      <c r="AF261" t="s">
        <v>34</v>
      </c>
      <c r="AG261">
        <v>32</v>
      </c>
      <c r="AH261">
        <v>190</v>
      </c>
      <c r="AI261">
        <v>93</v>
      </c>
      <c r="AJ261" t="s">
        <v>70</v>
      </c>
      <c r="AK261">
        <v>49.1</v>
      </c>
      <c r="AL261">
        <v>7.21</v>
      </c>
      <c r="AM261">
        <v>1.33</v>
      </c>
      <c r="AN261">
        <v>72.27</v>
      </c>
    </row>
    <row r="262" spans="14:40" x14ac:dyDescent="0.3">
      <c r="N262" t="s">
        <v>577</v>
      </c>
      <c r="O262" t="s">
        <v>64</v>
      </c>
      <c r="P262" t="s">
        <v>38</v>
      </c>
      <c r="Q262" t="s">
        <v>578</v>
      </c>
      <c r="R262" t="s">
        <v>56</v>
      </c>
      <c r="S262" t="s">
        <v>32</v>
      </c>
      <c r="T262">
        <v>70</v>
      </c>
      <c r="U262">
        <v>4</v>
      </c>
      <c r="V262">
        <v>6</v>
      </c>
      <c r="W262">
        <v>88.38</v>
      </c>
      <c r="X262">
        <v>18.2</v>
      </c>
      <c r="Y262">
        <v>14.79</v>
      </c>
      <c r="AA262" t="s">
        <v>33</v>
      </c>
      <c r="AD262">
        <v>0</v>
      </c>
      <c r="AE262">
        <v>4</v>
      </c>
      <c r="AF262" t="s">
        <v>34</v>
      </c>
      <c r="AG262">
        <v>26</v>
      </c>
      <c r="AH262">
        <v>178</v>
      </c>
      <c r="AI262">
        <v>61</v>
      </c>
      <c r="AJ262" t="s">
        <v>53</v>
      </c>
      <c r="AK262">
        <v>47.8</v>
      </c>
      <c r="AL262">
        <v>6.26</v>
      </c>
      <c r="AM262">
        <v>1.41</v>
      </c>
      <c r="AN262">
        <v>81.63</v>
      </c>
    </row>
    <row r="263" spans="14:40" x14ac:dyDescent="0.3">
      <c r="N263" t="s">
        <v>579</v>
      </c>
      <c r="O263" t="s">
        <v>28</v>
      </c>
      <c r="P263" t="s">
        <v>82</v>
      </c>
      <c r="Q263" t="s">
        <v>580</v>
      </c>
      <c r="R263" t="s">
        <v>56</v>
      </c>
      <c r="S263" t="s">
        <v>32</v>
      </c>
      <c r="T263">
        <v>73</v>
      </c>
      <c r="U263">
        <v>1</v>
      </c>
      <c r="V263">
        <v>1</v>
      </c>
      <c r="W263">
        <v>55.21</v>
      </c>
      <c r="X263">
        <v>6.5</v>
      </c>
      <c r="Y263">
        <v>8.74</v>
      </c>
      <c r="AA263" t="s">
        <v>42</v>
      </c>
      <c r="AC263">
        <v>86</v>
      </c>
      <c r="AD263">
        <v>0</v>
      </c>
      <c r="AE263">
        <v>2</v>
      </c>
      <c r="AF263" t="s">
        <v>61</v>
      </c>
      <c r="AG263">
        <v>36</v>
      </c>
      <c r="AH263">
        <v>178</v>
      </c>
      <c r="AI263">
        <v>94</v>
      </c>
      <c r="AJ263" t="s">
        <v>53</v>
      </c>
      <c r="AK263">
        <v>45.8</v>
      </c>
      <c r="AL263">
        <v>6.91</v>
      </c>
      <c r="AM263">
        <v>0.51</v>
      </c>
      <c r="AN263">
        <v>94.11</v>
      </c>
    </row>
    <row r="264" spans="14:40" x14ac:dyDescent="0.3">
      <c r="N264" t="s">
        <v>581</v>
      </c>
      <c r="O264" t="s">
        <v>28</v>
      </c>
      <c r="P264" t="s">
        <v>38</v>
      </c>
      <c r="Q264" t="s">
        <v>582</v>
      </c>
      <c r="R264" t="s">
        <v>56</v>
      </c>
      <c r="S264" t="s">
        <v>41</v>
      </c>
      <c r="T264">
        <v>27</v>
      </c>
      <c r="U264">
        <v>2</v>
      </c>
      <c r="V264">
        <v>6</v>
      </c>
      <c r="W264">
        <v>88.35</v>
      </c>
      <c r="X264">
        <v>18.2</v>
      </c>
      <c r="Y264">
        <v>5.18</v>
      </c>
      <c r="AA264" t="s">
        <v>33</v>
      </c>
      <c r="AD264">
        <v>0</v>
      </c>
      <c r="AE264">
        <v>4</v>
      </c>
      <c r="AF264" t="s">
        <v>43</v>
      </c>
      <c r="AG264">
        <v>26</v>
      </c>
      <c r="AH264">
        <v>181</v>
      </c>
      <c r="AI264">
        <v>99</v>
      </c>
      <c r="AJ264" t="s">
        <v>53</v>
      </c>
      <c r="AK264">
        <v>41.7</v>
      </c>
      <c r="AL264">
        <v>6.99</v>
      </c>
      <c r="AM264">
        <v>1.17</v>
      </c>
      <c r="AN264">
        <v>97.05</v>
      </c>
    </row>
    <row r="265" spans="14:40" x14ac:dyDescent="0.3">
      <c r="N265" t="s">
        <v>583</v>
      </c>
      <c r="O265" t="s">
        <v>28</v>
      </c>
      <c r="P265" t="s">
        <v>29</v>
      </c>
      <c r="Q265" t="s">
        <v>584</v>
      </c>
      <c r="R265" t="s">
        <v>94</v>
      </c>
      <c r="S265" t="s">
        <v>32</v>
      </c>
      <c r="T265">
        <v>46</v>
      </c>
      <c r="U265">
        <v>2</v>
      </c>
      <c r="V265">
        <v>1</v>
      </c>
      <c r="W265">
        <v>55.19</v>
      </c>
      <c r="X265">
        <v>6.5</v>
      </c>
      <c r="Y265">
        <v>7.44</v>
      </c>
      <c r="AA265" t="s">
        <v>47</v>
      </c>
      <c r="AD265">
        <v>1</v>
      </c>
      <c r="AE265">
        <v>4</v>
      </c>
      <c r="AF265" t="s">
        <v>52</v>
      </c>
      <c r="AG265">
        <v>20</v>
      </c>
      <c r="AH265">
        <v>183</v>
      </c>
      <c r="AI265">
        <v>87</v>
      </c>
      <c r="AJ265" t="s">
        <v>70</v>
      </c>
      <c r="AK265">
        <v>50.3</v>
      </c>
      <c r="AL265">
        <v>7.94</v>
      </c>
      <c r="AM265">
        <v>0.55000000000000004</v>
      </c>
      <c r="AN265">
        <v>76.099999999999994</v>
      </c>
    </row>
    <row r="266" spans="14:40" x14ac:dyDescent="0.3">
      <c r="N266" t="s">
        <v>585</v>
      </c>
      <c r="O266" t="s">
        <v>37</v>
      </c>
      <c r="P266" t="s">
        <v>38</v>
      </c>
      <c r="Q266" t="s">
        <v>586</v>
      </c>
      <c r="R266" t="s">
        <v>56</v>
      </c>
      <c r="S266" t="s">
        <v>32</v>
      </c>
      <c r="T266">
        <v>46</v>
      </c>
      <c r="U266">
        <v>1</v>
      </c>
      <c r="V266">
        <v>6</v>
      </c>
      <c r="W266">
        <v>88.09</v>
      </c>
      <c r="X266">
        <v>18</v>
      </c>
      <c r="Y266">
        <v>13.31</v>
      </c>
      <c r="AA266" t="s">
        <v>42</v>
      </c>
      <c r="AD266">
        <v>0</v>
      </c>
      <c r="AE266">
        <v>3</v>
      </c>
      <c r="AF266" t="s">
        <v>52</v>
      </c>
      <c r="AG266">
        <v>38</v>
      </c>
      <c r="AH266">
        <v>171</v>
      </c>
      <c r="AI266">
        <v>98</v>
      </c>
      <c r="AJ266" t="s">
        <v>44</v>
      </c>
      <c r="AK266">
        <v>48.1</v>
      </c>
      <c r="AL266">
        <v>8.99</v>
      </c>
      <c r="AM266">
        <v>1.05</v>
      </c>
      <c r="AN266">
        <v>72.010000000000005</v>
      </c>
    </row>
    <row r="267" spans="14:40" x14ac:dyDescent="0.3">
      <c r="N267" t="s">
        <v>587</v>
      </c>
      <c r="O267" t="s">
        <v>37</v>
      </c>
      <c r="P267" t="s">
        <v>65</v>
      </c>
      <c r="Q267" t="s">
        <v>588</v>
      </c>
      <c r="R267" t="s">
        <v>75</v>
      </c>
      <c r="S267" t="s">
        <v>32</v>
      </c>
      <c r="T267">
        <v>40</v>
      </c>
      <c r="U267">
        <v>3</v>
      </c>
      <c r="V267">
        <v>0</v>
      </c>
      <c r="W267">
        <v>50.05</v>
      </c>
      <c r="X267">
        <v>5.2</v>
      </c>
      <c r="Y267">
        <v>13.65</v>
      </c>
      <c r="Z267" s="1">
        <v>45111</v>
      </c>
      <c r="AA267" t="s">
        <v>42</v>
      </c>
      <c r="AB267" s="1">
        <v>45091</v>
      </c>
      <c r="AC267">
        <v>13</v>
      </c>
      <c r="AD267">
        <v>0</v>
      </c>
      <c r="AE267">
        <v>1</v>
      </c>
      <c r="AF267" t="s">
        <v>52</v>
      </c>
      <c r="AG267">
        <v>26</v>
      </c>
      <c r="AH267">
        <v>189</v>
      </c>
      <c r="AI267">
        <v>65</v>
      </c>
      <c r="AJ267" t="s">
        <v>44</v>
      </c>
      <c r="AK267">
        <v>69</v>
      </c>
      <c r="AL267">
        <v>7.9</v>
      </c>
      <c r="AM267">
        <v>0.79</v>
      </c>
      <c r="AN267">
        <v>96.32</v>
      </c>
    </row>
    <row r="268" spans="14:40" x14ac:dyDescent="0.3">
      <c r="N268" t="s">
        <v>589</v>
      </c>
      <c r="O268" t="s">
        <v>28</v>
      </c>
      <c r="P268" t="s">
        <v>38</v>
      </c>
      <c r="Q268" t="s">
        <v>590</v>
      </c>
      <c r="R268" t="s">
        <v>31</v>
      </c>
      <c r="S268" t="s">
        <v>41</v>
      </c>
      <c r="T268">
        <v>49</v>
      </c>
      <c r="U268">
        <v>0</v>
      </c>
      <c r="V268">
        <v>6</v>
      </c>
      <c r="W268">
        <v>87.87</v>
      </c>
      <c r="X268">
        <v>18</v>
      </c>
      <c r="Y268">
        <v>12.69</v>
      </c>
      <c r="AA268" t="s">
        <v>42</v>
      </c>
      <c r="AD268">
        <v>1</v>
      </c>
      <c r="AE268">
        <v>0</v>
      </c>
      <c r="AF268" t="s">
        <v>43</v>
      </c>
      <c r="AG268">
        <v>31</v>
      </c>
      <c r="AH268">
        <v>197</v>
      </c>
      <c r="AI268">
        <v>68</v>
      </c>
      <c r="AJ268" t="s">
        <v>70</v>
      </c>
      <c r="AK268">
        <v>56.7</v>
      </c>
      <c r="AL268">
        <v>6.23</v>
      </c>
      <c r="AM268">
        <v>0.81</v>
      </c>
      <c r="AN268">
        <v>81.680000000000007</v>
      </c>
    </row>
    <row r="269" spans="14:40" x14ac:dyDescent="0.3">
      <c r="N269" t="s">
        <v>591</v>
      </c>
      <c r="O269" t="s">
        <v>68</v>
      </c>
      <c r="P269" t="s">
        <v>38</v>
      </c>
      <c r="Q269" t="s">
        <v>592</v>
      </c>
      <c r="R269" t="s">
        <v>40</v>
      </c>
      <c r="S269" t="s">
        <v>41</v>
      </c>
      <c r="T269">
        <v>47</v>
      </c>
      <c r="U269">
        <v>4</v>
      </c>
      <c r="V269">
        <v>4</v>
      </c>
      <c r="W269">
        <v>75.19</v>
      </c>
      <c r="X269">
        <v>13.9</v>
      </c>
      <c r="Y269">
        <v>6.13</v>
      </c>
      <c r="AA269" t="s">
        <v>33</v>
      </c>
      <c r="AD269">
        <v>1</v>
      </c>
      <c r="AE269">
        <v>1</v>
      </c>
      <c r="AF269" t="s">
        <v>52</v>
      </c>
      <c r="AG269">
        <v>36</v>
      </c>
      <c r="AH269">
        <v>190</v>
      </c>
      <c r="AI269">
        <v>79</v>
      </c>
      <c r="AJ269" t="s">
        <v>48</v>
      </c>
      <c r="AK269">
        <v>50.4</v>
      </c>
      <c r="AL269">
        <v>9.83</v>
      </c>
      <c r="AM269">
        <v>0.85</v>
      </c>
      <c r="AN269">
        <v>86.25</v>
      </c>
    </row>
    <row r="270" spans="14:40" x14ac:dyDescent="0.3">
      <c r="N270" t="s">
        <v>593</v>
      </c>
      <c r="O270" t="s">
        <v>64</v>
      </c>
      <c r="P270" t="s">
        <v>29</v>
      </c>
      <c r="Q270" t="s">
        <v>594</v>
      </c>
      <c r="R270" t="s">
        <v>31</v>
      </c>
      <c r="S270" t="s">
        <v>32</v>
      </c>
      <c r="T270">
        <v>83</v>
      </c>
      <c r="U270">
        <v>1</v>
      </c>
      <c r="V270">
        <v>2</v>
      </c>
      <c r="W270">
        <v>61.87</v>
      </c>
      <c r="X270">
        <v>9.4</v>
      </c>
      <c r="Y270">
        <v>12.96</v>
      </c>
      <c r="Z270" s="1">
        <v>45027</v>
      </c>
      <c r="AA270" t="s">
        <v>47</v>
      </c>
      <c r="AD270">
        <v>1</v>
      </c>
      <c r="AE270">
        <v>4</v>
      </c>
      <c r="AF270" t="s">
        <v>52</v>
      </c>
      <c r="AG270">
        <v>24</v>
      </c>
      <c r="AH270">
        <v>195</v>
      </c>
      <c r="AI270">
        <v>60</v>
      </c>
      <c r="AJ270" t="s">
        <v>48</v>
      </c>
      <c r="AK270">
        <v>57.4</v>
      </c>
      <c r="AL270">
        <v>9.77</v>
      </c>
      <c r="AM270">
        <v>1.1200000000000001</v>
      </c>
      <c r="AN270">
        <v>99.04</v>
      </c>
    </row>
    <row r="271" spans="14:40" x14ac:dyDescent="0.3">
      <c r="N271" t="s">
        <v>595</v>
      </c>
      <c r="O271" t="s">
        <v>64</v>
      </c>
      <c r="P271" t="s">
        <v>38</v>
      </c>
      <c r="Q271" t="s">
        <v>596</v>
      </c>
      <c r="R271" t="s">
        <v>40</v>
      </c>
      <c r="S271" t="s">
        <v>32</v>
      </c>
      <c r="T271">
        <v>88</v>
      </c>
      <c r="U271">
        <v>0</v>
      </c>
      <c r="V271">
        <v>4</v>
      </c>
      <c r="W271">
        <v>75.03</v>
      </c>
      <c r="X271">
        <v>13.9</v>
      </c>
      <c r="Y271">
        <v>14.19</v>
      </c>
      <c r="Z271" s="1">
        <v>44944</v>
      </c>
      <c r="AA271" t="s">
        <v>42</v>
      </c>
      <c r="AB271" s="1">
        <v>45221</v>
      </c>
      <c r="AD271">
        <v>0</v>
      </c>
      <c r="AE271">
        <v>1</v>
      </c>
      <c r="AF271" t="s">
        <v>52</v>
      </c>
      <c r="AG271">
        <v>33</v>
      </c>
      <c r="AH271">
        <v>178</v>
      </c>
      <c r="AI271">
        <v>67</v>
      </c>
      <c r="AJ271" t="s">
        <v>62</v>
      </c>
      <c r="AK271">
        <v>44.2</v>
      </c>
      <c r="AL271">
        <v>9.14</v>
      </c>
      <c r="AM271">
        <v>0.83</v>
      </c>
      <c r="AN271">
        <v>72</v>
      </c>
    </row>
    <row r="272" spans="14:40" x14ac:dyDescent="0.3">
      <c r="N272" t="s">
        <v>597</v>
      </c>
      <c r="O272" t="s">
        <v>37</v>
      </c>
      <c r="P272" t="s">
        <v>65</v>
      </c>
      <c r="Q272" t="s">
        <v>598</v>
      </c>
      <c r="R272" t="s">
        <v>40</v>
      </c>
      <c r="S272" t="s">
        <v>41</v>
      </c>
      <c r="T272">
        <v>80</v>
      </c>
      <c r="U272">
        <v>1</v>
      </c>
      <c r="V272">
        <v>2</v>
      </c>
      <c r="W272">
        <v>61.71</v>
      </c>
      <c r="X272">
        <v>9.3000000000000007</v>
      </c>
      <c r="Y272">
        <v>11.01</v>
      </c>
      <c r="Z272" s="1">
        <v>45074</v>
      </c>
      <c r="AA272" t="s">
        <v>33</v>
      </c>
      <c r="AD272">
        <v>0</v>
      </c>
      <c r="AE272">
        <v>3</v>
      </c>
      <c r="AF272" t="s">
        <v>52</v>
      </c>
      <c r="AG272">
        <v>33</v>
      </c>
      <c r="AH272">
        <v>195</v>
      </c>
      <c r="AI272">
        <v>82</v>
      </c>
      <c r="AJ272" t="s">
        <v>44</v>
      </c>
      <c r="AK272">
        <v>53.3</v>
      </c>
      <c r="AL272">
        <v>9.9700000000000006</v>
      </c>
      <c r="AM272">
        <v>1.23</v>
      </c>
      <c r="AN272">
        <v>89.45</v>
      </c>
    </row>
    <row r="273" spans="14:40" x14ac:dyDescent="0.3">
      <c r="N273" t="s">
        <v>599</v>
      </c>
      <c r="O273" t="s">
        <v>68</v>
      </c>
      <c r="P273" t="s">
        <v>29</v>
      </c>
      <c r="Q273" t="s">
        <v>600</v>
      </c>
      <c r="R273" t="s">
        <v>40</v>
      </c>
      <c r="S273" t="s">
        <v>32</v>
      </c>
      <c r="T273">
        <v>67</v>
      </c>
      <c r="U273">
        <v>2</v>
      </c>
      <c r="V273">
        <v>3</v>
      </c>
      <c r="W273">
        <v>69.849999999999994</v>
      </c>
      <c r="X273">
        <v>11.9</v>
      </c>
      <c r="Y273">
        <v>14.41</v>
      </c>
      <c r="AA273" t="s">
        <v>47</v>
      </c>
      <c r="AD273">
        <v>0</v>
      </c>
      <c r="AE273">
        <v>0</v>
      </c>
      <c r="AF273" t="s">
        <v>34</v>
      </c>
      <c r="AG273">
        <v>18</v>
      </c>
      <c r="AH273">
        <v>189</v>
      </c>
      <c r="AI273">
        <v>62</v>
      </c>
      <c r="AJ273" t="s">
        <v>48</v>
      </c>
      <c r="AK273">
        <v>58.8</v>
      </c>
      <c r="AL273">
        <v>8.18</v>
      </c>
      <c r="AM273">
        <v>0.9</v>
      </c>
      <c r="AN273">
        <v>72.22</v>
      </c>
    </row>
    <row r="274" spans="14:40" x14ac:dyDescent="0.3">
      <c r="N274" t="s">
        <v>601</v>
      </c>
      <c r="O274" t="s">
        <v>37</v>
      </c>
      <c r="P274" t="s">
        <v>38</v>
      </c>
      <c r="Q274" t="s">
        <v>602</v>
      </c>
      <c r="R274" t="s">
        <v>94</v>
      </c>
      <c r="S274" t="s">
        <v>32</v>
      </c>
      <c r="T274">
        <v>38</v>
      </c>
      <c r="U274">
        <v>4</v>
      </c>
      <c r="V274">
        <v>4</v>
      </c>
      <c r="W274">
        <v>75.010000000000005</v>
      </c>
      <c r="X274">
        <v>13.8</v>
      </c>
      <c r="Y274">
        <v>13.27</v>
      </c>
      <c r="AA274" t="s">
        <v>42</v>
      </c>
      <c r="AD274">
        <v>0</v>
      </c>
      <c r="AE274">
        <v>3</v>
      </c>
      <c r="AF274" t="s">
        <v>43</v>
      </c>
      <c r="AG274">
        <v>21</v>
      </c>
      <c r="AH274">
        <v>192</v>
      </c>
      <c r="AI274">
        <v>63</v>
      </c>
      <c r="AJ274" t="s">
        <v>53</v>
      </c>
      <c r="AK274">
        <v>54.7</v>
      </c>
      <c r="AL274">
        <v>9.85</v>
      </c>
      <c r="AM274">
        <v>0.56999999999999995</v>
      </c>
      <c r="AN274">
        <v>81.260000000000005</v>
      </c>
    </row>
    <row r="275" spans="14:40" x14ac:dyDescent="0.3">
      <c r="N275" t="s">
        <v>603</v>
      </c>
      <c r="O275" t="s">
        <v>28</v>
      </c>
      <c r="P275" t="s">
        <v>29</v>
      </c>
      <c r="Q275" t="s">
        <v>604</v>
      </c>
      <c r="R275" t="s">
        <v>94</v>
      </c>
      <c r="S275" t="s">
        <v>32</v>
      </c>
      <c r="T275">
        <v>23</v>
      </c>
      <c r="U275">
        <v>0</v>
      </c>
      <c r="V275">
        <v>3</v>
      </c>
      <c r="W275">
        <v>69.67</v>
      </c>
      <c r="X275">
        <v>11.8</v>
      </c>
      <c r="Y275">
        <v>11.67</v>
      </c>
      <c r="AA275" t="s">
        <v>47</v>
      </c>
      <c r="AB275" s="1">
        <v>44997</v>
      </c>
      <c r="AC275">
        <v>84</v>
      </c>
      <c r="AD275">
        <v>0</v>
      </c>
      <c r="AE275">
        <v>0</v>
      </c>
      <c r="AF275" t="s">
        <v>52</v>
      </c>
      <c r="AG275">
        <v>21</v>
      </c>
      <c r="AH275">
        <v>177</v>
      </c>
      <c r="AI275">
        <v>84</v>
      </c>
      <c r="AJ275" t="s">
        <v>53</v>
      </c>
      <c r="AK275">
        <v>52.1</v>
      </c>
      <c r="AL275">
        <v>6.3</v>
      </c>
      <c r="AM275">
        <v>1.28</v>
      </c>
      <c r="AN275">
        <v>94.11</v>
      </c>
    </row>
    <row r="276" spans="14:40" x14ac:dyDescent="0.3">
      <c r="N276" t="s">
        <v>605</v>
      </c>
      <c r="O276" t="s">
        <v>37</v>
      </c>
      <c r="P276" t="s">
        <v>65</v>
      </c>
      <c r="Q276" t="s">
        <v>606</v>
      </c>
      <c r="R276" t="s">
        <v>56</v>
      </c>
      <c r="S276" t="s">
        <v>32</v>
      </c>
      <c r="T276">
        <v>54</v>
      </c>
      <c r="U276">
        <v>0</v>
      </c>
      <c r="V276">
        <v>1</v>
      </c>
      <c r="W276">
        <v>55.14</v>
      </c>
      <c r="X276">
        <v>6.5</v>
      </c>
      <c r="Y276">
        <v>10.77</v>
      </c>
      <c r="AA276" t="s">
        <v>43</v>
      </c>
      <c r="AD276">
        <v>0</v>
      </c>
      <c r="AE276">
        <v>4</v>
      </c>
      <c r="AF276" t="s">
        <v>34</v>
      </c>
      <c r="AG276">
        <v>24</v>
      </c>
      <c r="AH276">
        <v>187</v>
      </c>
      <c r="AI276">
        <v>97</v>
      </c>
      <c r="AJ276" t="s">
        <v>53</v>
      </c>
      <c r="AK276">
        <v>69.8</v>
      </c>
      <c r="AL276">
        <v>7.46</v>
      </c>
      <c r="AM276">
        <v>0.79</v>
      </c>
      <c r="AN276">
        <v>83</v>
      </c>
    </row>
    <row r="277" spans="14:40" x14ac:dyDescent="0.3">
      <c r="N277" t="s">
        <v>607</v>
      </c>
      <c r="O277" t="s">
        <v>37</v>
      </c>
      <c r="P277" t="s">
        <v>82</v>
      </c>
      <c r="Q277" t="s">
        <v>608</v>
      </c>
      <c r="R277" t="s">
        <v>51</v>
      </c>
      <c r="S277" t="s">
        <v>41</v>
      </c>
      <c r="T277">
        <v>83</v>
      </c>
      <c r="U277">
        <v>0</v>
      </c>
      <c r="V277">
        <v>1</v>
      </c>
      <c r="W277">
        <v>54.93</v>
      </c>
      <c r="X277">
        <v>6.5</v>
      </c>
      <c r="Y277">
        <v>8.49</v>
      </c>
      <c r="AA277" t="s">
        <v>43</v>
      </c>
      <c r="AC277">
        <v>16</v>
      </c>
      <c r="AD277">
        <v>1</v>
      </c>
      <c r="AE277">
        <v>0</v>
      </c>
      <c r="AF277" t="s">
        <v>61</v>
      </c>
      <c r="AG277">
        <v>25</v>
      </c>
      <c r="AH277">
        <v>170</v>
      </c>
      <c r="AI277">
        <v>74</v>
      </c>
      <c r="AJ277" t="s">
        <v>53</v>
      </c>
      <c r="AK277">
        <v>66.400000000000006</v>
      </c>
      <c r="AL277">
        <v>6.9</v>
      </c>
      <c r="AM277">
        <v>0.93</v>
      </c>
      <c r="AN277">
        <v>99.92</v>
      </c>
    </row>
    <row r="278" spans="14:40" x14ac:dyDescent="0.3">
      <c r="N278" t="s">
        <v>609</v>
      </c>
      <c r="O278" t="s">
        <v>37</v>
      </c>
      <c r="P278" t="s">
        <v>29</v>
      </c>
      <c r="Q278" t="s">
        <v>610</v>
      </c>
      <c r="R278" t="s">
        <v>40</v>
      </c>
      <c r="S278" t="s">
        <v>32</v>
      </c>
      <c r="T278">
        <v>68</v>
      </c>
      <c r="U278">
        <v>0</v>
      </c>
      <c r="V278">
        <v>0</v>
      </c>
      <c r="W278">
        <v>50.01</v>
      </c>
      <c r="X278">
        <v>5.2</v>
      </c>
      <c r="Y278">
        <v>6.59</v>
      </c>
      <c r="AA278" t="s">
        <v>43</v>
      </c>
      <c r="AD278">
        <v>0</v>
      </c>
      <c r="AE278">
        <v>0</v>
      </c>
      <c r="AF278" t="s">
        <v>34</v>
      </c>
      <c r="AG278">
        <v>34</v>
      </c>
      <c r="AH278">
        <v>192</v>
      </c>
      <c r="AI278">
        <v>80</v>
      </c>
      <c r="AJ278" t="s">
        <v>44</v>
      </c>
      <c r="AK278">
        <v>58.7</v>
      </c>
      <c r="AL278">
        <v>6.78</v>
      </c>
      <c r="AM278">
        <v>1.19</v>
      </c>
      <c r="AN278">
        <v>86.77</v>
      </c>
    </row>
    <row r="279" spans="14:40" x14ac:dyDescent="0.3">
      <c r="N279" t="s">
        <v>611</v>
      </c>
      <c r="O279" t="s">
        <v>37</v>
      </c>
      <c r="P279" t="s">
        <v>38</v>
      </c>
      <c r="Q279" t="s">
        <v>612</v>
      </c>
      <c r="R279" t="s">
        <v>40</v>
      </c>
      <c r="S279" t="s">
        <v>41</v>
      </c>
      <c r="T279">
        <v>36</v>
      </c>
      <c r="U279">
        <v>0</v>
      </c>
      <c r="V279">
        <v>6</v>
      </c>
      <c r="W279">
        <v>87.81</v>
      </c>
      <c r="X279">
        <v>18</v>
      </c>
      <c r="Y279">
        <v>11.05</v>
      </c>
      <c r="AA279" t="s">
        <v>43</v>
      </c>
      <c r="AB279" s="1">
        <v>45000</v>
      </c>
      <c r="AD279">
        <v>1</v>
      </c>
      <c r="AE279">
        <v>0</v>
      </c>
      <c r="AF279" t="s">
        <v>61</v>
      </c>
      <c r="AG279">
        <v>22</v>
      </c>
      <c r="AH279">
        <v>176</v>
      </c>
      <c r="AI279">
        <v>94</v>
      </c>
      <c r="AJ279" t="s">
        <v>35</v>
      </c>
      <c r="AK279">
        <v>57.1</v>
      </c>
      <c r="AL279">
        <v>6.56</v>
      </c>
      <c r="AM279">
        <v>0.83</v>
      </c>
      <c r="AN279">
        <v>79.63</v>
      </c>
    </row>
    <row r="280" spans="14:40" x14ac:dyDescent="0.3">
      <c r="N280" t="s">
        <v>613</v>
      </c>
      <c r="O280" t="s">
        <v>64</v>
      </c>
      <c r="P280" t="s">
        <v>38</v>
      </c>
      <c r="Q280" t="s">
        <v>614</v>
      </c>
      <c r="R280" t="s">
        <v>80</v>
      </c>
      <c r="S280" t="s">
        <v>41</v>
      </c>
      <c r="T280">
        <v>63</v>
      </c>
      <c r="U280">
        <v>1</v>
      </c>
      <c r="V280">
        <v>4</v>
      </c>
      <c r="W280">
        <v>74.47</v>
      </c>
      <c r="X280">
        <v>13.8</v>
      </c>
      <c r="Y280">
        <v>8.18</v>
      </c>
      <c r="AA280" t="s">
        <v>47</v>
      </c>
      <c r="AB280" s="1">
        <v>44972</v>
      </c>
      <c r="AD280">
        <v>0</v>
      </c>
      <c r="AE280">
        <v>1</v>
      </c>
      <c r="AF280" t="s">
        <v>52</v>
      </c>
      <c r="AG280">
        <v>24</v>
      </c>
      <c r="AH280">
        <v>165</v>
      </c>
      <c r="AI280">
        <v>73</v>
      </c>
      <c r="AJ280" t="s">
        <v>62</v>
      </c>
      <c r="AK280">
        <v>58.6</v>
      </c>
      <c r="AL280">
        <v>8.49</v>
      </c>
      <c r="AM280">
        <v>0.56000000000000005</v>
      </c>
      <c r="AN280">
        <v>76.599999999999994</v>
      </c>
    </row>
    <row r="281" spans="14:40" x14ac:dyDescent="0.3">
      <c r="N281" t="s">
        <v>615</v>
      </c>
      <c r="O281" t="s">
        <v>68</v>
      </c>
      <c r="P281" t="s">
        <v>29</v>
      </c>
      <c r="Q281" t="s">
        <v>616</v>
      </c>
      <c r="R281" t="s">
        <v>31</v>
      </c>
      <c r="S281" t="s">
        <v>41</v>
      </c>
      <c r="T281">
        <v>49</v>
      </c>
      <c r="U281">
        <v>4</v>
      </c>
      <c r="V281">
        <v>3</v>
      </c>
      <c r="W281">
        <v>69.45</v>
      </c>
      <c r="X281">
        <v>11.8</v>
      </c>
      <c r="Y281">
        <v>13.66</v>
      </c>
      <c r="AA281" t="s">
        <v>42</v>
      </c>
      <c r="AD281">
        <v>0</v>
      </c>
      <c r="AE281">
        <v>1</v>
      </c>
      <c r="AF281" t="s">
        <v>52</v>
      </c>
      <c r="AG281">
        <v>37</v>
      </c>
      <c r="AH281">
        <v>163</v>
      </c>
      <c r="AI281">
        <v>95</v>
      </c>
      <c r="AJ281" t="s">
        <v>70</v>
      </c>
      <c r="AK281">
        <v>46</v>
      </c>
      <c r="AL281">
        <v>9.1300000000000008</v>
      </c>
      <c r="AM281">
        <v>0.87</v>
      </c>
      <c r="AN281">
        <v>80.52</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EE9BA-5898-F840-A9B6-A5781807A633}">
  <dimension ref="A1:X1000"/>
  <sheetViews>
    <sheetView zoomScaleNormal="150" zoomScaleSheetLayoutView="100" workbookViewId="0">
      <selection activeCell="W19" sqref="W19"/>
    </sheetView>
  </sheetViews>
  <sheetFormatPr defaultRowHeight="14.4" x14ac:dyDescent="0.3"/>
  <cols>
    <col min="16" max="16" width="11.6640625" bestFit="1" customWidth="1"/>
    <col min="17" max="17" width="17.5546875" bestFit="1" customWidth="1"/>
    <col min="18" max="18" width="19.5546875" bestFit="1" customWidth="1"/>
    <col min="19" max="19" width="14" bestFit="1" customWidth="1"/>
    <col min="20" max="20" width="15.44140625" bestFit="1" customWidth="1"/>
    <col min="21" max="21" width="16.44140625" bestFit="1" customWidth="1"/>
    <col min="22" max="22" width="27" bestFit="1" customWidth="1"/>
  </cols>
  <sheetData>
    <row r="1" spans="1:24" ht="31.2" x14ac:dyDescent="0.5">
      <c r="A1" s="12" t="s">
        <v>22</v>
      </c>
      <c r="M1" s="25" t="s">
        <v>0</v>
      </c>
      <c r="N1" s="28" t="s">
        <v>22</v>
      </c>
    </row>
    <row r="2" spans="1:24" ht="15.6" x14ac:dyDescent="0.3">
      <c r="B2" s="11" t="s">
        <v>617</v>
      </c>
      <c r="M2" s="26" t="s">
        <v>27</v>
      </c>
      <c r="N2" s="29" t="s">
        <v>35</v>
      </c>
    </row>
    <row r="3" spans="1:24" ht="15.6" x14ac:dyDescent="0.3">
      <c r="B3" s="17" t="s">
        <v>618</v>
      </c>
      <c r="M3" s="26" t="s">
        <v>36</v>
      </c>
      <c r="N3" s="29" t="s">
        <v>44</v>
      </c>
    </row>
    <row r="4" spans="1:24" ht="15.6" x14ac:dyDescent="0.3">
      <c r="B4" s="17" t="s">
        <v>619</v>
      </c>
      <c r="M4" s="26" t="s">
        <v>45</v>
      </c>
      <c r="N4" s="29" t="s">
        <v>48</v>
      </c>
      <c r="P4" s="31" t="s">
        <v>632</v>
      </c>
      <c r="Q4" s="32" t="s">
        <v>630</v>
      </c>
      <c r="R4" s="32" t="s">
        <v>645</v>
      </c>
      <c r="S4" s="32" t="s">
        <v>646</v>
      </c>
      <c r="T4" s="33" t="s">
        <v>647</v>
      </c>
      <c r="U4" s="33" t="s">
        <v>648</v>
      </c>
      <c r="V4" s="33" t="s">
        <v>649</v>
      </c>
      <c r="W4" s="33"/>
      <c r="X4" s="34"/>
    </row>
    <row r="5" spans="1:24" x14ac:dyDescent="0.3">
      <c r="M5" s="26" t="s">
        <v>49</v>
      </c>
      <c r="N5" s="29" t="s">
        <v>53</v>
      </c>
      <c r="P5" s="27" t="s">
        <v>62</v>
      </c>
      <c r="Q5" s="35">
        <v>33</v>
      </c>
      <c r="R5" s="35">
        <v>66</v>
      </c>
      <c r="S5" s="35">
        <v>110</v>
      </c>
      <c r="T5" s="49">
        <f>R5/Q5</f>
        <v>2</v>
      </c>
      <c r="U5" s="49">
        <f>S5/Q5</f>
        <v>3.3333333333333335</v>
      </c>
      <c r="V5" s="49">
        <f>T5+U5</f>
        <v>5.3333333333333339</v>
      </c>
      <c r="W5" s="36"/>
      <c r="X5" s="37"/>
    </row>
    <row r="6" spans="1:24" x14ac:dyDescent="0.3">
      <c r="M6" s="26" t="s">
        <v>54</v>
      </c>
      <c r="N6" s="29" t="s">
        <v>53</v>
      </c>
      <c r="P6" s="27" t="s">
        <v>48</v>
      </c>
      <c r="Q6" s="35">
        <v>59</v>
      </c>
      <c r="R6" s="35">
        <v>116</v>
      </c>
      <c r="S6" s="35">
        <v>171</v>
      </c>
      <c r="T6" s="49">
        <f t="shared" ref="T6:T10" si="0">R6/Q6</f>
        <v>1.9661016949152543</v>
      </c>
      <c r="U6" s="49">
        <f t="shared" ref="U6:U10" si="1">S6/Q6</f>
        <v>2.8983050847457625</v>
      </c>
      <c r="V6" s="49">
        <f t="shared" ref="V6:V10" si="2">T6+U6</f>
        <v>4.8644067796610173</v>
      </c>
      <c r="W6" s="36"/>
      <c r="X6" s="37"/>
    </row>
    <row r="7" spans="1:24" x14ac:dyDescent="0.3">
      <c r="M7" s="26" t="s">
        <v>57</v>
      </c>
      <c r="N7" s="29" t="s">
        <v>53</v>
      </c>
      <c r="P7" s="27" t="s">
        <v>53</v>
      </c>
      <c r="Q7" s="35">
        <v>59</v>
      </c>
      <c r="R7" s="35">
        <v>99</v>
      </c>
      <c r="S7" s="35">
        <v>181</v>
      </c>
      <c r="T7" s="49">
        <f t="shared" si="0"/>
        <v>1.6779661016949152</v>
      </c>
      <c r="U7" s="49">
        <f t="shared" si="1"/>
        <v>3.0677966101694913</v>
      </c>
      <c r="V7" s="49">
        <f t="shared" si="2"/>
        <v>4.7457627118644066</v>
      </c>
      <c r="W7" s="36"/>
      <c r="X7" s="37"/>
    </row>
    <row r="8" spans="1:24" x14ac:dyDescent="0.3">
      <c r="M8" s="26" t="s">
        <v>59</v>
      </c>
      <c r="N8" s="29" t="s">
        <v>62</v>
      </c>
      <c r="P8" s="27" t="s">
        <v>35</v>
      </c>
      <c r="Q8" s="35">
        <v>51</v>
      </c>
      <c r="R8" s="35">
        <v>93</v>
      </c>
      <c r="S8" s="35">
        <v>170</v>
      </c>
      <c r="T8" s="49">
        <f t="shared" si="0"/>
        <v>1.8235294117647058</v>
      </c>
      <c r="U8" s="49">
        <f t="shared" si="1"/>
        <v>3.3333333333333335</v>
      </c>
      <c r="V8" s="49">
        <f t="shared" si="2"/>
        <v>5.1568627450980395</v>
      </c>
      <c r="W8" s="36"/>
      <c r="X8" s="37"/>
    </row>
    <row r="9" spans="1:24" x14ac:dyDescent="0.3">
      <c r="M9" s="26" t="s">
        <v>63</v>
      </c>
      <c r="N9" s="29" t="s">
        <v>48</v>
      </c>
      <c r="P9" s="27" t="s">
        <v>44</v>
      </c>
      <c r="Q9" s="35">
        <v>42</v>
      </c>
      <c r="R9" s="35">
        <v>64</v>
      </c>
      <c r="S9" s="35">
        <v>132</v>
      </c>
      <c r="T9" s="49">
        <f t="shared" si="0"/>
        <v>1.5238095238095237</v>
      </c>
      <c r="U9" s="49">
        <f t="shared" si="1"/>
        <v>3.1428571428571428</v>
      </c>
      <c r="V9" s="49">
        <f t="shared" si="2"/>
        <v>4.6666666666666661</v>
      </c>
      <c r="W9" s="36"/>
      <c r="X9" s="37"/>
    </row>
    <row r="10" spans="1:24" x14ac:dyDescent="0.3">
      <c r="M10" s="26" t="s">
        <v>67</v>
      </c>
      <c r="N10" s="29" t="s">
        <v>70</v>
      </c>
      <c r="P10" s="27" t="s">
        <v>70</v>
      </c>
      <c r="Q10" s="35">
        <v>36</v>
      </c>
      <c r="R10" s="35">
        <v>76</v>
      </c>
      <c r="S10" s="35">
        <v>111</v>
      </c>
      <c r="T10" s="49">
        <f t="shared" si="0"/>
        <v>2.1111111111111112</v>
      </c>
      <c r="U10" s="49">
        <f t="shared" si="1"/>
        <v>3.0833333333333335</v>
      </c>
      <c r="V10" s="49">
        <f t="shared" si="2"/>
        <v>5.1944444444444446</v>
      </c>
      <c r="W10" s="36"/>
      <c r="X10" s="37"/>
    </row>
    <row r="11" spans="1:24" x14ac:dyDescent="0.3">
      <c r="M11" s="26" t="s">
        <v>71</v>
      </c>
      <c r="N11" s="29" t="s">
        <v>53</v>
      </c>
      <c r="P11" s="27"/>
      <c r="Q11" s="35"/>
      <c r="R11" s="35"/>
      <c r="S11" s="35"/>
      <c r="T11" s="36"/>
      <c r="U11" s="36"/>
      <c r="V11" s="36"/>
      <c r="W11" s="36"/>
      <c r="X11" s="37"/>
    </row>
    <row r="12" spans="1:24" x14ac:dyDescent="0.3">
      <c r="M12" s="26" t="s">
        <v>73</v>
      </c>
      <c r="N12" s="29" t="s">
        <v>53</v>
      </c>
      <c r="P12" s="38" t="s">
        <v>633</v>
      </c>
      <c r="Q12" s="39">
        <v>280</v>
      </c>
      <c r="R12" s="39">
        <v>514</v>
      </c>
      <c r="S12" s="39">
        <v>875</v>
      </c>
      <c r="T12" s="40"/>
      <c r="U12" s="40"/>
      <c r="V12" s="40"/>
      <c r="W12" s="40"/>
      <c r="X12" s="35"/>
    </row>
    <row r="13" spans="1:24" x14ac:dyDescent="0.3">
      <c r="M13" s="26" t="s">
        <v>76</v>
      </c>
      <c r="N13" s="29" t="s">
        <v>70</v>
      </c>
    </row>
    <row r="14" spans="1:24" x14ac:dyDescent="0.3">
      <c r="M14" s="26" t="s">
        <v>78</v>
      </c>
      <c r="N14" s="29" t="s">
        <v>48</v>
      </c>
    </row>
    <row r="15" spans="1:24" x14ac:dyDescent="0.3">
      <c r="M15" s="26" t="s">
        <v>81</v>
      </c>
      <c r="N15" s="29" t="s">
        <v>48</v>
      </c>
    </row>
    <row r="16" spans="1:24" x14ac:dyDescent="0.3">
      <c r="M16" s="26" t="s">
        <v>84</v>
      </c>
      <c r="N16" s="29" t="s">
        <v>35</v>
      </c>
    </row>
    <row r="17" spans="13:14" x14ac:dyDescent="0.3">
      <c r="M17" s="26" t="s">
        <v>86</v>
      </c>
      <c r="N17" s="29" t="s">
        <v>35</v>
      </c>
    </row>
    <row r="18" spans="13:14" x14ac:dyDescent="0.3">
      <c r="M18" s="26" t="s">
        <v>88</v>
      </c>
      <c r="N18" s="29" t="s">
        <v>35</v>
      </c>
    </row>
    <row r="19" spans="13:14" x14ac:dyDescent="0.3">
      <c r="M19" s="26" t="s">
        <v>90</v>
      </c>
      <c r="N19" s="29" t="s">
        <v>48</v>
      </c>
    </row>
    <row r="20" spans="13:14" x14ac:dyDescent="0.3">
      <c r="M20" s="26" t="s">
        <v>92</v>
      </c>
      <c r="N20" s="29" t="s">
        <v>44</v>
      </c>
    </row>
    <row r="21" spans="13:14" x14ac:dyDescent="0.3">
      <c r="M21" s="26" t="s">
        <v>95</v>
      </c>
      <c r="N21" s="29" t="s">
        <v>53</v>
      </c>
    </row>
    <row r="22" spans="13:14" x14ac:dyDescent="0.3">
      <c r="M22" s="26" t="s">
        <v>97</v>
      </c>
      <c r="N22" s="29" t="s">
        <v>44</v>
      </c>
    </row>
    <row r="23" spans="13:14" x14ac:dyDescent="0.3">
      <c r="M23" s="26" t="s">
        <v>99</v>
      </c>
      <c r="N23" s="29" t="s">
        <v>70</v>
      </c>
    </row>
    <row r="24" spans="13:14" x14ac:dyDescent="0.3">
      <c r="M24" s="26" t="s">
        <v>101</v>
      </c>
      <c r="N24" s="29" t="s">
        <v>48</v>
      </c>
    </row>
    <row r="25" spans="13:14" x14ac:dyDescent="0.3">
      <c r="M25" s="26" t="s">
        <v>103</v>
      </c>
      <c r="N25" s="29" t="s">
        <v>53</v>
      </c>
    </row>
    <row r="26" spans="13:14" x14ac:dyDescent="0.3">
      <c r="M26" s="26" t="s">
        <v>105</v>
      </c>
      <c r="N26" s="29" t="s">
        <v>44</v>
      </c>
    </row>
    <row r="27" spans="13:14" x14ac:dyDescent="0.3">
      <c r="M27" s="26" t="s">
        <v>107</v>
      </c>
      <c r="N27" s="29" t="s">
        <v>53</v>
      </c>
    </row>
    <row r="28" spans="13:14" x14ac:dyDescent="0.3">
      <c r="M28" s="26" t="s">
        <v>109</v>
      </c>
      <c r="N28" s="29" t="s">
        <v>44</v>
      </c>
    </row>
    <row r="29" spans="13:14" x14ac:dyDescent="0.3">
      <c r="M29" s="26" t="s">
        <v>111</v>
      </c>
      <c r="N29" s="29" t="s">
        <v>48</v>
      </c>
    </row>
    <row r="30" spans="13:14" x14ac:dyDescent="0.3">
      <c r="M30" s="26" t="s">
        <v>113</v>
      </c>
      <c r="N30" s="29" t="s">
        <v>62</v>
      </c>
    </row>
    <row r="31" spans="13:14" x14ac:dyDescent="0.3">
      <c r="M31" s="26" t="s">
        <v>115</v>
      </c>
      <c r="N31" s="29" t="s">
        <v>53</v>
      </c>
    </row>
    <row r="32" spans="13:14" x14ac:dyDescent="0.3">
      <c r="M32" s="26" t="s">
        <v>117</v>
      </c>
      <c r="N32" s="29" t="s">
        <v>62</v>
      </c>
    </row>
    <row r="33" spans="13:14" x14ac:dyDescent="0.3">
      <c r="M33" s="26" t="s">
        <v>119</v>
      </c>
      <c r="N33" s="29" t="s">
        <v>70</v>
      </c>
    </row>
    <row r="34" spans="13:14" x14ac:dyDescent="0.3">
      <c r="M34" s="26" t="s">
        <v>121</v>
      </c>
      <c r="N34" s="29" t="s">
        <v>48</v>
      </c>
    </row>
    <row r="35" spans="13:14" x14ac:dyDescent="0.3">
      <c r="M35" s="26" t="s">
        <v>123</v>
      </c>
      <c r="N35" s="29" t="s">
        <v>62</v>
      </c>
    </row>
    <row r="36" spans="13:14" x14ac:dyDescent="0.3">
      <c r="M36" s="26" t="s">
        <v>125</v>
      </c>
      <c r="N36" s="29" t="s">
        <v>48</v>
      </c>
    </row>
    <row r="37" spans="13:14" x14ac:dyDescent="0.3">
      <c r="M37" s="26" t="s">
        <v>127</v>
      </c>
      <c r="N37" s="29" t="s">
        <v>70</v>
      </c>
    </row>
    <row r="38" spans="13:14" x14ac:dyDescent="0.3">
      <c r="M38" s="26" t="s">
        <v>129</v>
      </c>
      <c r="N38" s="29" t="s">
        <v>35</v>
      </c>
    </row>
    <row r="39" spans="13:14" x14ac:dyDescent="0.3">
      <c r="M39" s="26" t="s">
        <v>131</v>
      </c>
      <c r="N39" s="29" t="s">
        <v>48</v>
      </c>
    </row>
    <row r="40" spans="13:14" x14ac:dyDescent="0.3">
      <c r="M40" s="26" t="s">
        <v>133</v>
      </c>
      <c r="N40" s="29" t="s">
        <v>35</v>
      </c>
    </row>
    <row r="41" spans="13:14" x14ac:dyDescent="0.3">
      <c r="M41" s="26" t="s">
        <v>135</v>
      </c>
      <c r="N41" s="29" t="s">
        <v>44</v>
      </c>
    </row>
    <row r="42" spans="13:14" x14ac:dyDescent="0.3">
      <c r="M42" s="26" t="s">
        <v>137</v>
      </c>
      <c r="N42" s="29" t="s">
        <v>48</v>
      </c>
    </row>
    <row r="43" spans="13:14" x14ac:dyDescent="0.3">
      <c r="M43" s="26" t="s">
        <v>139</v>
      </c>
      <c r="N43" s="29" t="s">
        <v>48</v>
      </c>
    </row>
    <row r="44" spans="13:14" x14ac:dyDescent="0.3">
      <c r="M44" s="26" t="s">
        <v>141</v>
      </c>
      <c r="N44" s="29" t="s">
        <v>48</v>
      </c>
    </row>
    <row r="45" spans="13:14" x14ac:dyDescent="0.3">
      <c r="M45" s="26" t="s">
        <v>143</v>
      </c>
      <c r="N45" s="29" t="s">
        <v>48</v>
      </c>
    </row>
    <row r="46" spans="13:14" x14ac:dyDescent="0.3">
      <c r="M46" s="26" t="s">
        <v>145</v>
      </c>
      <c r="N46" s="29" t="s">
        <v>62</v>
      </c>
    </row>
    <row r="47" spans="13:14" x14ac:dyDescent="0.3">
      <c r="M47" s="26" t="s">
        <v>147</v>
      </c>
      <c r="N47" s="29" t="s">
        <v>53</v>
      </c>
    </row>
    <row r="48" spans="13:14" x14ac:dyDescent="0.3">
      <c r="M48" s="26" t="s">
        <v>149</v>
      </c>
      <c r="N48" s="29" t="s">
        <v>53</v>
      </c>
    </row>
    <row r="49" spans="13:14" x14ac:dyDescent="0.3">
      <c r="M49" s="26" t="s">
        <v>151</v>
      </c>
      <c r="N49" s="29" t="s">
        <v>70</v>
      </c>
    </row>
    <row r="50" spans="13:14" x14ac:dyDescent="0.3">
      <c r="M50" s="26" t="s">
        <v>153</v>
      </c>
      <c r="N50" s="29" t="s">
        <v>35</v>
      </c>
    </row>
    <row r="51" spans="13:14" x14ac:dyDescent="0.3">
      <c r="M51" s="26" t="s">
        <v>155</v>
      </c>
      <c r="N51" s="29" t="s">
        <v>53</v>
      </c>
    </row>
    <row r="52" spans="13:14" x14ac:dyDescent="0.3">
      <c r="M52" s="26" t="s">
        <v>157</v>
      </c>
      <c r="N52" s="29" t="s">
        <v>53</v>
      </c>
    </row>
    <row r="53" spans="13:14" x14ac:dyDescent="0.3">
      <c r="M53" s="26" t="s">
        <v>159</v>
      </c>
      <c r="N53" s="29" t="s">
        <v>44</v>
      </c>
    </row>
    <row r="54" spans="13:14" x14ac:dyDescent="0.3">
      <c r="M54" s="26" t="s">
        <v>161</v>
      </c>
      <c r="N54" s="29" t="s">
        <v>48</v>
      </c>
    </row>
    <row r="55" spans="13:14" x14ac:dyDescent="0.3">
      <c r="M55" s="26" t="s">
        <v>163</v>
      </c>
      <c r="N55" s="29" t="s">
        <v>48</v>
      </c>
    </row>
    <row r="56" spans="13:14" x14ac:dyDescent="0.3">
      <c r="M56" s="26" t="s">
        <v>165</v>
      </c>
      <c r="N56" s="29" t="s">
        <v>48</v>
      </c>
    </row>
    <row r="57" spans="13:14" x14ac:dyDescent="0.3">
      <c r="M57" s="26" t="s">
        <v>167</v>
      </c>
      <c r="N57" s="29" t="s">
        <v>70</v>
      </c>
    </row>
    <row r="58" spans="13:14" x14ac:dyDescent="0.3">
      <c r="M58" s="26" t="s">
        <v>169</v>
      </c>
      <c r="N58" s="29" t="s">
        <v>70</v>
      </c>
    </row>
    <row r="59" spans="13:14" x14ac:dyDescent="0.3">
      <c r="M59" s="26" t="s">
        <v>171</v>
      </c>
      <c r="N59" s="29" t="s">
        <v>44</v>
      </c>
    </row>
    <row r="60" spans="13:14" x14ac:dyDescent="0.3">
      <c r="M60" s="26" t="s">
        <v>173</v>
      </c>
      <c r="N60" s="29" t="s">
        <v>35</v>
      </c>
    </row>
    <row r="61" spans="13:14" x14ac:dyDescent="0.3">
      <c r="M61" s="26" t="s">
        <v>175</v>
      </c>
      <c r="N61" s="29" t="s">
        <v>53</v>
      </c>
    </row>
    <row r="62" spans="13:14" x14ac:dyDescent="0.3">
      <c r="M62" s="26" t="s">
        <v>177</v>
      </c>
      <c r="N62" s="29" t="s">
        <v>35</v>
      </c>
    </row>
    <row r="63" spans="13:14" x14ac:dyDescent="0.3">
      <c r="M63" s="26" t="s">
        <v>179</v>
      </c>
      <c r="N63" s="29" t="s">
        <v>48</v>
      </c>
    </row>
    <row r="64" spans="13:14" x14ac:dyDescent="0.3">
      <c r="M64" s="26" t="s">
        <v>181</v>
      </c>
      <c r="N64" s="29" t="s">
        <v>53</v>
      </c>
    </row>
    <row r="65" spans="13:14" x14ac:dyDescent="0.3">
      <c r="M65" s="26" t="s">
        <v>183</v>
      </c>
      <c r="N65" s="29" t="s">
        <v>48</v>
      </c>
    </row>
    <row r="66" spans="13:14" x14ac:dyDescent="0.3">
      <c r="M66" s="26" t="s">
        <v>185</v>
      </c>
      <c r="N66" s="29" t="s">
        <v>44</v>
      </c>
    </row>
    <row r="67" spans="13:14" x14ac:dyDescent="0.3">
      <c r="M67" s="26" t="s">
        <v>187</v>
      </c>
      <c r="N67" s="29" t="s">
        <v>44</v>
      </c>
    </row>
    <row r="68" spans="13:14" x14ac:dyDescent="0.3">
      <c r="M68" s="26" t="s">
        <v>189</v>
      </c>
      <c r="N68" s="29" t="s">
        <v>53</v>
      </c>
    </row>
    <row r="69" spans="13:14" x14ac:dyDescent="0.3">
      <c r="M69" s="26" t="s">
        <v>191</v>
      </c>
      <c r="N69" s="29" t="s">
        <v>44</v>
      </c>
    </row>
    <row r="70" spans="13:14" x14ac:dyDescent="0.3">
      <c r="M70" s="26" t="s">
        <v>193</v>
      </c>
      <c r="N70" s="29" t="s">
        <v>62</v>
      </c>
    </row>
    <row r="71" spans="13:14" x14ac:dyDescent="0.3">
      <c r="M71" s="26" t="s">
        <v>195</v>
      </c>
      <c r="N71" s="29" t="s">
        <v>53</v>
      </c>
    </row>
    <row r="72" spans="13:14" x14ac:dyDescent="0.3">
      <c r="M72" s="26" t="s">
        <v>197</v>
      </c>
      <c r="N72" s="29" t="s">
        <v>44</v>
      </c>
    </row>
    <row r="73" spans="13:14" x14ac:dyDescent="0.3">
      <c r="M73" s="26" t="s">
        <v>199</v>
      </c>
      <c r="N73" s="29" t="s">
        <v>48</v>
      </c>
    </row>
    <row r="74" spans="13:14" x14ac:dyDescent="0.3">
      <c r="M74" s="26" t="s">
        <v>201</v>
      </c>
      <c r="N74" s="29" t="s">
        <v>53</v>
      </c>
    </row>
    <row r="75" spans="13:14" x14ac:dyDescent="0.3">
      <c r="M75" s="26" t="s">
        <v>203</v>
      </c>
      <c r="N75" s="29" t="s">
        <v>48</v>
      </c>
    </row>
    <row r="76" spans="13:14" x14ac:dyDescent="0.3">
      <c r="M76" s="26" t="s">
        <v>205</v>
      </c>
      <c r="N76" s="29" t="s">
        <v>35</v>
      </c>
    </row>
    <row r="77" spans="13:14" x14ac:dyDescent="0.3">
      <c r="M77" s="26" t="s">
        <v>207</v>
      </c>
      <c r="N77" s="29" t="s">
        <v>35</v>
      </c>
    </row>
    <row r="78" spans="13:14" x14ac:dyDescent="0.3">
      <c r="M78" s="26" t="s">
        <v>209</v>
      </c>
      <c r="N78" s="29" t="s">
        <v>53</v>
      </c>
    </row>
    <row r="79" spans="13:14" x14ac:dyDescent="0.3">
      <c r="M79" s="26" t="s">
        <v>211</v>
      </c>
      <c r="N79" s="29" t="s">
        <v>70</v>
      </c>
    </row>
    <row r="80" spans="13:14" x14ac:dyDescent="0.3">
      <c r="M80" s="26" t="s">
        <v>213</v>
      </c>
      <c r="N80" s="29" t="s">
        <v>44</v>
      </c>
    </row>
    <row r="81" spans="13:14" x14ac:dyDescent="0.3">
      <c r="M81" s="26" t="s">
        <v>215</v>
      </c>
      <c r="N81" s="29" t="s">
        <v>48</v>
      </c>
    </row>
    <row r="82" spans="13:14" x14ac:dyDescent="0.3">
      <c r="M82" s="26" t="s">
        <v>217</v>
      </c>
      <c r="N82" s="29" t="s">
        <v>70</v>
      </c>
    </row>
    <row r="83" spans="13:14" x14ac:dyDescent="0.3">
      <c r="M83" s="26" t="s">
        <v>219</v>
      </c>
      <c r="N83" s="29" t="s">
        <v>53</v>
      </c>
    </row>
    <row r="84" spans="13:14" x14ac:dyDescent="0.3">
      <c r="M84" s="26" t="s">
        <v>221</v>
      </c>
      <c r="N84" s="29" t="s">
        <v>35</v>
      </c>
    </row>
    <row r="85" spans="13:14" x14ac:dyDescent="0.3">
      <c r="M85" s="26" t="s">
        <v>223</v>
      </c>
      <c r="N85" s="29" t="s">
        <v>48</v>
      </c>
    </row>
    <row r="86" spans="13:14" x14ac:dyDescent="0.3">
      <c r="M86" s="26" t="s">
        <v>225</v>
      </c>
      <c r="N86" s="29" t="s">
        <v>35</v>
      </c>
    </row>
    <row r="87" spans="13:14" x14ac:dyDescent="0.3">
      <c r="M87" s="26" t="s">
        <v>227</v>
      </c>
      <c r="N87" s="29" t="s">
        <v>62</v>
      </c>
    </row>
    <row r="88" spans="13:14" x14ac:dyDescent="0.3">
      <c r="M88" s="26" t="s">
        <v>229</v>
      </c>
      <c r="N88" s="29" t="s">
        <v>53</v>
      </c>
    </row>
    <row r="89" spans="13:14" x14ac:dyDescent="0.3">
      <c r="M89" s="26" t="s">
        <v>231</v>
      </c>
      <c r="N89" s="29" t="s">
        <v>44</v>
      </c>
    </row>
    <row r="90" spans="13:14" x14ac:dyDescent="0.3">
      <c r="M90" s="26" t="s">
        <v>233</v>
      </c>
      <c r="N90" s="29" t="s">
        <v>48</v>
      </c>
    </row>
    <row r="91" spans="13:14" x14ac:dyDescent="0.3">
      <c r="M91" s="26" t="s">
        <v>235</v>
      </c>
      <c r="N91" s="29" t="s">
        <v>44</v>
      </c>
    </row>
    <row r="92" spans="13:14" x14ac:dyDescent="0.3">
      <c r="M92" s="26" t="s">
        <v>237</v>
      </c>
      <c r="N92" s="29" t="s">
        <v>62</v>
      </c>
    </row>
    <row r="93" spans="13:14" x14ac:dyDescent="0.3">
      <c r="M93" s="26" t="s">
        <v>239</v>
      </c>
      <c r="N93" s="29" t="s">
        <v>44</v>
      </c>
    </row>
    <row r="94" spans="13:14" x14ac:dyDescent="0.3">
      <c r="M94" s="26" t="s">
        <v>241</v>
      </c>
      <c r="N94" s="29" t="s">
        <v>48</v>
      </c>
    </row>
    <row r="95" spans="13:14" x14ac:dyDescent="0.3">
      <c r="M95" s="26" t="s">
        <v>243</v>
      </c>
      <c r="N95" s="29" t="s">
        <v>53</v>
      </c>
    </row>
    <row r="96" spans="13:14" x14ac:dyDescent="0.3">
      <c r="M96" s="26" t="s">
        <v>245</v>
      </c>
      <c r="N96" s="29" t="s">
        <v>35</v>
      </c>
    </row>
    <row r="97" spans="13:14" x14ac:dyDescent="0.3">
      <c r="M97" s="26" t="s">
        <v>247</v>
      </c>
      <c r="N97" s="29" t="s">
        <v>62</v>
      </c>
    </row>
    <row r="98" spans="13:14" x14ac:dyDescent="0.3">
      <c r="M98" s="26" t="s">
        <v>249</v>
      </c>
      <c r="N98" s="29" t="s">
        <v>53</v>
      </c>
    </row>
    <row r="99" spans="13:14" x14ac:dyDescent="0.3">
      <c r="M99" s="26" t="s">
        <v>251</v>
      </c>
      <c r="N99" s="29" t="s">
        <v>53</v>
      </c>
    </row>
    <row r="100" spans="13:14" x14ac:dyDescent="0.3">
      <c r="M100" s="26" t="s">
        <v>253</v>
      </c>
      <c r="N100" s="29" t="s">
        <v>35</v>
      </c>
    </row>
    <row r="101" spans="13:14" x14ac:dyDescent="0.3">
      <c r="M101" s="26" t="s">
        <v>255</v>
      </c>
      <c r="N101" s="29" t="s">
        <v>35</v>
      </c>
    </row>
    <row r="102" spans="13:14" x14ac:dyDescent="0.3">
      <c r="M102" s="26" t="s">
        <v>257</v>
      </c>
      <c r="N102" s="29" t="s">
        <v>62</v>
      </c>
    </row>
    <row r="103" spans="13:14" x14ac:dyDescent="0.3">
      <c r="M103" s="26" t="s">
        <v>259</v>
      </c>
      <c r="N103" s="29" t="s">
        <v>35</v>
      </c>
    </row>
    <row r="104" spans="13:14" x14ac:dyDescent="0.3">
      <c r="M104" s="26" t="s">
        <v>261</v>
      </c>
      <c r="N104" s="29" t="s">
        <v>35</v>
      </c>
    </row>
    <row r="105" spans="13:14" x14ac:dyDescent="0.3">
      <c r="M105" s="26" t="s">
        <v>263</v>
      </c>
      <c r="N105" s="29" t="s">
        <v>48</v>
      </c>
    </row>
    <row r="106" spans="13:14" x14ac:dyDescent="0.3">
      <c r="M106" s="26" t="s">
        <v>265</v>
      </c>
      <c r="N106" s="29" t="s">
        <v>62</v>
      </c>
    </row>
    <row r="107" spans="13:14" x14ac:dyDescent="0.3">
      <c r="M107" s="26" t="s">
        <v>267</v>
      </c>
      <c r="N107" s="29" t="s">
        <v>70</v>
      </c>
    </row>
    <row r="108" spans="13:14" x14ac:dyDescent="0.3">
      <c r="M108" s="26" t="s">
        <v>269</v>
      </c>
      <c r="N108" s="29" t="s">
        <v>70</v>
      </c>
    </row>
    <row r="109" spans="13:14" x14ac:dyDescent="0.3">
      <c r="M109" s="26" t="s">
        <v>271</v>
      </c>
      <c r="N109" s="29" t="s">
        <v>62</v>
      </c>
    </row>
    <row r="110" spans="13:14" x14ac:dyDescent="0.3">
      <c r="M110" s="26" t="s">
        <v>273</v>
      </c>
      <c r="N110" s="29" t="s">
        <v>44</v>
      </c>
    </row>
    <row r="111" spans="13:14" x14ac:dyDescent="0.3">
      <c r="M111" s="26" t="s">
        <v>275</v>
      </c>
      <c r="N111" s="29" t="s">
        <v>70</v>
      </c>
    </row>
    <row r="112" spans="13:14" x14ac:dyDescent="0.3">
      <c r="M112" s="26" t="s">
        <v>277</v>
      </c>
      <c r="N112" s="29" t="s">
        <v>62</v>
      </c>
    </row>
    <row r="113" spans="13:14" x14ac:dyDescent="0.3">
      <c r="M113" s="26" t="s">
        <v>279</v>
      </c>
      <c r="N113" s="29" t="s">
        <v>44</v>
      </c>
    </row>
    <row r="114" spans="13:14" x14ac:dyDescent="0.3">
      <c r="M114" s="26" t="s">
        <v>281</v>
      </c>
      <c r="N114" s="29" t="s">
        <v>48</v>
      </c>
    </row>
    <row r="115" spans="13:14" x14ac:dyDescent="0.3">
      <c r="M115" s="26" t="s">
        <v>283</v>
      </c>
      <c r="N115" s="29" t="s">
        <v>44</v>
      </c>
    </row>
    <row r="116" spans="13:14" x14ac:dyDescent="0.3">
      <c r="M116" s="26" t="s">
        <v>285</v>
      </c>
      <c r="N116" s="29" t="s">
        <v>53</v>
      </c>
    </row>
    <row r="117" spans="13:14" x14ac:dyDescent="0.3">
      <c r="M117" s="26" t="s">
        <v>287</v>
      </c>
      <c r="N117" s="29" t="s">
        <v>44</v>
      </c>
    </row>
    <row r="118" spans="13:14" x14ac:dyDescent="0.3">
      <c r="M118" s="26" t="s">
        <v>289</v>
      </c>
      <c r="N118" s="29" t="s">
        <v>48</v>
      </c>
    </row>
    <row r="119" spans="13:14" x14ac:dyDescent="0.3">
      <c r="M119" s="26" t="s">
        <v>291</v>
      </c>
      <c r="N119" s="29" t="s">
        <v>35</v>
      </c>
    </row>
    <row r="120" spans="13:14" x14ac:dyDescent="0.3">
      <c r="M120" s="26" t="s">
        <v>293</v>
      </c>
      <c r="N120" s="29" t="s">
        <v>70</v>
      </c>
    </row>
    <row r="121" spans="13:14" x14ac:dyDescent="0.3">
      <c r="M121" s="26" t="s">
        <v>295</v>
      </c>
      <c r="N121" s="29" t="s">
        <v>48</v>
      </c>
    </row>
    <row r="122" spans="13:14" x14ac:dyDescent="0.3">
      <c r="M122" s="26" t="s">
        <v>297</v>
      </c>
      <c r="N122" s="29" t="s">
        <v>44</v>
      </c>
    </row>
    <row r="123" spans="13:14" x14ac:dyDescent="0.3">
      <c r="M123" s="26" t="s">
        <v>299</v>
      </c>
      <c r="N123" s="29" t="s">
        <v>53</v>
      </c>
    </row>
    <row r="124" spans="13:14" x14ac:dyDescent="0.3">
      <c r="M124" s="26" t="s">
        <v>301</v>
      </c>
      <c r="N124" s="29" t="s">
        <v>62</v>
      </c>
    </row>
    <row r="125" spans="13:14" x14ac:dyDescent="0.3">
      <c r="M125" s="26" t="s">
        <v>303</v>
      </c>
      <c r="N125" s="29" t="s">
        <v>35</v>
      </c>
    </row>
    <row r="126" spans="13:14" x14ac:dyDescent="0.3">
      <c r="M126" s="26" t="s">
        <v>305</v>
      </c>
      <c r="N126" s="29" t="s">
        <v>35</v>
      </c>
    </row>
    <row r="127" spans="13:14" x14ac:dyDescent="0.3">
      <c r="M127" s="26" t="s">
        <v>307</v>
      </c>
      <c r="N127" s="29" t="s">
        <v>44</v>
      </c>
    </row>
    <row r="128" spans="13:14" x14ac:dyDescent="0.3">
      <c r="M128" s="26" t="s">
        <v>309</v>
      </c>
      <c r="N128" s="29" t="s">
        <v>53</v>
      </c>
    </row>
    <row r="129" spans="13:14" x14ac:dyDescent="0.3">
      <c r="M129" s="26" t="s">
        <v>311</v>
      </c>
      <c r="N129" s="29" t="s">
        <v>44</v>
      </c>
    </row>
    <row r="130" spans="13:14" x14ac:dyDescent="0.3">
      <c r="M130" s="26" t="s">
        <v>313</v>
      </c>
      <c r="N130" s="29" t="s">
        <v>62</v>
      </c>
    </row>
    <row r="131" spans="13:14" x14ac:dyDescent="0.3">
      <c r="M131" s="26" t="s">
        <v>315</v>
      </c>
      <c r="N131" s="29" t="s">
        <v>70</v>
      </c>
    </row>
    <row r="132" spans="13:14" x14ac:dyDescent="0.3">
      <c r="M132" s="26" t="s">
        <v>317</v>
      </c>
      <c r="N132" s="29" t="s">
        <v>48</v>
      </c>
    </row>
    <row r="133" spans="13:14" x14ac:dyDescent="0.3">
      <c r="M133" s="26" t="s">
        <v>319</v>
      </c>
      <c r="N133" s="29" t="s">
        <v>44</v>
      </c>
    </row>
    <row r="134" spans="13:14" x14ac:dyDescent="0.3">
      <c r="M134" s="26" t="s">
        <v>321</v>
      </c>
      <c r="N134" s="29" t="s">
        <v>48</v>
      </c>
    </row>
    <row r="135" spans="13:14" x14ac:dyDescent="0.3">
      <c r="M135" s="26" t="s">
        <v>323</v>
      </c>
      <c r="N135" s="29" t="s">
        <v>35</v>
      </c>
    </row>
    <row r="136" spans="13:14" x14ac:dyDescent="0.3">
      <c r="M136" s="26" t="s">
        <v>325</v>
      </c>
      <c r="N136" s="29" t="s">
        <v>70</v>
      </c>
    </row>
    <row r="137" spans="13:14" x14ac:dyDescent="0.3">
      <c r="M137" s="26" t="s">
        <v>327</v>
      </c>
      <c r="N137" s="29" t="s">
        <v>62</v>
      </c>
    </row>
    <row r="138" spans="13:14" x14ac:dyDescent="0.3">
      <c r="M138" s="26" t="s">
        <v>329</v>
      </c>
      <c r="N138" s="29" t="s">
        <v>35</v>
      </c>
    </row>
    <row r="139" spans="13:14" x14ac:dyDescent="0.3">
      <c r="M139" s="26" t="s">
        <v>331</v>
      </c>
      <c r="N139" s="29" t="s">
        <v>53</v>
      </c>
    </row>
    <row r="140" spans="13:14" x14ac:dyDescent="0.3">
      <c r="M140" s="26" t="s">
        <v>333</v>
      </c>
      <c r="N140" s="29" t="s">
        <v>44</v>
      </c>
    </row>
    <row r="141" spans="13:14" x14ac:dyDescent="0.3">
      <c r="M141" s="26" t="s">
        <v>335</v>
      </c>
      <c r="N141" s="29" t="s">
        <v>35</v>
      </c>
    </row>
    <row r="142" spans="13:14" x14ac:dyDescent="0.3">
      <c r="M142" s="26" t="s">
        <v>337</v>
      </c>
      <c r="N142" s="29" t="s">
        <v>48</v>
      </c>
    </row>
    <row r="143" spans="13:14" x14ac:dyDescent="0.3">
      <c r="M143" s="26" t="s">
        <v>339</v>
      </c>
      <c r="N143" s="29" t="s">
        <v>70</v>
      </c>
    </row>
    <row r="144" spans="13:14" x14ac:dyDescent="0.3">
      <c r="M144" s="26" t="s">
        <v>341</v>
      </c>
      <c r="N144" s="29" t="s">
        <v>35</v>
      </c>
    </row>
    <row r="145" spans="13:14" x14ac:dyDescent="0.3">
      <c r="M145" s="26" t="s">
        <v>343</v>
      </c>
      <c r="N145" s="29" t="s">
        <v>53</v>
      </c>
    </row>
    <row r="146" spans="13:14" x14ac:dyDescent="0.3">
      <c r="M146" s="26" t="s">
        <v>345</v>
      </c>
      <c r="N146" s="29" t="s">
        <v>53</v>
      </c>
    </row>
    <row r="147" spans="13:14" x14ac:dyDescent="0.3">
      <c r="M147" s="26" t="s">
        <v>347</v>
      </c>
      <c r="N147" s="29" t="s">
        <v>35</v>
      </c>
    </row>
    <row r="148" spans="13:14" x14ac:dyDescent="0.3">
      <c r="M148" s="26" t="s">
        <v>349</v>
      </c>
      <c r="N148" s="29" t="s">
        <v>53</v>
      </c>
    </row>
    <row r="149" spans="13:14" x14ac:dyDescent="0.3">
      <c r="M149" s="26" t="s">
        <v>351</v>
      </c>
      <c r="N149" s="29" t="s">
        <v>62</v>
      </c>
    </row>
    <row r="150" spans="13:14" x14ac:dyDescent="0.3">
      <c r="M150" s="26" t="s">
        <v>353</v>
      </c>
      <c r="N150" s="29" t="s">
        <v>35</v>
      </c>
    </row>
    <row r="151" spans="13:14" x14ac:dyDescent="0.3">
      <c r="M151" s="26" t="s">
        <v>355</v>
      </c>
      <c r="N151" s="29" t="s">
        <v>70</v>
      </c>
    </row>
    <row r="152" spans="13:14" x14ac:dyDescent="0.3">
      <c r="M152" s="26" t="s">
        <v>357</v>
      </c>
      <c r="N152" s="29" t="s">
        <v>53</v>
      </c>
    </row>
    <row r="153" spans="13:14" x14ac:dyDescent="0.3">
      <c r="M153" s="26" t="s">
        <v>359</v>
      </c>
      <c r="N153" s="29" t="s">
        <v>48</v>
      </c>
    </row>
    <row r="154" spans="13:14" x14ac:dyDescent="0.3">
      <c r="M154" s="26" t="s">
        <v>361</v>
      </c>
      <c r="N154" s="29" t="s">
        <v>44</v>
      </c>
    </row>
    <row r="155" spans="13:14" x14ac:dyDescent="0.3">
      <c r="M155" s="26" t="s">
        <v>363</v>
      </c>
      <c r="N155" s="29" t="s">
        <v>53</v>
      </c>
    </row>
    <row r="156" spans="13:14" x14ac:dyDescent="0.3">
      <c r="M156" s="26" t="s">
        <v>365</v>
      </c>
      <c r="N156" s="29" t="s">
        <v>48</v>
      </c>
    </row>
    <row r="157" spans="13:14" x14ac:dyDescent="0.3">
      <c r="M157" s="26" t="s">
        <v>367</v>
      </c>
      <c r="N157" s="29" t="s">
        <v>44</v>
      </c>
    </row>
    <row r="158" spans="13:14" x14ac:dyDescent="0.3">
      <c r="M158" s="26" t="s">
        <v>369</v>
      </c>
      <c r="N158" s="29" t="s">
        <v>48</v>
      </c>
    </row>
    <row r="159" spans="13:14" x14ac:dyDescent="0.3">
      <c r="M159" s="26" t="s">
        <v>371</v>
      </c>
      <c r="N159" s="29" t="s">
        <v>48</v>
      </c>
    </row>
    <row r="160" spans="13:14" x14ac:dyDescent="0.3">
      <c r="M160" s="26" t="s">
        <v>373</v>
      </c>
      <c r="N160" s="29" t="s">
        <v>35</v>
      </c>
    </row>
    <row r="161" spans="13:14" x14ac:dyDescent="0.3">
      <c r="M161" s="26" t="s">
        <v>375</v>
      </c>
      <c r="N161" s="29" t="s">
        <v>35</v>
      </c>
    </row>
    <row r="162" spans="13:14" x14ac:dyDescent="0.3">
      <c r="M162" s="26" t="s">
        <v>377</v>
      </c>
      <c r="N162" s="29" t="s">
        <v>70</v>
      </c>
    </row>
    <row r="163" spans="13:14" x14ac:dyDescent="0.3">
      <c r="M163" s="26" t="s">
        <v>379</v>
      </c>
      <c r="N163" s="29" t="s">
        <v>48</v>
      </c>
    </row>
    <row r="164" spans="13:14" x14ac:dyDescent="0.3">
      <c r="M164" s="26" t="s">
        <v>381</v>
      </c>
      <c r="N164" s="29" t="s">
        <v>62</v>
      </c>
    </row>
    <row r="165" spans="13:14" x14ac:dyDescent="0.3">
      <c r="M165" s="26" t="s">
        <v>383</v>
      </c>
      <c r="N165" s="29" t="s">
        <v>35</v>
      </c>
    </row>
    <row r="166" spans="13:14" x14ac:dyDescent="0.3">
      <c r="M166" s="26" t="s">
        <v>385</v>
      </c>
      <c r="N166" s="29" t="s">
        <v>48</v>
      </c>
    </row>
    <row r="167" spans="13:14" x14ac:dyDescent="0.3">
      <c r="M167" s="26" t="s">
        <v>387</v>
      </c>
      <c r="N167" s="29" t="s">
        <v>44</v>
      </c>
    </row>
    <row r="168" spans="13:14" x14ac:dyDescent="0.3">
      <c r="M168" s="26" t="s">
        <v>389</v>
      </c>
      <c r="N168" s="29" t="s">
        <v>44</v>
      </c>
    </row>
    <row r="169" spans="13:14" x14ac:dyDescent="0.3">
      <c r="M169" s="26" t="s">
        <v>391</v>
      </c>
      <c r="N169" s="29" t="s">
        <v>62</v>
      </c>
    </row>
    <row r="170" spans="13:14" x14ac:dyDescent="0.3">
      <c r="M170" s="26" t="s">
        <v>393</v>
      </c>
      <c r="N170" s="29" t="s">
        <v>70</v>
      </c>
    </row>
    <row r="171" spans="13:14" x14ac:dyDescent="0.3">
      <c r="M171" s="26" t="s">
        <v>395</v>
      </c>
      <c r="N171" s="29" t="s">
        <v>62</v>
      </c>
    </row>
    <row r="172" spans="13:14" x14ac:dyDescent="0.3">
      <c r="M172" s="26" t="s">
        <v>397</v>
      </c>
      <c r="N172" s="29" t="s">
        <v>62</v>
      </c>
    </row>
    <row r="173" spans="13:14" x14ac:dyDescent="0.3">
      <c r="M173" s="26" t="s">
        <v>399</v>
      </c>
      <c r="N173" s="29" t="s">
        <v>35</v>
      </c>
    </row>
    <row r="174" spans="13:14" x14ac:dyDescent="0.3">
      <c r="M174" s="26" t="s">
        <v>401</v>
      </c>
      <c r="N174" s="29" t="s">
        <v>35</v>
      </c>
    </row>
    <row r="175" spans="13:14" x14ac:dyDescent="0.3">
      <c r="M175" s="26" t="s">
        <v>403</v>
      </c>
      <c r="N175" s="29" t="s">
        <v>53</v>
      </c>
    </row>
    <row r="176" spans="13:14" x14ac:dyDescent="0.3">
      <c r="M176" s="26" t="s">
        <v>405</v>
      </c>
      <c r="N176" s="29" t="s">
        <v>44</v>
      </c>
    </row>
    <row r="177" spans="13:14" x14ac:dyDescent="0.3">
      <c r="M177" s="26" t="s">
        <v>407</v>
      </c>
      <c r="N177" s="29" t="s">
        <v>53</v>
      </c>
    </row>
    <row r="178" spans="13:14" x14ac:dyDescent="0.3">
      <c r="M178" s="26" t="s">
        <v>409</v>
      </c>
      <c r="N178" s="29" t="s">
        <v>62</v>
      </c>
    </row>
    <row r="179" spans="13:14" x14ac:dyDescent="0.3">
      <c r="M179" s="26" t="s">
        <v>411</v>
      </c>
      <c r="N179" s="29" t="s">
        <v>62</v>
      </c>
    </row>
    <row r="180" spans="13:14" x14ac:dyDescent="0.3">
      <c r="M180" s="26" t="s">
        <v>413</v>
      </c>
      <c r="N180" s="29" t="s">
        <v>70</v>
      </c>
    </row>
    <row r="181" spans="13:14" x14ac:dyDescent="0.3">
      <c r="M181" s="26" t="s">
        <v>415</v>
      </c>
      <c r="N181" s="29" t="s">
        <v>48</v>
      </c>
    </row>
    <row r="182" spans="13:14" x14ac:dyDescent="0.3">
      <c r="M182" s="26" t="s">
        <v>417</v>
      </c>
      <c r="N182" s="29" t="s">
        <v>44</v>
      </c>
    </row>
    <row r="183" spans="13:14" x14ac:dyDescent="0.3">
      <c r="M183" s="26" t="s">
        <v>419</v>
      </c>
      <c r="N183" s="29" t="s">
        <v>35</v>
      </c>
    </row>
    <row r="184" spans="13:14" x14ac:dyDescent="0.3">
      <c r="M184" s="26" t="s">
        <v>421</v>
      </c>
      <c r="N184" s="29" t="s">
        <v>48</v>
      </c>
    </row>
    <row r="185" spans="13:14" x14ac:dyDescent="0.3">
      <c r="M185" s="26" t="s">
        <v>423</v>
      </c>
      <c r="N185" s="29" t="s">
        <v>44</v>
      </c>
    </row>
    <row r="186" spans="13:14" x14ac:dyDescent="0.3">
      <c r="M186" s="26" t="s">
        <v>425</v>
      </c>
      <c r="N186" s="29" t="s">
        <v>70</v>
      </c>
    </row>
    <row r="187" spans="13:14" x14ac:dyDescent="0.3">
      <c r="M187" s="26" t="s">
        <v>427</v>
      </c>
      <c r="N187" s="29" t="s">
        <v>70</v>
      </c>
    </row>
    <row r="188" spans="13:14" x14ac:dyDescent="0.3">
      <c r="M188" s="26" t="s">
        <v>429</v>
      </c>
      <c r="N188" s="29" t="s">
        <v>35</v>
      </c>
    </row>
    <row r="189" spans="13:14" x14ac:dyDescent="0.3">
      <c r="M189" s="26" t="s">
        <v>431</v>
      </c>
      <c r="N189" s="29" t="s">
        <v>62</v>
      </c>
    </row>
    <row r="190" spans="13:14" x14ac:dyDescent="0.3">
      <c r="M190" s="26" t="s">
        <v>433</v>
      </c>
      <c r="N190" s="29" t="s">
        <v>62</v>
      </c>
    </row>
    <row r="191" spans="13:14" x14ac:dyDescent="0.3">
      <c r="M191" s="26" t="s">
        <v>435</v>
      </c>
      <c r="N191" s="29" t="s">
        <v>48</v>
      </c>
    </row>
    <row r="192" spans="13:14" x14ac:dyDescent="0.3">
      <c r="M192" s="26" t="s">
        <v>437</v>
      </c>
      <c r="N192" s="29" t="s">
        <v>48</v>
      </c>
    </row>
    <row r="193" spans="13:14" x14ac:dyDescent="0.3">
      <c r="M193" s="26" t="s">
        <v>439</v>
      </c>
      <c r="N193" s="29" t="s">
        <v>53</v>
      </c>
    </row>
    <row r="194" spans="13:14" x14ac:dyDescent="0.3">
      <c r="M194" s="26" t="s">
        <v>441</v>
      </c>
      <c r="N194" s="29" t="s">
        <v>48</v>
      </c>
    </row>
    <row r="195" spans="13:14" x14ac:dyDescent="0.3">
      <c r="M195" s="26" t="s">
        <v>443</v>
      </c>
      <c r="N195" s="29" t="s">
        <v>48</v>
      </c>
    </row>
    <row r="196" spans="13:14" x14ac:dyDescent="0.3">
      <c r="M196" s="26" t="s">
        <v>445</v>
      </c>
      <c r="N196" s="29" t="s">
        <v>48</v>
      </c>
    </row>
    <row r="197" spans="13:14" x14ac:dyDescent="0.3">
      <c r="M197" s="26" t="s">
        <v>447</v>
      </c>
      <c r="N197" s="29" t="s">
        <v>48</v>
      </c>
    </row>
    <row r="198" spans="13:14" x14ac:dyDescent="0.3">
      <c r="M198" s="26" t="s">
        <v>449</v>
      </c>
      <c r="N198" s="29" t="s">
        <v>48</v>
      </c>
    </row>
    <row r="199" spans="13:14" x14ac:dyDescent="0.3">
      <c r="M199" s="26" t="s">
        <v>451</v>
      </c>
      <c r="N199" s="29" t="s">
        <v>62</v>
      </c>
    </row>
    <row r="200" spans="13:14" x14ac:dyDescent="0.3">
      <c r="M200" s="26" t="s">
        <v>453</v>
      </c>
      <c r="N200" s="29" t="s">
        <v>44</v>
      </c>
    </row>
    <row r="201" spans="13:14" x14ac:dyDescent="0.3">
      <c r="M201" s="26" t="s">
        <v>455</v>
      </c>
      <c r="N201" s="29" t="s">
        <v>35</v>
      </c>
    </row>
    <row r="202" spans="13:14" x14ac:dyDescent="0.3">
      <c r="M202" s="26" t="s">
        <v>457</v>
      </c>
      <c r="N202" s="29" t="s">
        <v>70</v>
      </c>
    </row>
    <row r="203" spans="13:14" x14ac:dyDescent="0.3">
      <c r="M203" s="26" t="s">
        <v>459</v>
      </c>
      <c r="N203" s="29" t="s">
        <v>35</v>
      </c>
    </row>
    <row r="204" spans="13:14" x14ac:dyDescent="0.3">
      <c r="M204" s="26" t="s">
        <v>461</v>
      </c>
      <c r="N204" s="29" t="s">
        <v>62</v>
      </c>
    </row>
    <row r="205" spans="13:14" x14ac:dyDescent="0.3">
      <c r="M205" s="26" t="s">
        <v>463</v>
      </c>
      <c r="N205" s="29" t="s">
        <v>48</v>
      </c>
    </row>
    <row r="206" spans="13:14" x14ac:dyDescent="0.3">
      <c r="M206" s="26" t="s">
        <v>465</v>
      </c>
      <c r="N206" s="29" t="s">
        <v>53</v>
      </c>
    </row>
    <row r="207" spans="13:14" x14ac:dyDescent="0.3">
      <c r="M207" s="26" t="s">
        <v>467</v>
      </c>
      <c r="N207" s="29" t="s">
        <v>70</v>
      </c>
    </row>
    <row r="208" spans="13:14" x14ac:dyDescent="0.3">
      <c r="M208" s="26" t="s">
        <v>469</v>
      </c>
      <c r="N208" s="29" t="s">
        <v>53</v>
      </c>
    </row>
    <row r="209" spans="13:14" x14ac:dyDescent="0.3">
      <c r="M209" s="26" t="s">
        <v>471</v>
      </c>
      <c r="N209" s="29" t="s">
        <v>62</v>
      </c>
    </row>
    <row r="210" spans="13:14" x14ac:dyDescent="0.3">
      <c r="M210" s="26" t="s">
        <v>473</v>
      </c>
      <c r="N210" s="29" t="s">
        <v>35</v>
      </c>
    </row>
    <row r="211" spans="13:14" x14ac:dyDescent="0.3">
      <c r="M211" s="26" t="s">
        <v>475</v>
      </c>
      <c r="N211" s="29" t="s">
        <v>53</v>
      </c>
    </row>
    <row r="212" spans="13:14" x14ac:dyDescent="0.3">
      <c r="M212" s="26" t="s">
        <v>477</v>
      </c>
      <c r="N212" s="29" t="s">
        <v>44</v>
      </c>
    </row>
    <row r="213" spans="13:14" x14ac:dyDescent="0.3">
      <c r="M213" s="26" t="s">
        <v>479</v>
      </c>
      <c r="N213" s="29" t="s">
        <v>44</v>
      </c>
    </row>
    <row r="214" spans="13:14" x14ac:dyDescent="0.3">
      <c r="M214" s="26" t="s">
        <v>481</v>
      </c>
      <c r="N214" s="29" t="s">
        <v>48</v>
      </c>
    </row>
    <row r="215" spans="13:14" x14ac:dyDescent="0.3">
      <c r="M215" s="26" t="s">
        <v>483</v>
      </c>
      <c r="N215" s="29" t="s">
        <v>53</v>
      </c>
    </row>
    <row r="216" spans="13:14" x14ac:dyDescent="0.3">
      <c r="M216" s="26" t="s">
        <v>485</v>
      </c>
      <c r="N216" s="29" t="s">
        <v>53</v>
      </c>
    </row>
    <row r="217" spans="13:14" x14ac:dyDescent="0.3">
      <c r="M217" s="26" t="s">
        <v>487</v>
      </c>
      <c r="N217" s="29" t="s">
        <v>53</v>
      </c>
    </row>
    <row r="218" spans="13:14" x14ac:dyDescent="0.3">
      <c r="M218" s="26" t="s">
        <v>489</v>
      </c>
      <c r="N218" s="29" t="s">
        <v>53</v>
      </c>
    </row>
    <row r="219" spans="13:14" x14ac:dyDescent="0.3">
      <c r="M219" s="26" t="s">
        <v>491</v>
      </c>
      <c r="N219" s="29" t="s">
        <v>35</v>
      </c>
    </row>
    <row r="220" spans="13:14" x14ac:dyDescent="0.3">
      <c r="M220" s="26" t="s">
        <v>493</v>
      </c>
      <c r="N220" s="29" t="s">
        <v>35</v>
      </c>
    </row>
    <row r="221" spans="13:14" x14ac:dyDescent="0.3">
      <c r="M221" s="26" t="s">
        <v>495</v>
      </c>
      <c r="N221" s="29" t="s">
        <v>70</v>
      </c>
    </row>
    <row r="222" spans="13:14" x14ac:dyDescent="0.3">
      <c r="M222" s="26" t="s">
        <v>497</v>
      </c>
      <c r="N222" s="29" t="s">
        <v>53</v>
      </c>
    </row>
    <row r="223" spans="13:14" x14ac:dyDescent="0.3">
      <c r="M223" s="26" t="s">
        <v>499</v>
      </c>
      <c r="N223" s="29" t="s">
        <v>35</v>
      </c>
    </row>
    <row r="224" spans="13:14" x14ac:dyDescent="0.3">
      <c r="M224" s="26" t="s">
        <v>501</v>
      </c>
      <c r="N224" s="29" t="s">
        <v>48</v>
      </c>
    </row>
    <row r="225" spans="13:14" x14ac:dyDescent="0.3">
      <c r="M225" s="26" t="s">
        <v>503</v>
      </c>
      <c r="N225" s="29" t="s">
        <v>53</v>
      </c>
    </row>
    <row r="226" spans="13:14" x14ac:dyDescent="0.3">
      <c r="M226" s="26" t="s">
        <v>505</v>
      </c>
      <c r="N226" s="29" t="s">
        <v>48</v>
      </c>
    </row>
    <row r="227" spans="13:14" x14ac:dyDescent="0.3">
      <c r="M227" s="26" t="s">
        <v>507</v>
      </c>
      <c r="N227" s="29" t="s">
        <v>35</v>
      </c>
    </row>
    <row r="228" spans="13:14" x14ac:dyDescent="0.3">
      <c r="M228" s="26" t="s">
        <v>509</v>
      </c>
      <c r="N228" s="29" t="s">
        <v>53</v>
      </c>
    </row>
    <row r="229" spans="13:14" x14ac:dyDescent="0.3">
      <c r="M229" s="26" t="s">
        <v>511</v>
      </c>
      <c r="N229" s="29" t="s">
        <v>62</v>
      </c>
    </row>
    <row r="230" spans="13:14" x14ac:dyDescent="0.3">
      <c r="M230" s="26" t="s">
        <v>513</v>
      </c>
      <c r="N230" s="29" t="s">
        <v>35</v>
      </c>
    </row>
    <row r="231" spans="13:14" x14ac:dyDescent="0.3">
      <c r="M231" s="26" t="s">
        <v>515</v>
      </c>
      <c r="N231" s="29" t="s">
        <v>35</v>
      </c>
    </row>
    <row r="232" spans="13:14" x14ac:dyDescent="0.3">
      <c r="M232" s="26" t="s">
        <v>517</v>
      </c>
      <c r="N232" s="29" t="s">
        <v>53</v>
      </c>
    </row>
    <row r="233" spans="13:14" x14ac:dyDescent="0.3">
      <c r="M233" s="26" t="s">
        <v>519</v>
      </c>
      <c r="N233" s="29" t="s">
        <v>70</v>
      </c>
    </row>
    <row r="234" spans="13:14" x14ac:dyDescent="0.3">
      <c r="M234" s="26" t="s">
        <v>521</v>
      </c>
      <c r="N234" s="29" t="s">
        <v>70</v>
      </c>
    </row>
    <row r="235" spans="13:14" x14ac:dyDescent="0.3">
      <c r="M235" s="26" t="s">
        <v>523</v>
      </c>
      <c r="N235" s="29" t="s">
        <v>53</v>
      </c>
    </row>
    <row r="236" spans="13:14" x14ac:dyDescent="0.3">
      <c r="M236" s="26" t="s">
        <v>525</v>
      </c>
      <c r="N236" s="29" t="s">
        <v>53</v>
      </c>
    </row>
    <row r="237" spans="13:14" x14ac:dyDescent="0.3">
      <c r="M237" s="26" t="s">
        <v>527</v>
      </c>
      <c r="N237" s="29" t="s">
        <v>35</v>
      </c>
    </row>
    <row r="238" spans="13:14" x14ac:dyDescent="0.3">
      <c r="M238" s="26" t="s">
        <v>529</v>
      </c>
      <c r="N238" s="29" t="s">
        <v>44</v>
      </c>
    </row>
    <row r="239" spans="13:14" x14ac:dyDescent="0.3">
      <c r="M239" s="26" t="s">
        <v>531</v>
      </c>
      <c r="N239" s="29" t="s">
        <v>70</v>
      </c>
    </row>
    <row r="240" spans="13:14" x14ac:dyDescent="0.3">
      <c r="M240" s="26" t="s">
        <v>533</v>
      </c>
      <c r="N240" s="29" t="s">
        <v>48</v>
      </c>
    </row>
    <row r="241" spans="13:14" x14ac:dyDescent="0.3">
      <c r="M241" s="26" t="s">
        <v>535</v>
      </c>
      <c r="N241" s="29" t="s">
        <v>44</v>
      </c>
    </row>
    <row r="242" spans="13:14" x14ac:dyDescent="0.3">
      <c r="M242" s="26" t="s">
        <v>537</v>
      </c>
      <c r="N242" s="29" t="s">
        <v>48</v>
      </c>
    </row>
    <row r="243" spans="13:14" x14ac:dyDescent="0.3">
      <c r="M243" s="26" t="s">
        <v>539</v>
      </c>
      <c r="N243" s="29" t="s">
        <v>35</v>
      </c>
    </row>
    <row r="244" spans="13:14" x14ac:dyDescent="0.3">
      <c r="M244" s="26" t="s">
        <v>541</v>
      </c>
      <c r="N244" s="29" t="s">
        <v>70</v>
      </c>
    </row>
    <row r="245" spans="13:14" x14ac:dyDescent="0.3">
      <c r="M245" s="26" t="s">
        <v>543</v>
      </c>
      <c r="N245" s="29" t="s">
        <v>53</v>
      </c>
    </row>
    <row r="246" spans="13:14" x14ac:dyDescent="0.3">
      <c r="M246" s="26" t="s">
        <v>545</v>
      </c>
      <c r="N246" s="29" t="s">
        <v>53</v>
      </c>
    </row>
    <row r="247" spans="13:14" x14ac:dyDescent="0.3">
      <c r="M247" s="26" t="s">
        <v>547</v>
      </c>
      <c r="N247" s="29" t="s">
        <v>70</v>
      </c>
    </row>
    <row r="248" spans="13:14" x14ac:dyDescent="0.3">
      <c r="M248" s="26" t="s">
        <v>549</v>
      </c>
      <c r="N248" s="29" t="s">
        <v>44</v>
      </c>
    </row>
    <row r="249" spans="13:14" x14ac:dyDescent="0.3">
      <c r="M249" s="26" t="s">
        <v>551</v>
      </c>
      <c r="N249" s="29" t="s">
        <v>48</v>
      </c>
    </row>
    <row r="250" spans="13:14" x14ac:dyDescent="0.3">
      <c r="M250" s="26" t="s">
        <v>553</v>
      </c>
      <c r="N250" s="29" t="s">
        <v>48</v>
      </c>
    </row>
    <row r="251" spans="13:14" x14ac:dyDescent="0.3">
      <c r="M251" s="26" t="s">
        <v>555</v>
      </c>
      <c r="N251" s="29" t="s">
        <v>35</v>
      </c>
    </row>
    <row r="252" spans="13:14" x14ac:dyDescent="0.3">
      <c r="M252" s="26" t="s">
        <v>557</v>
      </c>
      <c r="N252" s="29" t="s">
        <v>62</v>
      </c>
    </row>
    <row r="253" spans="13:14" x14ac:dyDescent="0.3">
      <c r="M253" s="26" t="s">
        <v>559</v>
      </c>
      <c r="N253" s="29" t="s">
        <v>35</v>
      </c>
    </row>
    <row r="254" spans="13:14" x14ac:dyDescent="0.3">
      <c r="M254" s="26" t="s">
        <v>561</v>
      </c>
      <c r="N254" s="29" t="s">
        <v>62</v>
      </c>
    </row>
    <row r="255" spans="13:14" x14ac:dyDescent="0.3">
      <c r="M255" s="26" t="s">
        <v>563</v>
      </c>
      <c r="N255" s="29" t="s">
        <v>70</v>
      </c>
    </row>
    <row r="256" spans="13:14" x14ac:dyDescent="0.3">
      <c r="M256" s="26" t="s">
        <v>565</v>
      </c>
      <c r="N256" s="29" t="s">
        <v>35</v>
      </c>
    </row>
    <row r="257" spans="13:14" x14ac:dyDescent="0.3">
      <c r="M257" s="26" t="s">
        <v>567</v>
      </c>
      <c r="N257" s="29" t="s">
        <v>35</v>
      </c>
    </row>
    <row r="258" spans="13:14" x14ac:dyDescent="0.3">
      <c r="M258" s="26" t="s">
        <v>569</v>
      </c>
      <c r="N258" s="29" t="s">
        <v>53</v>
      </c>
    </row>
    <row r="259" spans="13:14" x14ac:dyDescent="0.3">
      <c r="M259" s="26" t="s">
        <v>571</v>
      </c>
      <c r="N259" s="29" t="s">
        <v>35</v>
      </c>
    </row>
    <row r="260" spans="13:14" x14ac:dyDescent="0.3">
      <c r="M260" s="26" t="s">
        <v>573</v>
      </c>
      <c r="N260" s="29" t="s">
        <v>48</v>
      </c>
    </row>
    <row r="261" spans="13:14" x14ac:dyDescent="0.3">
      <c r="M261" s="26" t="s">
        <v>575</v>
      </c>
      <c r="N261" s="29" t="s">
        <v>70</v>
      </c>
    </row>
    <row r="262" spans="13:14" x14ac:dyDescent="0.3">
      <c r="M262" s="26" t="s">
        <v>577</v>
      </c>
      <c r="N262" s="29" t="s">
        <v>53</v>
      </c>
    </row>
    <row r="263" spans="13:14" x14ac:dyDescent="0.3">
      <c r="M263" s="26" t="s">
        <v>579</v>
      </c>
      <c r="N263" s="29" t="s">
        <v>53</v>
      </c>
    </row>
    <row r="264" spans="13:14" x14ac:dyDescent="0.3">
      <c r="M264" s="26" t="s">
        <v>581</v>
      </c>
      <c r="N264" s="29" t="s">
        <v>53</v>
      </c>
    </row>
    <row r="265" spans="13:14" x14ac:dyDescent="0.3">
      <c r="M265" s="26" t="s">
        <v>583</v>
      </c>
      <c r="N265" s="29" t="s">
        <v>70</v>
      </c>
    </row>
    <row r="266" spans="13:14" x14ac:dyDescent="0.3">
      <c r="M266" s="26" t="s">
        <v>585</v>
      </c>
      <c r="N266" s="29" t="s">
        <v>44</v>
      </c>
    </row>
    <row r="267" spans="13:14" x14ac:dyDescent="0.3">
      <c r="M267" s="26" t="s">
        <v>587</v>
      </c>
      <c r="N267" s="29" t="s">
        <v>44</v>
      </c>
    </row>
    <row r="268" spans="13:14" x14ac:dyDescent="0.3">
      <c r="M268" s="26" t="s">
        <v>589</v>
      </c>
      <c r="N268" s="29" t="s">
        <v>70</v>
      </c>
    </row>
    <row r="269" spans="13:14" x14ac:dyDescent="0.3">
      <c r="M269" s="26" t="s">
        <v>591</v>
      </c>
      <c r="N269" s="29" t="s">
        <v>48</v>
      </c>
    </row>
    <row r="270" spans="13:14" x14ac:dyDescent="0.3">
      <c r="M270" s="26" t="s">
        <v>593</v>
      </c>
      <c r="N270" s="29" t="s">
        <v>48</v>
      </c>
    </row>
    <row r="271" spans="13:14" x14ac:dyDescent="0.3">
      <c r="M271" s="26" t="s">
        <v>595</v>
      </c>
      <c r="N271" s="29" t="s">
        <v>62</v>
      </c>
    </row>
    <row r="272" spans="13:14" x14ac:dyDescent="0.3">
      <c r="M272" s="26" t="s">
        <v>597</v>
      </c>
      <c r="N272" s="29" t="s">
        <v>44</v>
      </c>
    </row>
    <row r="273" spans="13:14" x14ac:dyDescent="0.3">
      <c r="M273" s="26" t="s">
        <v>599</v>
      </c>
      <c r="N273" s="29" t="s">
        <v>48</v>
      </c>
    </row>
    <row r="274" spans="13:14" x14ac:dyDescent="0.3">
      <c r="M274" s="26" t="s">
        <v>601</v>
      </c>
      <c r="N274" s="29" t="s">
        <v>53</v>
      </c>
    </row>
    <row r="275" spans="13:14" x14ac:dyDescent="0.3">
      <c r="M275" s="26" t="s">
        <v>603</v>
      </c>
      <c r="N275" s="29" t="s">
        <v>53</v>
      </c>
    </row>
    <row r="276" spans="13:14" x14ac:dyDescent="0.3">
      <c r="M276" s="26" t="s">
        <v>605</v>
      </c>
      <c r="N276" s="29" t="s">
        <v>53</v>
      </c>
    </row>
    <row r="277" spans="13:14" x14ac:dyDescent="0.3">
      <c r="M277" s="26" t="s">
        <v>607</v>
      </c>
      <c r="N277" s="29" t="s">
        <v>53</v>
      </c>
    </row>
    <row r="278" spans="13:14" x14ac:dyDescent="0.3">
      <c r="M278" s="26" t="s">
        <v>609</v>
      </c>
      <c r="N278" s="29" t="s">
        <v>44</v>
      </c>
    </row>
    <row r="279" spans="13:14" x14ac:dyDescent="0.3">
      <c r="M279" s="26" t="s">
        <v>611</v>
      </c>
      <c r="N279" s="29" t="s">
        <v>35</v>
      </c>
    </row>
    <row r="280" spans="13:14" x14ac:dyDescent="0.3">
      <c r="M280" s="26" t="s">
        <v>613</v>
      </c>
      <c r="N280" s="29" t="s">
        <v>62</v>
      </c>
    </row>
    <row r="281" spans="13:14" x14ac:dyDescent="0.3">
      <c r="M281" s="26" t="s">
        <v>615</v>
      </c>
      <c r="N281" s="29" t="s">
        <v>70</v>
      </c>
    </row>
    <row r="282" spans="13:14" x14ac:dyDescent="0.3">
      <c r="M282" s="26"/>
      <c r="N282" s="29"/>
    </row>
    <row r="283" spans="13:14" x14ac:dyDescent="0.3">
      <c r="N283" s="26"/>
    </row>
    <row r="284" spans="13:14" x14ac:dyDescent="0.3">
      <c r="M284" s="26"/>
      <c r="N284" s="29"/>
    </row>
    <row r="285" spans="13:14" x14ac:dyDescent="0.3">
      <c r="M285" s="26"/>
      <c r="N285" s="29"/>
    </row>
    <row r="286" spans="13:14" x14ac:dyDescent="0.3">
      <c r="M286" s="26"/>
      <c r="N286" s="29"/>
    </row>
    <row r="287" spans="13:14" x14ac:dyDescent="0.3">
      <c r="M287" s="26"/>
      <c r="N287" s="29"/>
    </row>
    <row r="288" spans="13:14" x14ac:dyDescent="0.3">
      <c r="M288" s="26"/>
      <c r="N288" s="29"/>
    </row>
    <row r="289" spans="13:14" x14ac:dyDescent="0.3">
      <c r="M289" s="26"/>
      <c r="N289" s="29"/>
    </row>
    <row r="290" spans="13:14" x14ac:dyDescent="0.3">
      <c r="M290" s="26"/>
      <c r="N290" s="29"/>
    </row>
    <row r="291" spans="13:14" x14ac:dyDescent="0.3">
      <c r="M291" s="26"/>
      <c r="N291" s="29"/>
    </row>
    <row r="292" spans="13:14" x14ac:dyDescent="0.3">
      <c r="M292" s="26"/>
      <c r="N292" s="29"/>
    </row>
    <row r="293" spans="13:14" x14ac:dyDescent="0.3">
      <c r="M293" s="26"/>
      <c r="N293" s="29"/>
    </row>
    <row r="294" spans="13:14" x14ac:dyDescent="0.3">
      <c r="M294" s="26"/>
      <c r="N294" s="29"/>
    </row>
    <row r="295" spans="13:14" x14ac:dyDescent="0.3">
      <c r="M295" s="26"/>
      <c r="N295" s="29"/>
    </row>
    <row r="296" spans="13:14" x14ac:dyDescent="0.3">
      <c r="M296" s="26"/>
      <c r="N296" s="29"/>
    </row>
    <row r="297" spans="13:14" x14ac:dyDescent="0.3">
      <c r="M297" s="26"/>
      <c r="N297" s="29"/>
    </row>
    <row r="298" spans="13:14" x14ac:dyDescent="0.3">
      <c r="M298" s="26"/>
      <c r="N298" s="29"/>
    </row>
    <row r="299" spans="13:14" x14ac:dyDescent="0.3">
      <c r="M299" s="26"/>
      <c r="N299" s="29"/>
    </row>
    <row r="300" spans="13:14" x14ac:dyDescent="0.3">
      <c r="M300" s="26"/>
      <c r="N300" s="29"/>
    </row>
    <row r="301" spans="13:14" x14ac:dyDescent="0.3">
      <c r="M301" s="26"/>
      <c r="N301" s="29"/>
    </row>
    <row r="302" spans="13:14" x14ac:dyDescent="0.3">
      <c r="M302" s="26"/>
      <c r="N302" s="29"/>
    </row>
    <row r="303" spans="13:14" x14ac:dyDescent="0.3">
      <c r="M303" s="26"/>
      <c r="N303" s="29"/>
    </row>
    <row r="304" spans="13:14" x14ac:dyDescent="0.3">
      <c r="M304" s="26"/>
      <c r="N304" s="29"/>
    </row>
    <row r="305" spans="13:14" x14ac:dyDescent="0.3">
      <c r="M305" s="26"/>
      <c r="N305" s="29"/>
    </row>
    <row r="306" spans="13:14" x14ac:dyDescent="0.3">
      <c r="M306" s="26"/>
      <c r="N306" s="29"/>
    </row>
    <row r="307" spans="13:14" x14ac:dyDescent="0.3">
      <c r="M307" s="26"/>
      <c r="N307" s="29"/>
    </row>
    <row r="308" spans="13:14" x14ac:dyDescent="0.3">
      <c r="M308" s="26"/>
      <c r="N308" s="29"/>
    </row>
    <row r="309" spans="13:14" x14ac:dyDescent="0.3">
      <c r="M309" s="26"/>
      <c r="N309" s="29"/>
    </row>
    <row r="310" spans="13:14" x14ac:dyDescent="0.3">
      <c r="M310" s="26"/>
      <c r="N310" s="29"/>
    </row>
    <row r="311" spans="13:14" x14ac:dyDescent="0.3">
      <c r="M311" s="26"/>
      <c r="N311" s="29"/>
    </row>
    <row r="312" spans="13:14" x14ac:dyDescent="0.3">
      <c r="M312" s="26"/>
      <c r="N312" s="29"/>
    </row>
    <row r="313" spans="13:14" x14ac:dyDescent="0.3">
      <c r="M313" s="26"/>
      <c r="N313" s="29"/>
    </row>
    <row r="314" spans="13:14" x14ac:dyDescent="0.3">
      <c r="M314" s="26"/>
      <c r="N314" s="29"/>
    </row>
    <row r="315" spans="13:14" x14ac:dyDescent="0.3">
      <c r="M315" s="26"/>
      <c r="N315" s="29"/>
    </row>
    <row r="316" spans="13:14" x14ac:dyDescent="0.3">
      <c r="M316" s="26"/>
      <c r="N316" s="29"/>
    </row>
    <row r="317" spans="13:14" x14ac:dyDescent="0.3">
      <c r="M317" s="26"/>
      <c r="N317" s="29"/>
    </row>
    <row r="318" spans="13:14" x14ac:dyDescent="0.3">
      <c r="M318" s="26"/>
      <c r="N318" s="29"/>
    </row>
    <row r="319" spans="13:14" x14ac:dyDescent="0.3">
      <c r="M319" s="26"/>
      <c r="N319" s="29"/>
    </row>
    <row r="320" spans="13:14" x14ac:dyDescent="0.3">
      <c r="M320" s="26"/>
      <c r="N320" s="29"/>
    </row>
    <row r="321" spans="13:14" x14ac:dyDescent="0.3">
      <c r="M321" s="26"/>
      <c r="N321" s="29"/>
    </row>
    <row r="322" spans="13:14" x14ac:dyDescent="0.3">
      <c r="M322" s="26"/>
      <c r="N322" s="29"/>
    </row>
    <row r="323" spans="13:14" x14ac:dyDescent="0.3">
      <c r="M323" s="26"/>
      <c r="N323" s="29"/>
    </row>
    <row r="324" spans="13:14" x14ac:dyDescent="0.3">
      <c r="M324" s="26"/>
      <c r="N324" s="29"/>
    </row>
    <row r="325" spans="13:14" x14ac:dyDescent="0.3">
      <c r="M325" s="26"/>
      <c r="N325" s="29"/>
    </row>
    <row r="326" spans="13:14" x14ac:dyDescent="0.3">
      <c r="M326" s="26"/>
      <c r="N326" s="29"/>
    </row>
    <row r="327" spans="13:14" x14ac:dyDescent="0.3">
      <c r="M327" s="26"/>
      <c r="N327" s="29"/>
    </row>
    <row r="328" spans="13:14" x14ac:dyDescent="0.3">
      <c r="M328" s="26"/>
      <c r="N328" s="29"/>
    </row>
    <row r="329" spans="13:14" x14ac:dyDescent="0.3">
      <c r="M329" s="26"/>
      <c r="N329" s="29"/>
    </row>
    <row r="330" spans="13:14" x14ac:dyDescent="0.3">
      <c r="M330" s="26"/>
      <c r="N330" s="29"/>
    </row>
    <row r="331" spans="13:14" x14ac:dyDescent="0.3">
      <c r="M331" s="26"/>
      <c r="N331" s="29"/>
    </row>
    <row r="332" spans="13:14" x14ac:dyDescent="0.3">
      <c r="M332" s="26"/>
      <c r="N332" s="29"/>
    </row>
    <row r="333" spans="13:14" x14ac:dyDescent="0.3">
      <c r="M333" s="26"/>
      <c r="N333" s="29"/>
    </row>
    <row r="334" spans="13:14" x14ac:dyDescent="0.3">
      <c r="M334" s="26"/>
      <c r="N334" s="29"/>
    </row>
    <row r="335" spans="13:14" x14ac:dyDescent="0.3">
      <c r="M335" s="26"/>
      <c r="N335" s="29"/>
    </row>
    <row r="336" spans="13:14" x14ac:dyDescent="0.3">
      <c r="M336" s="26"/>
      <c r="N336" s="29"/>
    </row>
    <row r="337" spans="13:14" x14ac:dyDescent="0.3">
      <c r="M337" s="26"/>
      <c r="N337" s="29"/>
    </row>
    <row r="338" spans="13:14" x14ac:dyDescent="0.3">
      <c r="M338" s="26"/>
      <c r="N338" s="29"/>
    </row>
    <row r="339" spans="13:14" x14ac:dyDescent="0.3">
      <c r="M339" s="26"/>
      <c r="N339" s="29"/>
    </row>
    <row r="340" spans="13:14" x14ac:dyDescent="0.3">
      <c r="M340" s="26"/>
      <c r="N340" s="29"/>
    </row>
    <row r="341" spans="13:14" x14ac:dyDescent="0.3">
      <c r="M341" s="26"/>
      <c r="N341" s="29"/>
    </row>
    <row r="342" spans="13:14" x14ac:dyDescent="0.3">
      <c r="M342" s="26"/>
      <c r="N342" s="29"/>
    </row>
    <row r="343" spans="13:14" x14ac:dyDescent="0.3">
      <c r="M343" s="26"/>
      <c r="N343" s="29"/>
    </row>
    <row r="344" spans="13:14" x14ac:dyDescent="0.3">
      <c r="M344" s="26"/>
      <c r="N344" s="29"/>
    </row>
    <row r="345" spans="13:14" x14ac:dyDescent="0.3">
      <c r="M345" s="26"/>
      <c r="N345" s="29"/>
    </row>
    <row r="346" spans="13:14" x14ac:dyDescent="0.3">
      <c r="M346" s="26"/>
      <c r="N346" s="29"/>
    </row>
    <row r="347" spans="13:14" x14ac:dyDescent="0.3">
      <c r="M347" s="26"/>
      <c r="N347" s="29"/>
    </row>
    <row r="348" spans="13:14" x14ac:dyDescent="0.3">
      <c r="M348" s="26"/>
      <c r="N348" s="29"/>
    </row>
    <row r="349" spans="13:14" x14ac:dyDescent="0.3">
      <c r="M349" s="26"/>
      <c r="N349" s="29"/>
    </row>
    <row r="350" spans="13:14" x14ac:dyDescent="0.3">
      <c r="M350" s="26"/>
      <c r="N350" s="29"/>
    </row>
    <row r="351" spans="13:14" x14ac:dyDescent="0.3">
      <c r="M351" s="26"/>
      <c r="N351" s="29"/>
    </row>
    <row r="352" spans="13:14" x14ac:dyDescent="0.3">
      <c r="M352" s="26"/>
      <c r="N352" s="29"/>
    </row>
    <row r="353" spans="13:14" x14ac:dyDescent="0.3">
      <c r="M353" s="26"/>
      <c r="N353" s="29"/>
    </row>
    <row r="354" spans="13:14" x14ac:dyDescent="0.3">
      <c r="M354" s="26"/>
      <c r="N354" s="29"/>
    </row>
    <row r="355" spans="13:14" x14ac:dyDescent="0.3">
      <c r="M355" s="26"/>
      <c r="N355" s="29"/>
    </row>
    <row r="356" spans="13:14" x14ac:dyDescent="0.3">
      <c r="M356" s="26"/>
      <c r="N356" s="29"/>
    </row>
    <row r="357" spans="13:14" x14ac:dyDescent="0.3">
      <c r="M357" s="26"/>
      <c r="N357" s="29"/>
    </row>
    <row r="358" spans="13:14" x14ac:dyDescent="0.3">
      <c r="M358" s="26"/>
      <c r="N358" s="29"/>
    </row>
    <row r="359" spans="13:14" x14ac:dyDescent="0.3">
      <c r="M359" s="26"/>
      <c r="N359" s="29"/>
    </row>
    <row r="360" spans="13:14" x14ac:dyDescent="0.3">
      <c r="M360" s="26"/>
      <c r="N360" s="29"/>
    </row>
    <row r="361" spans="13:14" x14ac:dyDescent="0.3">
      <c r="M361" s="26"/>
      <c r="N361" s="29"/>
    </row>
    <row r="362" spans="13:14" x14ac:dyDescent="0.3">
      <c r="M362" s="26"/>
      <c r="N362" s="29"/>
    </row>
    <row r="363" spans="13:14" x14ac:dyDescent="0.3">
      <c r="M363" s="26"/>
      <c r="N363" s="29"/>
    </row>
    <row r="364" spans="13:14" x14ac:dyDescent="0.3">
      <c r="M364" s="26"/>
      <c r="N364" s="29"/>
    </row>
    <row r="365" spans="13:14" x14ac:dyDescent="0.3">
      <c r="M365" s="26"/>
      <c r="N365" s="29"/>
    </row>
    <row r="366" spans="13:14" x14ac:dyDescent="0.3">
      <c r="M366" s="26"/>
      <c r="N366" s="29"/>
    </row>
    <row r="367" spans="13:14" x14ac:dyDescent="0.3">
      <c r="M367" s="26"/>
      <c r="N367" s="29"/>
    </row>
    <row r="368" spans="13:14" x14ac:dyDescent="0.3">
      <c r="M368" s="26"/>
      <c r="N368" s="29"/>
    </row>
    <row r="369" spans="13:14" x14ac:dyDescent="0.3">
      <c r="M369" s="26"/>
      <c r="N369" s="29"/>
    </row>
    <row r="370" spans="13:14" x14ac:dyDescent="0.3">
      <c r="M370" s="26"/>
      <c r="N370" s="29"/>
    </row>
    <row r="371" spans="13:14" x14ac:dyDescent="0.3">
      <c r="M371" s="26"/>
      <c r="N371" s="29"/>
    </row>
    <row r="372" spans="13:14" x14ac:dyDescent="0.3">
      <c r="M372" s="26"/>
      <c r="N372" s="29"/>
    </row>
    <row r="373" spans="13:14" x14ac:dyDescent="0.3">
      <c r="M373" s="26"/>
      <c r="N373" s="29"/>
    </row>
    <row r="374" spans="13:14" x14ac:dyDescent="0.3">
      <c r="M374" s="26"/>
      <c r="N374" s="29"/>
    </row>
    <row r="375" spans="13:14" x14ac:dyDescent="0.3">
      <c r="M375" s="26"/>
      <c r="N375" s="29"/>
    </row>
    <row r="376" spans="13:14" x14ac:dyDescent="0.3">
      <c r="M376" s="26"/>
      <c r="N376" s="29"/>
    </row>
    <row r="377" spans="13:14" x14ac:dyDescent="0.3">
      <c r="M377" s="26"/>
      <c r="N377" s="29"/>
    </row>
    <row r="378" spans="13:14" x14ac:dyDescent="0.3">
      <c r="M378" s="26"/>
      <c r="N378" s="29"/>
    </row>
    <row r="379" spans="13:14" x14ac:dyDescent="0.3">
      <c r="M379" s="26"/>
      <c r="N379" s="29"/>
    </row>
    <row r="380" spans="13:14" x14ac:dyDescent="0.3">
      <c r="M380" s="26"/>
      <c r="N380" s="29"/>
    </row>
    <row r="381" spans="13:14" x14ac:dyDescent="0.3">
      <c r="M381" s="26"/>
      <c r="N381" s="29"/>
    </row>
    <row r="382" spans="13:14" x14ac:dyDescent="0.3">
      <c r="M382" s="26"/>
      <c r="N382" s="29"/>
    </row>
    <row r="383" spans="13:14" x14ac:dyDescent="0.3">
      <c r="M383" s="26"/>
      <c r="N383" s="29"/>
    </row>
    <row r="384" spans="13:14" x14ac:dyDescent="0.3">
      <c r="M384" s="26"/>
      <c r="N384" s="29"/>
    </row>
    <row r="385" spans="13:14" x14ac:dyDescent="0.3">
      <c r="M385" s="26"/>
      <c r="N385" s="29"/>
    </row>
    <row r="386" spans="13:14" x14ac:dyDescent="0.3">
      <c r="M386" s="26"/>
      <c r="N386" s="29"/>
    </row>
    <row r="387" spans="13:14" x14ac:dyDescent="0.3">
      <c r="M387" s="26"/>
      <c r="N387" s="29"/>
    </row>
    <row r="388" spans="13:14" x14ac:dyDescent="0.3">
      <c r="M388" s="26"/>
      <c r="N388" s="29"/>
    </row>
    <row r="389" spans="13:14" x14ac:dyDescent="0.3">
      <c r="M389" s="26"/>
      <c r="N389" s="29"/>
    </row>
    <row r="390" spans="13:14" x14ac:dyDescent="0.3">
      <c r="M390" s="26"/>
      <c r="N390" s="29"/>
    </row>
    <row r="391" spans="13:14" x14ac:dyDescent="0.3">
      <c r="M391" s="26"/>
      <c r="N391" s="29"/>
    </row>
    <row r="392" spans="13:14" x14ac:dyDescent="0.3">
      <c r="M392" s="26"/>
      <c r="N392" s="29"/>
    </row>
    <row r="393" spans="13:14" x14ac:dyDescent="0.3">
      <c r="M393" s="26"/>
      <c r="N393" s="29"/>
    </row>
    <row r="394" spans="13:14" x14ac:dyDescent="0.3">
      <c r="M394" s="26"/>
      <c r="N394" s="29"/>
    </row>
    <row r="395" spans="13:14" x14ac:dyDescent="0.3">
      <c r="M395" s="26"/>
      <c r="N395" s="29"/>
    </row>
    <row r="396" spans="13:14" x14ac:dyDescent="0.3">
      <c r="M396" s="26"/>
      <c r="N396" s="29"/>
    </row>
    <row r="397" spans="13:14" x14ac:dyDescent="0.3">
      <c r="M397" s="26"/>
      <c r="N397" s="29"/>
    </row>
    <row r="398" spans="13:14" x14ac:dyDescent="0.3">
      <c r="M398" s="26"/>
      <c r="N398" s="29"/>
    </row>
    <row r="399" spans="13:14" x14ac:dyDescent="0.3">
      <c r="M399" s="26"/>
      <c r="N399" s="29"/>
    </row>
    <row r="400" spans="13:14" x14ac:dyDescent="0.3">
      <c r="M400" s="26"/>
      <c r="N400" s="29"/>
    </row>
    <row r="401" spans="13:14" x14ac:dyDescent="0.3">
      <c r="M401" s="26"/>
      <c r="N401" s="29"/>
    </row>
    <row r="402" spans="13:14" x14ac:dyDescent="0.3">
      <c r="M402" s="26"/>
      <c r="N402" s="29"/>
    </row>
    <row r="403" spans="13:14" x14ac:dyDescent="0.3">
      <c r="M403" s="26"/>
      <c r="N403" s="29"/>
    </row>
    <row r="404" spans="13:14" x14ac:dyDescent="0.3">
      <c r="M404" s="26"/>
      <c r="N404" s="29"/>
    </row>
    <row r="405" spans="13:14" x14ac:dyDescent="0.3">
      <c r="M405" s="26"/>
      <c r="N405" s="29"/>
    </row>
    <row r="406" spans="13:14" x14ac:dyDescent="0.3">
      <c r="M406" s="26"/>
      <c r="N406" s="29"/>
    </row>
    <row r="407" spans="13:14" x14ac:dyDescent="0.3">
      <c r="M407" s="26"/>
      <c r="N407" s="29"/>
    </row>
    <row r="408" spans="13:14" x14ac:dyDescent="0.3">
      <c r="M408" s="26"/>
      <c r="N408" s="29"/>
    </row>
    <row r="409" spans="13:14" x14ac:dyDescent="0.3">
      <c r="M409" s="26"/>
      <c r="N409" s="29"/>
    </row>
    <row r="410" spans="13:14" x14ac:dyDescent="0.3">
      <c r="M410" s="26"/>
      <c r="N410" s="29"/>
    </row>
    <row r="411" spans="13:14" x14ac:dyDescent="0.3">
      <c r="M411" s="26"/>
      <c r="N411" s="29"/>
    </row>
    <row r="412" spans="13:14" x14ac:dyDescent="0.3">
      <c r="M412" s="26"/>
      <c r="N412" s="29"/>
    </row>
    <row r="413" spans="13:14" x14ac:dyDescent="0.3">
      <c r="M413" s="26"/>
      <c r="N413" s="29"/>
    </row>
    <row r="414" spans="13:14" x14ac:dyDescent="0.3">
      <c r="M414" s="26"/>
      <c r="N414" s="29"/>
    </row>
    <row r="415" spans="13:14" x14ac:dyDescent="0.3">
      <c r="M415" s="26"/>
      <c r="N415" s="29"/>
    </row>
    <row r="416" spans="13:14" x14ac:dyDescent="0.3">
      <c r="M416" s="26"/>
      <c r="N416" s="29"/>
    </row>
    <row r="417" spans="13:14" x14ac:dyDescent="0.3">
      <c r="M417" s="26"/>
      <c r="N417" s="29"/>
    </row>
    <row r="418" spans="13:14" x14ac:dyDescent="0.3">
      <c r="M418" s="26"/>
      <c r="N418" s="29"/>
    </row>
    <row r="419" spans="13:14" x14ac:dyDescent="0.3">
      <c r="M419" s="26"/>
      <c r="N419" s="29"/>
    </row>
    <row r="420" spans="13:14" x14ac:dyDescent="0.3">
      <c r="M420" s="26"/>
      <c r="N420" s="29"/>
    </row>
    <row r="421" spans="13:14" x14ac:dyDescent="0.3">
      <c r="M421" s="26"/>
      <c r="N421" s="29"/>
    </row>
    <row r="422" spans="13:14" x14ac:dyDescent="0.3">
      <c r="M422" s="26"/>
      <c r="N422" s="29"/>
    </row>
    <row r="423" spans="13:14" x14ac:dyDescent="0.3">
      <c r="M423" s="26"/>
      <c r="N423" s="29"/>
    </row>
    <row r="424" spans="13:14" x14ac:dyDescent="0.3">
      <c r="M424" s="26"/>
      <c r="N424" s="29"/>
    </row>
    <row r="425" spans="13:14" x14ac:dyDescent="0.3">
      <c r="M425" s="26"/>
      <c r="N425" s="29"/>
    </row>
    <row r="426" spans="13:14" x14ac:dyDescent="0.3">
      <c r="M426" s="26"/>
      <c r="N426" s="29"/>
    </row>
    <row r="427" spans="13:14" x14ac:dyDescent="0.3">
      <c r="M427" s="26"/>
      <c r="N427" s="29"/>
    </row>
    <row r="428" spans="13:14" x14ac:dyDescent="0.3">
      <c r="M428" s="26"/>
      <c r="N428" s="29"/>
    </row>
    <row r="429" spans="13:14" x14ac:dyDescent="0.3">
      <c r="M429" s="26"/>
      <c r="N429" s="29"/>
    </row>
    <row r="430" spans="13:14" x14ac:dyDescent="0.3">
      <c r="M430" s="26"/>
      <c r="N430" s="29"/>
    </row>
    <row r="431" spans="13:14" x14ac:dyDescent="0.3">
      <c r="M431" s="26"/>
      <c r="N431" s="29"/>
    </row>
    <row r="432" spans="13:14" x14ac:dyDescent="0.3">
      <c r="M432" s="26"/>
      <c r="N432" s="29"/>
    </row>
    <row r="433" spans="13:14" x14ac:dyDescent="0.3">
      <c r="M433" s="26"/>
      <c r="N433" s="29"/>
    </row>
    <row r="434" spans="13:14" x14ac:dyDescent="0.3">
      <c r="M434" s="26"/>
      <c r="N434" s="29"/>
    </row>
    <row r="435" spans="13:14" x14ac:dyDescent="0.3">
      <c r="M435" s="26"/>
      <c r="N435" s="29"/>
    </row>
    <row r="436" spans="13:14" x14ac:dyDescent="0.3">
      <c r="M436" s="26"/>
      <c r="N436" s="29"/>
    </row>
    <row r="437" spans="13:14" x14ac:dyDescent="0.3">
      <c r="M437" s="26"/>
      <c r="N437" s="29"/>
    </row>
    <row r="438" spans="13:14" x14ac:dyDescent="0.3">
      <c r="M438" s="26"/>
      <c r="N438" s="29"/>
    </row>
    <row r="439" spans="13:14" x14ac:dyDescent="0.3">
      <c r="M439" s="26"/>
      <c r="N439" s="29"/>
    </row>
    <row r="440" spans="13:14" x14ac:dyDescent="0.3">
      <c r="M440" s="26"/>
      <c r="N440" s="29"/>
    </row>
    <row r="441" spans="13:14" x14ac:dyDescent="0.3">
      <c r="M441" s="26"/>
      <c r="N441" s="29"/>
    </row>
    <row r="442" spans="13:14" x14ac:dyDescent="0.3">
      <c r="M442" s="26"/>
      <c r="N442" s="29"/>
    </row>
    <row r="443" spans="13:14" x14ac:dyDescent="0.3">
      <c r="M443" s="26"/>
      <c r="N443" s="29"/>
    </row>
    <row r="444" spans="13:14" x14ac:dyDescent="0.3">
      <c r="M444" s="26"/>
      <c r="N444" s="29"/>
    </row>
    <row r="445" spans="13:14" x14ac:dyDescent="0.3">
      <c r="M445" s="26"/>
      <c r="N445" s="29"/>
    </row>
    <row r="446" spans="13:14" x14ac:dyDescent="0.3">
      <c r="M446" s="26"/>
      <c r="N446" s="29"/>
    </row>
    <row r="447" spans="13:14" x14ac:dyDescent="0.3">
      <c r="M447" s="26"/>
      <c r="N447" s="29"/>
    </row>
    <row r="448" spans="13:14" x14ac:dyDescent="0.3">
      <c r="M448" s="26"/>
      <c r="N448" s="29"/>
    </row>
    <row r="449" spans="13:14" x14ac:dyDescent="0.3">
      <c r="M449" s="26"/>
      <c r="N449" s="29"/>
    </row>
    <row r="450" spans="13:14" x14ac:dyDescent="0.3">
      <c r="M450" s="26"/>
      <c r="N450" s="29"/>
    </row>
    <row r="451" spans="13:14" x14ac:dyDescent="0.3">
      <c r="M451" s="26"/>
      <c r="N451" s="29"/>
    </row>
    <row r="452" spans="13:14" x14ac:dyDescent="0.3">
      <c r="M452" s="26"/>
      <c r="N452" s="29"/>
    </row>
    <row r="453" spans="13:14" x14ac:dyDescent="0.3">
      <c r="M453" s="26"/>
      <c r="N453" s="29"/>
    </row>
    <row r="454" spans="13:14" x14ac:dyDescent="0.3">
      <c r="M454" s="26"/>
      <c r="N454" s="29"/>
    </row>
    <row r="455" spans="13:14" x14ac:dyDescent="0.3">
      <c r="M455" s="26"/>
      <c r="N455" s="29"/>
    </row>
    <row r="456" spans="13:14" x14ac:dyDescent="0.3">
      <c r="M456" s="26"/>
      <c r="N456" s="29"/>
    </row>
    <row r="457" spans="13:14" x14ac:dyDescent="0.3">
      <c r="M457" s="26"/>
      <c r="N457" s="29"/>
    </row>
    <row r="458" spans="13:14" x14ac:dyDescent="0.3">
      <c r="M458" s="26"/>
      <c r="N458" s="29"/>
    </row>
    <row r="459" spans="13:14" x14ac:dyDescent="0.3">
      <c r="M459" s="26"/>
      <c r="N459" s="29"/>
    </row>
    <row r="460" spans="13:14" x14ac:dyDescent="0.3">
      <c r="M460" s="26"/>
      <c r="N460" s="29"/>
    </row>
    <row r="461" spans="13:14" x14ac:dyDescent="0.3">
      <c r="M461" s="26"/>
      <c r="N461" s="29"/>
    </row>
    <row r="462" spans="13:14" x14ac:dyDescent="0.3">
      <c r="M462" s="26"/>
      <c r="N462" s="29"/>
    </row>
    <row r="463" spans="13:14" x14ac:dyDescent="0.3">
      <c r="M463" s="26"/>
      <c r="N463" s="29"/>
    </row>
    <row r="464" spans="13:14" x14ac:dyDescent="0.3">
      <c r="M464" s="26"/>
      <c r="N464" s="29"/>
    </row>
    <row r="465" spans="13:14" x14ac:dyDescent="0.3">
      <c r="M465" s="26"/>
      <c r="N465" s="29"/>
    </row>
    <row r="466" spans="13:14" x14ac:dyDescent="0.3">
      <c r="M466" s="26"/>
      <c r="N466" s="29"/>
    </row>
    <row r="467" spans="13:14" x14ac:dyDescent="0.3">
      <c r="M467" s="26"/>
      <c r="N467" s="29"/>
    </row>
    <row r="468" spans="13:14" x14ac:dyDescent="0.3">
      <c r="M468" s="26"/>
      <c r="N468" s="29"/>
    </row>
    <row r="469" spans="13:14" x14ac:dyDescent="0.3">
      <c r="M469" s="26"/>
      <c r="N469" s="29"/>
    </row>
    <row r="470" spans="13:14" x14ac:dyDescent="0.3">
      <c r="M470" s="26"/>
      <c r="N470" s="29"/>
    </row>
    <row r="471" spans="13:14" x14ac:dyDescent="0.3">
      <c r="M471" s="26"/>
      <c r="N471" s="29"/>
    </row>
    <row r="472" spans="13:14" x14ac:dyDescent="0.3">
      <c r="M472" s="26"/>
      <c r="N472" s="29"/>
    </row>
    <row r="473" spans="13:14" x14ac:dyDescent="0.3">
      <c r="M473" s="26"/>
      <c r="N473" s="29"/>
    </row>
    <row r="474" spans="13:14" x14ac:dyDescent="0.3">
      <c r="M474" s="26"/>
      <c r="N474" s="29"/>
    </row>
    <row r="475" spans="13:14" x14ac:dyDescent="0.3">
      <c r="M475" s="26"/>
      <c r="N475" s="29"/>
    </row>
    <row r="476" spans="13:14" x14ac:dyDescent="0.3">
      <c r="M476" s="26"/>
      <c r="N476" s="29"/>
    </row>
    <row r="477" spans="13:14" x14ac:dyDescent="0.3">
      <c r="M477" s="26"/>
      <c r="N477" s="29"/>
    </row>
    <row r="478" spans="13:14" x14ac:dyDescent="0.3">
      <c r="M478" s="26"/>
      <c r="N478" s="29"/>
    </row>
    <row r="479" spans="13:14" x14ac:dyDescent="0.3">
      <c r="M479" s="26"/>
      <c r="N479" s="29"/>
    </row>
    <row r="480" spans="13:14" x14ac:dyDescent="0.3">
      <c r="M480" s="26"/>
      <c r="N480" s="29"/>
    </row>
    <row r="481" spans="13:14" x14ac:dyDescent="0.3">
      <c r="M481" s="26"/>
      <c r="N481" s="29"/>
    </row>
    <row r="482" spans="13:14" x14ac:dyDescent="0.3">
      <c r="M482" s="26"/>
      <c r="N482" s="29"/>
    </row>
    <row r="483" spans="13:14" x14ac:dyDescent="0.3">
      <c r="M483" s="26"/>
      <c r="N483" s="29"/>
    </row>
    <row r="484" spans="13:14" x14ac:dyDescent="0.3">
      <c r="M484" s="26"/>
      <c r="N484" s="29"/>
    </row>
    <row r="485" spans="13:14" x14ac:dyDescent="0.3">
      <c r="M485" s="26"/>
      <c r="N485" s="29"/>
    </row>
    <row r="486" spans="13:14" x14ac:dyDescent="0.3">
      <c r="M486" s="26"/>
      <c r="N486" s="29"/>
    </row>
    <row r="487" spans="13:14" x14ac:dyDescent="0.3">
      <c r="M487" s="26"/>
      <c r="N487" s="29"/>
    </row>
    <row r="488" spans="13:14" x14ac:dyDescent="0.3">
      <c r="M488" s="26"/>
      <c r="N488" s="29"/>
    </row>
    <row r="489" spans="13:14" x14ac:dyDescent="0.3">
      <c r="M489" s="26"/>
      <c r="N489" s="29"/>
    </row>
    <row r="490" spans="13:14" x14ac:dyDescent="0.3">
      <c r="M490" s="26"/>
      <c r="N490" s="29"/>
    </row>
    <row r="491" spans="13:14" x14ac:dyDescent="0.3">
      <c r="M491" s="26"/>
      <c r="N491" s="29"/>
    </row>
    <row r="492" spans="13:14" x14ac:dyDescent="0.3">
      <c r="M492" s="26"/>
      <c r="N492" s="29"/>
    </row>
    <row r="493" spans="13:14" x14ac:dyDescent="0.3">
      <c r="M493" s="26"/>
      <c r="N493" s="29"/>
    </row>
    <row r="494" spans="13:14" x14ac:dyDescent="0.3">
      <c r="M494" s="26"/>
      <c r="N494" s="29"/>
    </row>
    <row r="495" spans="13:14" x14ac:dyDescent="0.3">
      <c r="M495" s="26"/>
      <c r="N495" s="29"/>
    </row>
    <row r="496" spans="13:14" x14ac:dyDescent="0.3">
      <c r="M496" s="26"/>
      <c r="N496" s="29"/>
    </row>
    <row r="497" spans="13:14" x14ac:dyDescent="0.3">
      <c r="M497" s="26"/>
      <c r="N497" s="29"/>
    </row>
    <row r="498" spans="13:14" x14ac:dyDescent="0.3">
      <c r="M498" s="26"/>
      <c r="N498" s="29"/>
    </row>
    <row r="499" spans="13:14" x14ac:dyDescent="0.3">
      <c r="M499" s="26"/>
      <c r="N499" s="29"/>
    </row>
    <row r="500" spans="13:14" x14ac:dyDescent="0.3">
      <c r="M500" s="26"/>
      <c r="N500" s="29"/>
    </row>
    <row r="501" spans="13:14" x14ac:dyDescent="0.3">
      <c r="M501" s="26"/>
      <c r="N501" s="29"/>
    </row>
    <row r="502" spans="13:14" x14ac:dyDescent="0.3">
      <c r="M502" s="26"/>
      <c r="N502" s="29"/>
    </row>
    <row r="503" spans="13:14" x14ac:dyDescent="0.3">
      <c r="M503" s="26"/>
      <c r="N503" s="29"/>
    </row>
    <row r="504" spans="13:14" x14ac:dyDescent="0.3">
      <c r="M504" s="26"/>
      <c r="N504" s="29"/>
    </row>
    <row r="505" spans="13:14" x14ac:dyDescent="0.3">
      <c r="M505" s="26"/>
      <c r="N505" s="29"/>
    </row>
    <row r="506" spans="13:14" x14ac:dyDescent="0.3">
      <c r="M506" s="26"/>
      <c r="N506" s="29"/>
    </row>
    <row r="507" spans="13:14" x14ac:dyDescent="0.3">
      <c r="M507" s="26"/>
      <c r="N507" s="29"/>
    </row>
    <row r="508" spans="13:14" x14ac:dyDescent="0.3">
      <c r="M508" s="26"/>
      <c r="N508" s="29"/>
    </row>
    <row r="509" spans="13:14" x14ac:dyDescent="0.3">
      <c r="M509" s="26"/>
      <c r="N509" s="29"/>
    </row>
    <row r="510" spans="13:14" x14ac:dyDescent="0.3">
      <c r="M510" s="26"/>
      <c r="N510" s="29"/>
    </row>
    <row r="511" spans="13:14" x14ac:dyDescent="0.3">
      <c r="M511" s="26"/>
      <c r="N511" s="29"/>
    </row>
    <row r="512" spans="13:14" x14ac:dyDescent="0.3">
      <c r="M512" s="26"/>
      <c r="N512" s="29"/>
    </row>
    <row r="513" spans="13:14" x14ac:dyDescent="0.3">
      <c r="M513" s="26"/>
      <c r="N513" s="29"/>
    </row>
    <row r="514" spans="13:14" x14ac:dyDescent="0.3">
      <c r="M514" s="26"/>
      <c r="N514" s="29"/>
    </row>
    <row r="515" spans="13:14" x14ac:dyDescent="0.3">
      <c r="M515" s="26"/>
      <c r="N515" s="29"/>
    </row>
    <row r="516" spans="13:14" x14ac:dyDescent="0.3">
      <c r="M516" s="26"/>
      <c r="N516" s="29"/>
    </row>
    <row r="517" spans="13:14" x14ac:dyDescent="0.3">
      <c r="M517" s="26"/>
      <c r="N517" s="29"/>
    </row>
    <row r="518" spans="13:14" x14ac:dyDescent="0.3">
      <c r="M518" s="26"/>
      <c r="N518" s="29"/>
    </row>
    <row r="519" spans="13:14" x14ac:dyDescent="0.3">
      <c r="M519" s="26"/>
      <c r="N519" s="29"/>
    </row>
    <row r="520" spans="13:14" x14ac:dyDescent="0.3">
      <c r="M520" s="26"/>
      <c r="N520" s="29"/>
    </row>
    <row r="521" spans="13:14" x14ac:dyDescent="0.3">
      <c r="M521" s="26"/>
      <c r="N521" s="29"/>
    </row>
    <row r="522" spans="13:14" x14ac:dyDescent="0.3">
      <c r="M522" s="26"/>
      <c r="N522" s="29"/>
    </row>
    <row r="523" spans="13:14" x14ac:dyDescent="0.3">
      <c r="M523" s="26"/>
      <c r="N523" s="29"/>
    </row>
    <row r="524" spans="13:14" x14ac:dyDescent="0.3">
      <c r="M524" s="26"/>
      <c r="N524" s="29"/>
    </row>
    <row r="525" spans="13:14" x14ac:dyDescent="0.3">
      <c r="M525" s="26"/>
      <c r="N525" s="29"/>
    </row>
    <row r="526" spans="13:14" x14ac:dyDescent="0.3">
      <c r="M526" s="26"/>
      <c r="N526" s="29"/>
    </row>
    <row r="527" spans="13:14" x14ac:dyDescent="0.3">
      <c r="M527" s="26"/>
      <c r="N527" s="29"/>
    </row>
    <row r="528" spans="13:14" x14ac:dyDescent="0.3">
      <c r="M528" s="26"/>
      <c r="N528" s="29"/>
    </row>
    <row r="529" spans="13:14" x14ac:dyDescent="0.3">
      <c r="M529" s="26"/>
      <c r="N529" s="29"/>
    </row>
    <row r="530" spans="13:14" x14ac:dyDescent="0.3">
      <c r="M530" s="26"/>
      <c r="N530" s="29"/>
    </row>
    <row r="531" spans="13:14" x14ac:dyDescent="0.3">
      <c r="M531" s="26"/>
      <c r="N531" s="29"/>
    </row>
    <row r="532" spans="13:14" x14ac:dyDescent="0.3">
      <c r="M532" s="26"/>
      <c r="N532" s="29"/>
    </row>
    <row r="533" spans="13:14" x14ac:dyDescent="0.3">
      <c r="M533" s="26"/>
      <c r="N533" s="29"/>
    </row>
    <row r="534" spans="13:14" x14ac:dyDescent="0.3">
      <c r="M534" s="26"/>
      <c r="N534" s="29"/>
    </row>
    <row r="535" spans="13:14" x14ac:dyDescent="0.3">
      <c r="M535" s="26"/>
      <c r="N535" s="29"/>
    </row>
    <row r="536" spans="13:14" x14ac:dyDescent="0.3">
      <c r="M536" s="26"/>
      <c r="N536" s="29"/>
    </row>
    <row r="537" spans="13:14" x14ac:dyDescent="0.3">
      <c r="M537" s="26"/>
      <c r="N537" s="29"/>
    </row>
    <row r="538" spans="13:14" x14ac:dyDescent="0.3">
      <c r="M538" s="26"/>
      <c r="N538" s="29"/>
    </row>
    <row r="539" spans="13:14" x14ac:dyDescent="0.3">
      <c r="M539" s="26"/>
      <c r="N539" s="29"/>
    </row>
    <row r="540" spans="13:14" x14ac:dyDescent="0.3">
      <c r="M540" s="26"/>
      <c r="N540" s="29"/>
    </row>
    <row r="541" spans="13:14" x14ac:dyDescent="0.3">
      <c r="M541" s="26"/>
      <c r="N541" s="29"/>
    </row>
    <row r="542" spans="13:14" x14ac:dyDescent="0.3">
      <c r="M542" s="26"/>
      <c r="N542" s="29"/>
    </row>
    <row r="543" spans="13:14" x14ac:dyDescent="0.3">
      <c r="M543" s="26"/>
      <c r="N543" s="29"/>
    </row>
    <row r="544" spans="13:14" x14ac:dyDescent="0.3">
      <c r="M544" s="26"/>
      <c r="N544" s="29"/>
    </row>
    <row r="545" spans="13:14" x14ac:dyDescent="0.3">
      <c r="M545" s="26"/>
      <c r="N545" s="29"/>
    </row>
    <row r="546" spans="13:14" x14ac:dyDescent="0.3">
      <c r="M546" s="26"/>
      <c r="N546" s="29"/>
    </row>
    <row r="547" spans="13:14" x14ac:dyDescent="0.3">
      <c r="M547" s="26"/>
      <c r="N547" s="29"/>
    </row>
    <row r="548" spans="13:14" x14ac:dyDescent="0.3">
      <c r="M548" s="26"/>
      <c r="N548" s="29"/>
    </row>
    <row r="549" spans="13:14" x14ac:dyDescent="0.3">
      <c r="M549" s="26"/>
      <c r="N549" s="29"/>
    </row>
    <row r="550" spans="13:14" x14ac:dyDescent="0.3">
      <c r="M550" s="26"/>
      <c r="N550" s="29"/>
    </row>
    <row r="551" spans="13:14" x14ac:dyDescent="0.3">
      <c r="M551" s="26"/>
      <c r="N551" s="29"/>
    </row>
    <row r="552" spans="13:14" x14ac:dyDescent="0.3">
      <c r="M552" s="26"/>
      <c r="N552" s="29"/>
    </row>
    <row r="553" spans="13:14" x14ac:dyDescent="0.3">
      <c r="M553" s="26"/>
      <c r="N553" s="29"/>
    </row>
    <row r="554" spans="13:14" x14ac:dyDescent="0.3">
      <c r="M554" s="26"/>
      <c r="N554" s="29"/>
    </row>
    <row r="555" spans="13:14" x14ac:dyDescent="0.3">
      <c r="M555" s="26"/>
      <c r="N555" s="29"/>
    </row>
    <row r="556" spans="13:14" x14ac:dyDescent="0.3">
      <c r="M556" s="26"/>
      <c r="N556" s="29"/>
    </row>
    <row r="557" spans="13:14" x14ac:dyDescent="0.3">
      <c r="M557" s="26"/>
      <c r="N557" s="29"/>
    </row>
    <row r="558" spans="13:14" x14ac:dyDescent="0.3">
      <c r="M558" s="26"/>
      <c r="N558" s="29"/>
    </row>
    <row r="559" spans="13:14" x14ac:dyDescent="0.3">
      <c r="M559" s="26"/>
      <c r="N559" s="29"/>
    </row>
    <row r="560" spans="13:14" x14ac:dyDescent="0.3">
      <c r="M560" s="26"/>
      <c r="N560" s="29"/>
    </row>
    <row r="561" spans="13:14" x14ac:dyDescent="0.3">
      <c r="M561" s="26"/>
      <c r="N561" s="29"/>
    </row>
    <row r="562" spans="13:14" x14ac:dyDescent="0.3">
      <c r="M562" s="26"/>
      <c r="N562" s="29"/>
    </row>
    <row r="563" spans="13:14" x14ac:dyDescent="0.3">
      <c r="M563" s="26"/>
      <c r="N563" s="29"/>
    </row>
    <row r="564" spans="13:14" x14ac:dyDescent="0.3">
      <c r="M564" s="26"/>
      <c r="N564" s="29"/>
    </row>
    <row r="565" spans="13:14" x14ac:dyDescent="0.3">
      <c r="M565" s="26"/>
      <c r="N565" s="29"/>
    </row>
    <row r="566" spans="13:14" x14ac:dyDescent="0.3">
      <c r="M566" s="26"/>
      <c r="N566" s="29"/>
    </row>
    <row r="567" spans="13:14" x14ac:dyDescent="0.3">
      <c r="M567" s="26"/>
      <c r="N567" s="29"/>
    </row>
    <row r="568" spans="13:14" x14ac:dyDescent="0.3">
      <c r="M568" s="26"/>
      <c r="N568" s="29"/>
    </row>
    <row r="569" spans="13:14" x14ac:dyDescent="0.3">
      <c r="M569" s="26"/>
      <c r="N569" s="29"/>
    </row>
    <row r="570" spans="13:14" x14ac:dyDescent="0.3">
      <c r="M570" s="26"/>
      <c r="N570" s="29"/>
    </row>
    <row r="571" spans="13:14" x14ac:dyDescent="0.3">
      <c r="M571" s="26"/>
      <c r="N571" s="29"/>
    </row>
    <row r="572" spans="13:14" x14ac:dyDescent="0.3">
      <c r="M572" s="26"/>
      <c r="N572" s="29"/>
    </row>
    <row r="573" spans="13:14" x14ac:dyDescent="0.3">
      <c r="M573" s="26"/>
      <c r="N573" s="29"/>
    </row>
    <row r="574" spans="13:14" x14ac:dyDescent="0.3">
      <c r="M574" s="26"/>
      <c r="N574" s="29"/>
    </row>
    <row r="575" spans="13:14" x14ac:dyDescent="0.3">
      <c r="M575" s="26"/>
      <c r="N575" s="29"/>
    </row>
    <row r="576" spans="13:14" x14ac:dyDescent="0.3">
      <c r="M576" s="26"/>
      <c r="N576" s="29"/>
    </row>
    <row r="577" spans="13:14" x14ac:dyDescent="0.3">
      <c r="M577" s="26"/>
      <c r="N577" s="29"/>
    </row>
    <row r="578" spans="13:14" x14ac:dyDescent="0.3">
      <c r="M578" s="26"/>
      <c r="N578" s="29"/>
    </row>
    <row r="579" spans="13:14" x14ac:dyDescent="0.3">
      <c r="M579" s="26"/>
      <c r="N579" s="29"/>
    </row>
    <row r="580" spans="13:14" x14ac:dyDescent="0.3">
      <c r="M580" s="26"/>
      <c r="N580" s="29"/>
    </row>
    <row r="581" spans="13:14" x14ac:dyDescent="0.3">
      <c r="M581" s="26"/>
      <c r="N581" s="29"/>
    </row>
    <row r="582" spans="13:14" x14ac:dyDescent="0.3">
      <c r="M582" s="26"/>
      <c r="N582" s="29"/>
    </row>
    <row r="583" spans="13:14" x14ac:dyDescent="0.3">
      <c r="M583" s="26"/>
      <c r="N583" s="29"/>
    </row>
    <row r="584" spans="13:14" x14ac:dyDescent="0.3">
      <c r="M584" s="26"/>
      <c r="N584" s="29"/>
    </row>
    <row r="585" spans="13:14" x14ac:dyDescent="0.3">
      <c r="M585" s="26"/>
      <c r="N585" s="29"/>
    </row>
    <row r="586" spans="13:14" x14ac:dyDescent="0.3">
      <c r="M586" s="26"/>
      <c r="N586" s="29"/>
    </row>
    <row r="587" spans="13:14" x14ac:dyDescent="0.3">
      <c r="M587" s="26"/>
      <c r="N587" s="29"/>
    </row>
    <row r="588" spans="13:14" x14ac:dyDescent="0.3">
      <c r="M588" s="26"/>
      <c r="N588" s="29"/>
    </row>
    <row r="589" spans="13:14" x14ac:dyDescent="0.3">
      <c r="M589" s="26"/>
      <c r="N589" s="29"/>
    </row>
    <row r="590" spans="13:14" x14ac:dyDescent="0.3">
      <c r="M590" s="26"/>
      <c r="N590" s="29"/>
    </row>
    <row r="591" spans="13:14" x14ac:dyDescent="0.3">
      <c r="M591" s="26"/>
      <c r="N591" s="29"/>
    </row>
    <row r="592" spans="13:14" x14ac:dyDescent="0.3">
      <c r="M592" s="26"/>
      <c r="N592" s="29"/>
    </row>
    <row r="593" spans="13:14" x14ac:dyDescent="0.3">
      <c r="M593" s="26"/>
      <c r="N593" s="29"/>
    </row>
    <row r="594" spans="13:14" x14ac:dyDescent="0.3">
      <c r="M594" s="26"/>
      <c r="N594" s="29"/>
    </row>
    <row r="595" spans="13:14" x14ac:dyDescent="0.3">
      <c r="M595" s="26"/>
      <c r="N595" s="29"/>
    </row>
    <row r="596" spans="13:14" x14ac:dyDescent="0.3">
      <c r="M596" s="26"/>
      <c r="N596" s="29"/>
    </row>
    <row r="597" spans="13:14" x14ac:dyDescent="0.3">
      <c r="M597" s="26"/>
      <c r="N597" s="29"/>
    </row>
    <row r="598" spans="13:14" x14ac:dyDescent="0.3">
      <c r="M598" s="26"/>
      <c r="N598" s="29"/>
    </row>
    <row r="599" spans="13:14" x14ac:dyDescent="0.3">
      <c r="M599" s="26"/>
      <c r="N599" s="29"/>
    </row>
    <row r="600" spans="13:14" x14ac:dyDescent="0.3">
      <c r="M600" s="26"/>
      <c r="N600" s="29"/>
    </row>
    <row r="601" spans="13:14" x14ac:dyDescent="0.3">
      <c r="M601" s="26"/>
      <c r="N601" s="29"/>
    </row>
    <row r="602" spans="13:14" x14ac:dyDescent="0.3">
      <c r="M602" s="26"/>
      <c r="N602" s="29"/>
    </row>
    <row r="603" spans="13:14" x14ac:dyDescent="0.3">
      <c r="M603" s="26"/>
      <c r="N603" s="29"/>
    </row>
    <row r="604" spans="13:14" x14ac:dyDescent="0.3">
      <c r="M604" s="26"/>
      <c r="N604" s="29"/>
    </row>
    <row r="605" spans="13:14" x14ac:dyDescent="0.3">
      <c r="M605" s="26"/>
      <c r="N605" s="29"/>
    </row>
    <row r="606" spans="13:14" x14ac:dyDescent="0.3">
      <c r="M606" s="26"/>
      <c r="N606" s="29"/>
    </row>
    <row r="607" spans="13:14" x14ac:dyDescent="0.3">
      <c r="M607" s="26"/>
      <c r="N607" s="29"/>
    </row>
    <row r="608" spans="13:14" x14ac:dyDescent="0.3">
      <c r="M608" s="26"/>
      <c r="N608" s="29"/>
    </row>
    <row r="609" spans="13:14" x14ac:dyDescent="0.3">
      <c r="M609" s="26"/>
      <c r="N609" s="29"/>
    </row>
    <row r="610" spans="13:14" x14ac:dyDescent="0.3">
      <c r="M610" s="26"/>
      <c r="N610" s="29"/>
    </row>
    <row r="611" spans="13:14" x14ac:dyDescent="0.3">
      <c r="M611" s="26"/>
      <c r="N611" s="29"/>
    </row>
    <row r="612" spans="13:14" x14ac:dyDescent="0.3">
      <c r="M612" s="26"/>
      <c r="N612" s="29"/>
    </row>
    <row r="613" spans="13:14" x14ac:dyDescent="0.3">
      <c r="M613" s="26"/>
      <c r="N613" s="29"/>
    </row>
    <row r="614" spans="13:14" x14ac:dyDescent="0.3">
      <c r="M614" s="26"/>
      <c r="N614" s="29"/>
    </row>
    <row r="615" spans="13:14" x14ac:dyDescent="0.3">
      <c r="M615" s="26"/>
      <c r="N615" s="29"/>
    </row>
    <row r="616" spans="13:14" x14ac:dyDescent="0.3">
      <c r="M616" s="26"/>
      <c r="N616" s="29"/>
    </row>
    <row r="617" spans="13:14" x14ac:dyDescent="0.3">
      <c r="M617" s="26"/>
      <c r="N617" s="29"/>
    </row>
    <row r="618" spans="13:14" x14ac:dyDescent="0.3">
      <c r="M618" s="26"/>
      <c r="N618" s="29"/>
    </row>
    <row r="619" spans="13:14" x14ac:dyDescent="0.3">
      <c r="M619" s="26"/>
      <c r="N619" s="29"/>
    </row>
    <row r="620" spans="13:14" x14ac:dyDescent="0.3">
      <c r="M620" s="26"/>
      <c r="N620" s="29"/>
    </row>
    <row r="621" spans="13:14" x14ac:dyDescent="0.3">
      <c r="M621" s="26"/>
      <c r="N621" s="29"/>
    </row>
    <row r="622" spans="13:14" x14ac:dyDescent="0.3">
      <c r="M622" s="26"/>
      <c r="N622" s="29"/>
    </row>
    <row r="623" spans="13:14" x14ac:dyDescent="0.3">
      <c r="M623" s="26"/>
      <c r="N623" s="29"/>
    </row>
    <row r="624" spans="13:14" x14ac:dyDescent="0.3">
      <c r="M624" s="26"/>
      <c r="N624" s="29"/>
    </row>
    <row r="625" spans="13:14" x14ac:dyDescent="0.3">
      <c r="M625" s="26"/>
      <c r="N625" s="29"/>
    </row>
    <row r="626" spans="13:14" x14ac:dyDescent="0.3">
      <c r="M626" s="26"/>
      <c r="N626" s="29"/>
    </row>
    <row r="627" spans="13:14" x14ac:dyDescent="0.3">
      <c r="M627" s="26"/>
      <c r="N627" s="29"/>
    </row>
    <row r="628" spans="13:14" x14ac:dyDescent="0.3">
      <c r="M628" s="26"/>
      <c r="N628" s="29"/>
    </row>
    <row r="629" spans="13:14" x14ac:dyDescent="0.3">
      <c r="M629" s="26"/>
      <c r="N629" s="29"/>
    </row>
    <row r="630" spans="13:14" x14ac:dyDescent="0.3">
      <c r="M630" s="26"/>
      <c r="N630" s="29"/>
    </row>
    <row r="631" spans="13:14" x14ac:dyDescent="0.3">
      <c r="M631" s="26"/>
      <c r="N631" s="29"/>
    </row>
    <row r="632" spans="13:14" x14ac:dyDescent="0.3">
      <c r="M632" s="26"/>
      <c r="N632" s="29"/>
    </row>
    <row r="633" spans="13:14" x14ac:dyDescent="0.3">
      <c r="M633" s="26"/>
      <c r="N633" s="29"/>
    </row>
    <row r="634" spans="13:14" x14ac:dyDescent="0.3">
      <c r="M634" s="26"/>
      <c r="N634" s="29"/>
    </row>
    <row r="635" spans="13:14" x14ac:dyDescent="0.3">
      <c r="M635" s="26"/>
      <c r="N635" s="29"/>
    </row>
    <row r="636" spans="13:14" x14ac:dyDescent="0.3">
      <c r="M636" s="26"/>
      <c r="N636" s="29"/>
    </row>
    <row r="637" spans="13:14" x14ac:dyDescent="0.3">
      <c r="M637" s="26"/>
      <c r="N637" s="29"/>
    </row>
    <row r="638" spans="13:14" x14ac:dyDescent="0.3">
      <c r="M638" s="26"/>
      <c r="N638" s="29"/>
    </row>
    <row r="639" spans="13:14" x14ac:dyDescent="0.3">
      <c r="M639" s="26"/>
      <c r="N639" s="29"/>
    </row>
    <row r="640" spans="13:14" x14ac:dyDescent="0.3">
      <c r="M640" s="26"/>
      <c r="N640" s="29"/>
    </row>
    <row r="641" spans="13:14" x14ac:dyDescent="0.3">
      <c r="M641" s="26"/>
      <c r="N641" s="29"/>
    </row>
    <row r="642" spans="13:14" x14ac:dyDescent="0.3">
      <c r="M642" s="26"/>
      <c r="N642" s="29"/>
    </row>
    <row r="643" spans="13:14" x14ac:dyDescent="0.3">
      <c r="M643" s="26"/>
      <c r="N643" s="29"/>
    </row>
    <row r="644" spans="13:14" x14ac:dyDescent="0.3">
      <c r="M644" s="26"/>
      <c r="N644" s="29"/>
    </row>
    <row r="645" spans="13:14" x14ac:dyDescent="0.3">
      <c r="M645" s="26"/>
      <c r="N645" s="29"/>
    </row>
    <row r="646" spans="13:14" x14ac:dyDescent="0.3">
      <c r="M646" s="26"/>
      <c r="N646" s="29"/>
    </row>
    <row r="647" spans="13:14" x14ac:dyDescent="0.3">
      <c r="M647" s="26"/>
      <c r="N647" s="29"/>
    </row>
    <row r="648" spans="13:14" x14ac:dyDescent="0.3">
      <c r="M648" s="26"/>
      <c r="N648" s="29"/>
    </row>
    <row r="649" spans="13:14" x14ac:dyDescent="0.3">
      <c r="M649" s="26"/>
      <c r="N649" s="29"/>
    </row>
    <row r="650" spans="13:14" x14ac:dyDescent="0.3">
      <c r="M650" s="26"/>
      <c r="N650" s="29"/>
    </row>
    <row r="651" spans="13:14" x14ac:dyDescent="0.3">
      <c r="M651" s="26"/>
      <c r="N651" s="29"/>
    </row>
    <row r="652" spans="13:14" x14ac:dyDescent="0.3">
      <c r="M652" s="26"/>
      <c r="N652" s="29"/>
    </row>
    <row r="653" spans="13:14" x14ac:dyDescent="0.3">
      <c r="M653" s="26"/>
      <c r="N653" s="29"/>
    </row>
    <row r="654" spans="13:14" x14ac:dyDescent="0.3">
      <c r="M654" s="26"/>
      <c r="N654" s="29"/>
    </row>
    <row r="655" spans="13:14" x14ac:dyDescent="0.3">
      <c r="M655" s="26"/>
      <c r="N655" s="29"/>
    </row>
    <row r="656" spans="13:14" x14ac:dyDescent="0.3">
      <c r="M656" s="26"/>
      <c r="N656" s="29"/>
    </row>
    <row r="657" spans="13:14" x14ac:dyDescent="0.3">
      <c r="M657" s="26"/>
      <c r="N657" s="29"/>
    </row>
    <row r="658" spans="13:14" x14ac:dyDescent="0.3">
      <c r="M658" s="26"/>
      <c r="N658" s="29"/>
    </row>
    <row r="659" spans="13:14" x14ac:dyDescent="0.3">
      <c r="M659" s="26"/>
      <c r="N659" s="29"/>
    </row>
    <row r="660" spans="13:14" x14ac:dyDescent="0.3">
      <c r="M660" s="26"/>
      <c r="N660" s="29"/>
    </row>
    <row r="661" spans="13:14" x14ac:dyDescent="0.3">
      <c r="M661" s="26"/>
      <c r="N661" s="29"/>
    </row>
    <row r="662" spans="13:14" x14ac:dyDescent="0.3">
      <c r="M662" s="26"/>
      <c r="N662" s="29"/>
    </row>
    <row r="663" spans="13:14" x14ac:dyDescent="0.3">
      <c r="M663" s="26"/>
      <c r="N663" s="29"/>
    </row>
    <row r="664" spans="13:14" x14ac:dyDescent="0.3">
      <c r="M664" s="26"/>
      <c r="N664" s="29"/>
    </row>
    <row r="665" spans="13:14" x14ac:dyDescent="0.3">
      <c r="M665" s="26"/>
      <c r="N665" s="29"/>
    </row>
    <row r="666" spans="13:14" x14ac:dyDescent="0.3">
      <c r="M666" s="26"/>
      <c r="N666" s="29"/>
    </row>
    <row r="667" spans="13:14" x14ac:dyDescent="0.3">
      <c r="M667" s="26"/>
      <c r="N667" s="29"/>
    </row>
    <row r="668" spans="13:14" x14ac:dyDescent="0.3">
      <c r="M668" s="26"/>
      <c r="N668" s="29"/>
    </row>
    <row r="669" spans="13:14" x14ac:dyDescent="0.3">
      <c r="M669" s="26"/>
      <c r="N669" s="29"/>
    </row>
    <row r="670" spans="13:14" x14ac:dyDescent="0.3">
      <c r="M670" s="26"/>
      <c r="N670" s="29"/>
    </row>
    <row r="671" spans="13:14" x14ac:dyDescent="0.3">
      <c r="M671" s="26"/>
      <c r="N671" s="29"/>
    </row>
    <row r="672" spans="13:14" x14ac:dyDescent="0.3">
      <c r="M672" s="26"/>
      <c r="N672" s="29"/>
    </row>
    <row r="673" spans="13:14" x14ac:dyDescent="0.3">
      <c r="M673" s="26"/>
      <c r="N673" s="29"/>
    </row>
    <row r="674" spans="13:14" x14ac:dyDescent="0.3">
      <c r="M674" s="26"/>
      <c r="N674" s="29"/>
    </row>
    <row r="675" spans="13:14" x14ac:dyDescent="0.3">
      <c r="M675" s="26"/>
      <c r="N675" s="29"/>
    </row>
    <row r="676" spans="13:14" x14ac:dyDescent="0.3">
      <c r="M676" s="26"/>
      <c r="N676" s="29"/>
    </row>
    <row r="677" spans="13:14" x14ac:dyDescent="0.3">
      <c r="M677" s="26"/>
      <c r="N677" s="29"/>
    </row>
    <row r="678" spans="13:14" x14ac:dyDescent="0.3">
      <c r="M678" s="26"/>
      <c r="N678" s="29"/>
    </row>
    <row r="679" spans="13:14" x14ac:dyDescent="0.3">
      <c r="M679" s="26"/>
      <c r="N679" s="29"/>
    </row>
    <row r="680" spans="13:14" x14ac:dyDescent="0.3">
      <c r="M680" s="26"/>
      <c r="N680" s="29"/>
    </row>
    <row r="681" spans="13:14" x14ac:dyDescent="0.3">
      <c r="M681" s="26"/>
      <c r="N681" s="29"/>
    </row>
    <row r="682" spans="13:14" x14ac:dyDescent="0.3">
      <c r="M682" s="26"/>
      <c r="N682" s="29"/>
    </row>
    <row r="683" spans="13:14" x14ac:dyDescent="0.3">
      <c r="M683" s="26"/>
      <c r="N683" s="29"/>
    </row>
    <row r="684" spans="13:14" x14ac:dyDescent="0.3">
      <c r="M684" s="26"/>
      <c r="N684" s="29"/>
    </row>
    <row r="685" spans="13:14" x14ac:dyDescent="0.3">
      <c r="M685" s="26"/>
      <c r="N685" s="29"/>
    </row>
    <row r="686" spans="13:14" x14ac:dyDescent="0.3">
      <c r="M686" s="26"/>
      <c r="N686" s="29"/>
    </row>
    <row r="687" spans="13:14" x14ac:dyDescent="0.3">
      <c r="M687" s="26"/>
      <c r="N687" s="29"/>
    </row>
    <row r="688" spans="13:14" x14ac:dyDescent="0.3">
      <c r="M688" s="26"/>
      <c r="N688" s="29"/>
    </row>
    <row r="689" spans="13:14" x14ac:dyDescent="0.3">
      <c r="M689" s="26"/>
      <c r="N689" s="29"/>
    </row>
    <row r="690" spans="13:14" x14ac:dyDescent="0.3">
      <c r="M690" s="26"/>
      <c r="N690" s="29"/>
    </row>
    <row r="691" spans="13:14" x14ac:dyDescent="0.3">
      <c r="M691" s="26"/>
      <c r="N691" s="29"/>
    </row>
    <row r="692" spans="13:14" x14ac:dyDescent="0.3">
      <c r="M692" s="26"/>
      <c r="N692" s="29"/>
    </row>
    <row r="693" spans="13:14" x14ac:dyDescent="0.3">
      <c r="M693" s="26"/>
      <c r="N693" s="29"/>
    </row>
    <row r="694" spans="13:14" x14ac:dyDescent="0.3">
      <c r="M694" s="26"/>
      <c r="N694" s="29"/>
    </row>
    <row r="695" spans="13:14" x14ac:dyDescent="0.3">
      <c r="M695" s="26"/>
      <c r="N695" s="29"/>
    </row>
    <row r="696" spans="13:14" x14ac:dyDescent="0.3">
      <c r="M696" s="26"/>
      <c r="N696" s="29"/>
    </row>
    <row r="697" spans="13:14" x14ac:dyDescent="0.3">
      <c r="M697" s="26"/>
      <c r="N697" s="29"/>
    </row>
    <row r="698" spans="13:14" x14ac:dyDescent="0.3">
      <c r="M698" s="26"/>
      <c r="N698" s="29"/>
    </row>
    <row r="699" spans="13:14" x14ac:dyDescent="0.3">
      <c r="M699" s="26"/>
      <c r="N699" s="29"/>
    </row>
    <row r="700" spans="13:14" x14ac:dyDescent="0.3">
      <c r="M700" s="26"/>
      <c r="N700" s="29"/>
    </row>
    <row r="701" spans="13:14" x14ac:dyDescent="0.3">
      <c r="M701" s="26"/>
      <c r="N701" s="29"/>
    </row>
    <row r="702" spans="13:14" x14ac:dyDescent="0.3">
      <c r="M702" s="26"/>
      <c r="N702" s="29"/>
    </row>
    <row r="703" spans="13:14" x14ac:dyDescent="0.3">
      <c r="M703" s="26"/>
      <c r="N703" s="29"/>
    </row>
    <row r="704" spans="13:14" x14ac:dyDescent="0.3">
      <c r="M704" s="26"/>
      <c r="N704" s="29"/>
    </row>
    <row r="705" spans="13:14" x14ac:dyDescent="0.3">
      <c r="M705" s="26"/>
      <c r="N705" s="29"/>
    </row>
    <row r="706" spans="13:14" x14ac:dyDescent="0.3">
      <c r="M706" s="26"/>
      <c r="N706" s="29"/>
    </row>
    <row r="707" spans="13:14" x14ac:dyDescent="0.3">
      <c r="M707" s="26"/>
      <c r="N707" s="29"/>
    </row>
    <row r="708" spans="13:14" x14ac:dyDescent="0.3">
      <c r="M708" s="26"/>
      <c r="N708" s="29"/>
    </row>
    <row r="709" spans="13:14" x14ac:dyDescent="0.3">
      <c r="M709" s="26"/>
      <c r="N709" s="29"/>
    </row>
    <row r="710" spans="13:14" x14ac:dyDescent="0.3">
      <c r="M710" s="26"/>
      <c r="N710" s="29"/>
    </row>
    <row r="711" spans="13:14" x14ac:dyDescent="0.3">
      <c r="M711" s="26"/>
      <c r="N711" s="29"/>
    </row>
    <row r="712" spans="13:14" x14ac:dyDescent="0.3">
      <c r="M712" s="26"/>
      <c r="N712" s="29"/>
    </row>
    <row r="713" spans="13:14" x14ac:dyDescent="0.3">
      <c r="M713" s="26"/>
      <c r="N713" s="29"/>
    </row>
    <row r="714" spans="13:14" x14ac:dyDescent="0.3">
      <c r="M714" s="26"/>
      <c r="N714" s="29"/>
    </row>
    <row r="715" spans="13:14" x14ac:dyDescent="0.3">
      <c r="M715" s="26"/>
      <c r="N715" s="29"/>
    </row>
    <row r="716" spans="13:14" x14ac:dyDescent="0.3">
      <c r="M716" s="26"/>
      <c r="N716" s="29"/>
    </row>
    <row r="717" spans="13:14" x14ac:dyDescent="0.3">
      <c r="M717" s="26"/>
      <c r="N717" s="29"/>
    </row>
    <row r="718" spans="13:14" x14ac:dyDescent="0.3">
      <c r="M718" s="26"/>
      <c r="N718" s="29"/>
    </row>
    <row r="719" spans="13:14" x14ac:dyDescent="0.3">
      <c r="M719" s="26"/>
      <c r="N719" s="29"/>
    </row>
    <row r="720" spans="13:14" x14ac:dyDescent="0.3">
      <c r="M720" s="26"/>
      <c r="N720" s="29"/>
    </row>
    <row r="721" spans="13:14" x14ac:dyDescent="0.3">
      <c r="M721" s="26"/>
      <c r="N721" s="29"/>
    </row>
    <row r="722" spans="13:14" x14ac:dyDescent="0.3">
      <c r="M722" s="26"/>
      <c r="N722" s="29"/>
    </row>
    <row r="723" spans="13:14" x14ac:dyDescent="0.3">
      <c r="M723" s="26"/>
      <c r="N723" s="29"/>
    </row>
    <row r="724" spans="13:14" x14ac:dyDescent="0.3">
      <c r="M724" s="26"/>
      <c r="N724" s="29"/>
    </row>
    <row r="725" spans="13:14" x14ac:dyDescent="0.3">
      <c r="M725" s="26"/>
      <c r="N725" s="29"/>
    </row>
    <row r="726" spans="13:14" x14ac:dyDescent="0.3">
      <c r="M726" s="26"/>
      <c r="N726" s="29"/>
    </row>
    <row r="727" spans="13:14" x14ac:dyDescent="0.3">
      <c r="M727" s="26"/>
      <c r="N727" s="29"/>
    </row>
    <row r="728" spans="13:14" x14ac:dyDescent="0.3">
      <c r="M728" s="26"/>
      <c r="N728" s="29"/>
    </row>
    <row r="729" spans="13:14" x14ac:dyDescent="0.3">
      <c r="M729" s="26"/>
      <c r="N729" s="29"/>
    </row>
    <row r="730" spans="13:14" x14ac:dyDescent="0.3">
      <c r="M730" s="26"/>
      <c r="N730" s="29"/>
    </row>
    <row r="731" spans="13:14" x14ac:dyDescent="0.3">
      <c r="M731" s="26"/>
      <c r="N731" s="29"/>
    </row>
    <row r="732" spans="13:14" x14ac:dyDescent="0.3">
      <c r="M732" s="26"/>
      <c r="N732" s="29"/>
    </row>
    <row r="733" spans="13:14" x14ac:dyDescent="0.3">
      <c r="M733" s="26"/>
      <c r="N733" s="29"/>
    </row>
    <row r="734" spans="13:14" x14ac:dyDescent="0.3">
      <c r="M734" s="26"/>
      <c r="N734" s="29"/>
    </row>
    <row r="735" spans="13:14" x14ac:dyDescent="0.3">
      <c r="M735" s="26"/>
      <c r="N735" s="29"/>
    </row>
    <row r="736" spans="13:14" x14ac:dyDescent="0.3">
      <c r="M736" s="26"/>
      <c r="N736" s="29"/>
    </row>
    <row r="737" spans="13:14" x14ac:dyDescent="0.3">
      <c r="M737" s="26"/>
      <c r="N737" s="29"/>
    </row>
    <row r="738" spans="13:14" x14ac:dyDescent="0.3">
      <c r="M738" s="26"/>
      <c r="N738" s="29"/>
    </row>
    <row r="739" spans="13:14" x14ac:dyDescent="0.3">
      <c r="M739" s="26"/>
      <c r="N739" s="29"/>
    </row>
    <row r="740" spans="13:14" x14ac:dyDescent="0.3">
      <c r="M740" s="26"/>
      <c r="N740" s="29"/>
    </row>
    <row r="741" spans="13:14" x14ac:dyDescent="0.3">
      <c r="M741" s="26"/>
      <c r="N741" s="29"/>
    </row>
    <row r="742" spans="13:14" x14ac:dyDescent="0.3">
      <c r="M742" s="26"/>
      <c r="N742" s="29"/>
    </row>
    <row r="743" spans="13:14" x14ac:dyDescent="0.3">
      <c r="M743" s="26"/>
      <c r="N743" s="29"/>
    </row>
    <row r="744" spans="13:14" x14ac:dyDescent="0.3">
      <c r="M744" s="26"/>
      <c r="N744" s="29"/>
    </row>
    <row r="745" spans="13:14" x14ac:dyDescent="0.3">
      <c r="M745" s="26"/>
      <c r="N745" s="29"/>
    </row>
    <row r="746" spans="13:14" x14ac:dyDescent="0.3">
      <c r="M746" s="26"/>
      <c r="N746" s="29"/>
    </row>
    <row r="747" spans="13:14" x14ac:dyDescent="0.3">
      <c r="M747" s="26"/>
      <c r="N747" s="29"/>
    </row>
    <row r="748" spans="13:14" x14ac:dyDescent="0.3">
      <c r="M748" s="26"/>
      <c r="N748" s="29"/>
    </row>
    <row r="749" spans="13:14" x14ac:dyDescent="0.3">
      <c r="M749" s="26"/>
      <c r="N749" s="29"/>
    </row>
    <row r="750" spans="13:14" x14ac:dyDescent="0.3">
      <c r="M750" s="26"/>
      <c r="N750" s="29"/>
    </row>
    <row r="751" spans="13:14" x14ac:dyDescent="0.3">
      <c r="M751" s="26"/>
      <c r="N751" s="29"/>
    </row>
    <row r="752" spans="13:14" x14ac:dyDescent="0.3">
      <c r="M752" s="26"/>
      <c r="N752" s="29"/>
    </row>
    <row r="753" spans="13:14" x14ac:dyDescent="0.3">
      <c r="M753" s="26"/>
      <c r="N753" s="29"/>
    </row>
    <row r="754" spans="13:14" x14ac:dyDescent="0.3">
      <c r="M754" s="26"/>
      <c r="N754" s="29"/>
    </row>
    <row r="755" spans="13:14" x14ac:dyDescent="0.3">
      <c r="M755" s="26"/>
      <c r="N755" s="29"/>
    </row>
    <row r="756" spans="13:14" x14ac:dyDescent="0.3">
      <c r="M756" s="26"/>
      <c r="N756" s="29"/>
    </row>
    <row r="757" spans="13:14" x14ac:dyDescent="0.3">
      <c r="M757" s="26"/>
      <c r="N757" s="29"/>
    </row>
    <row r="758" spans="13:14" x14ac:dyDescent="0.3">
      <c r="M758" s="26"/>
      <c r="N758" s="29"/>
    </row>
    <row r="759" spans="13:14" x14ac:dyDescent="0.3">
      <c r="M759" s="26"/>
      <c r="N759" s="29"/>
    </row>
    <row r="760" spans="13:14" x14ac:dyDescent="0.3">
      <c r="M760" s="26"/>
      <c r="N760" s="29"/>
    </row>
    <row r="761" spans="13:14" x14ac:dyDescent="0.3">
      <c r="M761" s="26"/>
      <c r="N761" s="29"/>
    </row>
    <row r="762" spans="13:14" x14ac:dyDescent="0.3">
      <c r="M762" s="26"/>
      <c r="N762" s="29"/>
    </row>
    <row r="763" spans="13:14" x14ac:dyDescent="0.3">
      <c r="M763" s="26"/>
      <c r="N763" s="29"/>
    </row>
    <row r="764" spans="13:14" x14ac:dyDescent="0.3">
      <c r="M764" s="26"/>
      <c r="N764" s="29"/>
    </row>
    <row r="765" spans="13:14" x14ac:dyDescent="0.3">
      <c r="M765" s="26"/>
      <c r="N765" s="29"/>
    </row>
    <row r="766" spans="13:14" x14ac:dyDescent="0.3">
      <c r="M766" s="26"/>
      <c r="N766" s="29"/>
    </row>
    <row r="767" spans="13:14" x14ac:dyDescent="0.3">
      <c r="M767" s="26"/>
      <c r="N767" s="29"/>
    </row>
    <row r="768" spans="13:14" x14ac:dyDescent="0.3">
      <c r="M768" s="26"/>
      <c r="N768" s="29"/>
    </row>
    <row r="769" spans="13:14" x14ac:dyDescent="0.3">
      <c r="M769" s="26"/>
      <c r="N769" s="29"/>
    </row>
    <row r="770" spans="13:14" x14ac:dyDescent="0.3">
      <c r="M770" s="26"/>
      <c r="N770" s="29"/>
    </row>
    <row r="771" spans="13:14" x14ac:dyDescent="0.3">
      <c r="M771" s="26"/>
      <c r="N771" s="29"/>
    </row>
    <row r="772" spans="13:14" x14ac:dyDescent="0.3">
      <c r="M772" s="26"/>
      <c r="N772" s="29"/>
    </row>
    <row r="773" spans="13:14" x14ac:dyDescent="0.3">
      <c r="M773" s="26"/>
      <c r="N773" s="29"/>
    </row>
    <row r="774" spans="13:14" x14ac:dyDescent="0.3">
      <c r="M774" s="26"/>
      <c r="N774" s="29"/>
    </row>
    <row r="775" spans="13:14" x14ac:dyDescent="0.3">
      <c r="M775" s="26"/>
      <c r="N775" s="29"/>
    </row>
    <row r="776" spans="13:14" x14ac:dyDescent="0.3">
      <c r="M776" s="26"/>
      <c r="N776" s="29"/>
    </row>
    <row r="777" spans="13:14" x14ac:dyDescent="0.3">
      <c r="M777" s="26"/>
      <c r="N777" s="29"/>
    </row>
    <row r="778" spans="13:14" x14ac:dyDescent="0.3">
      <c r="M778" s="26"/>
      <c r="N778" s="29"/>
    </row>
    <row r="779" spans="13:14" x14ac:dyDescent="0.3">
      <c r="M779" s="26"/>
      <c r="N779" s="29"/>
    </row>
    <row r="780" spans="13:14" x14ac:dyDescent="0.3">
      <c r="M780" s="26"/>
      <c r="N780" s="29"/>
    </row>
    <row r="781" spans="13:14" x14ac:dyDescent="0.3">
      <c r="M781" s="26"/>
      <c r="N781" s="29"/>
    </row>
    <row r="782" spans="13:14" x14ac:dyDescent="0.3">
      <c r="M782" s="26"/>
      <c r="N782" s="29"/>
    </row>
    <row r="783" spans="13:14" x14ac:dyDescent="0.3">
      <c r="M783" s="26"/>
      <c r="N783" s="29"/>
    </row>
    <row r="784" spans="13:14" x14ac:dyDescent="0.3">
      <c r="M784" s="26"/>
      <c r="N784" s="29"/>
    </row>
    <row r="785" spans="13:14" x14ac:dyDescent="0.3">
      <c r="M785" s="26"/>
      <c r="N785" s="29"/>
    </row>
    <row r="786" spans="13:14" x14ac:dyDescent="0.3">
      <c r="M786" s="26"/>
      <c r="N786" s="29"/>
    </row>
    <row r="787" spans="13:14" x14ac:dyDescent="0.3">
      <c r="M787" s="26"/>
      <c r="N787" s="29"/>
    </row>
    <row r="788" spans="13:14" x14ac:dyDescent="0.3">
      <c r="M788" s="26"/>
      <c r="N788" s="29"/>
    </row>
    <row r="789" spans="13:14" x14ac:dyDescent="0.3">
      <c r="M789" s="26"/>
      <c r="N789" s="29"/>
    </row>
    <row r="790" spans="13:14" x14ac:dyDescent="0.3">
      <c r="M790" s="26"/>
      <c r="N790" s="29"/>
    </row>
    <row r="791" spans="13:14" x14ac:dyDescent="0.3">
      <c r="M791" s="26"/>
      <c r="N791" s="29"/>
    </row>
    <row r="792" spans="13:14" x14ac:dyDescent="0.3">
      <c r="M792" s="26"/>
      <c r="N792" s="29"/>
    </row>
    <row r="793" spans="13:14" x14ac:dyDescent="0.3">
      <c r="M793" s="26"/>
      <c r="N793" s="29"/>
    </row>
    <row r="794" spans="13:14" x14ac:dyDescent="0.3">
      <c r="M794" s="26"/>
      <c r="N794" s="29"/>
    </row>
    <row r="795" spans="13:14" x14ac:dyDescent="0.3">
      <c r="M795" s="26"/>
      <c r="N795" s="29"/>
    </row>
    <row r="796" spans="13:14" x14ac:dyDescent="0.3">
      <c r="M796" s="26"/>
      <c r="N796" s="29"/>
    </row>
    <row r="797" spans="13:14" x14ac:dyDescent="0.3">
      <c r="M797" s="26"/>
      <c r="N797" s="29"/>
    </row>
    <row r="798" spans="13:14" x14ac:dyDescent="0.3">
      <c r="M798" s="26"/>
      <c r="N798" s="29"/>
    </row>
    <row r="799" spans="13:14" x14ac:dyDescent="0.3">
      <c r="M799" s="26"/>
      <c r="N799" s="29"/>
    </row>
    <row r="800" spans="13:14" x14ac:dyDescent="0.3">
      <c r="M800" s="26"/>
      <c r="N800" s="29"/>
    </row>
    <row r="801" spans="13:14" x14ac:dyDescent="0.3">
      <c r="M801" s="26"/>
      <c r="N801" s="29"/>
    </row>
    <row r="802" spans="13:14" x14ac:dyDescent="0.3">
      <c r="M802" s="26"/>
      <c r="N802" s="29"/>
    </row>
    <row r="803" spans="13:14" x14ac:dyDescent="0.3">
      <c r="M803" s="26"/>
      <c r="N803" s="29"/>
    </row>
    <row r="804" spans="13:14" x14ac:dyDescent="0.3">
      <c r="M804" s="26"/>
      <c r="N804" s="29"/>
    </row>
    <row r="805" spans="13:14" x14ac:dyDescent="0.3">
      <c r="M805" s="26"/>
      <c r="N805" s="29"/>
    </row>
    <row r="806" spans="13:14" x14ac:dyDescent="0.3">
      <c r="M806" s="26"/>
      <c r="N806" s="29"/>
    </row>
    <row r="807" spans="13:14" x14ac:dyDescent="0.3">
      <c r="M807" s="26"/>
      <c r="N807" s="29"/>
    </row>
    <row r="808" spans="13:14" x14ac:dyDescent="0.3">
      <c r="M808" s="26"/>
      <c r="N808" s="29"/>
    </row>
    <row r="809" spans="13:14" x14ac:dyDescent="0.3">
      <c r="M809" s="26"/>
      <c r="N809" s="29"/>
    </row>
    <row r="810" spans="13:14" x14ac:dyDescent="0.3">
      <c r="M810" s="26"/>
      <c r="N810" s="29"/>
    </row>
    <row r="811" spans="13:14" x14ac:dyDescent="0.3">
      <c r="M811" s="26"/>
      <c r="N811" s="29"/>
    </row>
    <row r="812" spans="13:14" x14ac:dyDescent="0.3">
      <c r="M812" s="26"/>
      <c r="N812" s="29"/>
    </row>
    <row r="813" spans="13:14" x14ac:dyDescent="0.3">
      <c r="M813" s="26"/>
      <c r="N813" s="29"/>
    </row>
    <row r="814" spans="13:14" x14ac:dyDescent="0.3">
      <c r="M814" s="26"/>
      <c r="N814" s="29"/>
    </row>
    <row r="815" spans="13:14" x14ac:dyDescent="0.3">
      <c r="M815" s="26"/>
      <c r="N815" s="29"/>
    </row>
    <row r="816" spans="13:14" x14ac:dyDescent="0.3">
      <c r="M816" s="26"/>
      <c r="N816" s="29"/>
    </row>
    <row r="817" spans="13:14" x14ac:dyDescent="0.3">
      <c r="M817" s="26"/>
      <c r="N817" s="29"/>
    </row>
    <row r="818" spans="13:14" x14ac:dyDescent="0.3">
      <c r="M818" s="26"/>
      <c r="N818" s="29"/>
    </row>
    <row r="819" spans="13:14" x14ac:dyDescent="0.3">
      <c r="M819" s="26"/>
      <c r="N819" s="29"/>
    </row>
    <row r="820" spans="13:14" x14ac:dyDescent="0.3">
      <c r="M820" s="26"/>
      <c r="N820" s="29"/>
    </row>
    <row r="821" spans="13:14" x14ac:dyDescent="0.3">
      <c r="M821" s="26"/>
      <c r="N821" s="29"/>
    </row>
    <row r="822" spans="13:14" x14ac:dyDescent="0.3">
      <c r="M822" s="26"/>
      <c r="N822" s="29"/>
    </row>
    <row r="823" spans="13:14" x14ac:dyDescent="0.3">
      <c r="M823" s="26"/>
      <c r="N823" s="29"/>
    </row>
    <row r="824" spans="13:14" x14ac:dyDescent="0.3">
      <c r="M824" s="26"/>
      <c r="N824" s="29"/>
    </row>
    <row r="825" spans="13:14" x14ac:dyDescent="0.3">
      <c r="M825" s="26"/>
      <c r="N825" s="29"/>
    </row>
    <row r="826" spans="13:14" x14ac:dyDescent="0.3">
      <c r="M826" s="26"/>
      <c r="N826" s="29"/>
    </row>
    <row r="827" spans="13:14" x14ac:dyDescent="0.3">
      <c r="M827" s="26"/>
      <c r="N827" s="29"/>
    </row>
    <row r="828" spans="13:14" x14ac:dyDescent="0.3">
      <c r="M828" s="26"/>
      <c r="N828" s="29"/>
    </row>
    <row r="829" spans="13:14" x14ac:dyDescent="0.3">
      <c r="M829" s="26"/>
      <c r="N829" s="29"/>
    </row>
    <row r="830" spans="13:14" x14ac:dyDescent="0.3">
      <c r="M830" s="26"/>
      <c r="N830" s="29"/>
    </row>
    <row r="831" spans="13:14" x14ac:dyDescent="0.3">
      <c r="M831" s="26"/>
      <c r="N831" s="29"/>
    </row>
    <row r="832" spans="13:14" x14ac:dyDescent="0.3">
      <c r="M832" s="26"/>
      <c r="N832" s="29"/>
    </row>
    <row r="833" spans="13:14" x14ac:dyDescent="0.3">
      <c r="M833" s="26"/>
      <c r="N833" s="29"/>
    </row>
    <row r="834" spans="13:14" x14ac:dyDescent="0.3">
      <c r="M834" s="26"/>
      <c r="N834" s="29"/>
    </row>
    <row r="835" spans="13:14" x14ac:dyDescent="0.3">
      <c r="M835" s="26"/>
      <c r="N835" s="29"/>
    </row>
    <row r="836" spans="13:14" x14ac:dyDescent="0.3">
      <c r="M836" s="26"/>
      <c r="N836" s="29"/>
    </row>
    <row r="837" spans="13:14" x14ac:dyDescent="0.3">
      <c r="M837" s="26"/>
      <c r="N837" s="29"/>
    </row>
    <row r="838" spans="13:14" x14ac:dyDescent="0.3">
      <c r="M838" s="26"/>
      <c r="N838" s="29"/>
    </row>
    <row r="839" spans="13:14" x14ac:dyDescent="0.3">
      <c r="M839" s="26"/>
      <c r="N839" s="29"/>
    </row>
    <row r="840" spans="13:14" x14ac:dyDescent="0.3">
      <c r="M840" s="26"/>
      <c r="N840" s="29"/>
    </row>
    <row r="841" spans="13:14" x14ac:dyDescent="0.3">
      <c r="M841" s="26"/>
      <c r="N841" s="29"/>
    </row>
    <row r="842" spans="13:14" x14ac:dyDescent="0.3">
      <c r="M842" s="26"/>
      <c r="N842" s="29"/>
    </row>
    <row r="843" spans="13:14" x14ac:dyDescent="0.3">
      <c r="M843" s="26"/>
      <c r="N843" s="29"/>
    </row>
    <row r="844" spans="13:14" x14ac:dyDescent="0.3">
      <c r="M844" s="26"/>
      <c r="N844" s="29"/>
    </row>
    <row r="845" spans="13:14" x14ac:dyDescent="0.3">
      <c r="M845" s="26"/>
      <c r="N845" s="29"/>
    </row>
    <row r="846" spans="13:14" x14ac:dyDescent="0.3">
      <c r="M846" s="26"/>
      <c r="N846" s="29"/>
    </row>
    <row r="847" spans="13:14" x14ac:dyDescent="0.3">
      <c r="M847" s="26"/>
      <c r="N847" s="29"/>
    </row>
    <row r="848" spans="13:14" x14ac:dyDescent="0.3">
      <c r="M848" s="26"/>
      <c r="N848" s="29"/>
    </row>
    <row r="849" spans="13:14" x14ac:dyDescent="0.3">
      <c r="M849" s="26"/>
      <c r="N849" s="29"/>
    </row>
    <row r="850" spans="13:14" x14ac:dyDescent="0.3">
      <c r="M850" s="26"/>
      <c r="N850" s="29"/>
    </row>
    <row r="851" spans="13:14" x14ac:dyDescent="0.3">
      <c r="M851" s="26"/>
      <c r="N851" s="29"/>
    </row>
    <row r="852" spans="13:14" x14ac:dyDescent="0.3">
      <c r="M852" s="26"/>
      <c r="N852" s="29"/>
    </row>
    <row r="853" spans="13:14" x14ac:dyDescent="0.3">
      <c r="M853" s="26"/>
      <c r="N853" s="29"/>
    </row>
    <row r="854" spans="13:14" x14ac:dyDescent="0.3">
      <c r="M854" s="26"/>
      <c r="N854" s="29"/>
    </row>
    <row r="855" spans="13:14" x14ac:dyDescent="0.3">
      <c r="M855" s="26"/>
      <c r="N855" s="29"/>
    </row>
    <row r="856" spans="13:14" x14ac:dyDescent="0.3">
      <c r="M856" s="26"/>
      <c r="N856" s="29"/>
    </row>
    <row r="857" spans="13:14" x14ac:dyDescent="0.3">
      <c r="M857" s="26"/>
      <c r="N857" s="29"/>
    </row>
    <row r="858" spans="13:14" x14ac:dyDescent="0.3">
      <c r="M858" s="26"/>
      <c r="N858" s="29"/>
    </row>
    <row r="859" spans="13:14" x14ac:dyDescent="0.3">
      <c r="M859" s="26"/>
      <c r="N859" s="29"/>
    </row>
    <row r="860" spans="13:14" x14ac:dyDescent="0.3">
      <c r="M860" s="26"/>
      <c r="N860" s="29"/>
    </row>
    <row r="861" spans="13:14" x14ac:dyDescent="0.3">
      <c r="M861" s="26"/>
      <c r="N861" s="29"/>
    </row>
    <row r="862" spans="13:14" x14ac:dyDescent="0.3">
      <c r="M862" s="26"/>
      <c r="N862" s="29"/>
    </row>
    <row r="863" spans="13:14" x14ac:dyDescent="0.3">
      <c r="M863" s="26"/>
      <c r="N863" s="29"/>
    </row>
    <row r="864" spans="13:14" x14ac:dyDescent="0.3">
      <c r="M864" s="26"/>
      <c r="N864" s="29"/>
    </row>
    <row r="865" spans="13:14" x14ac:dyDescent="0.3">
      <c r="M865" s="26"/>
      <c r="N865" s="29"/>
    </row>
    <row r="866" spans="13:14" x14ac:dyDescent="0.3">
      <c r="M866" s="26"/>
      <c r="N866" s="29"/>
    </row>
    <row r="867" spans="13:14" x14ac:dyDescent="0.3">
      <c r="M867" s="26"/>
      <c r="N867" s="29"/>
    </row>
    <row r="868" spans="13:14" x14ac:dyDescent="0.3">
      <c r="M868" s="26"/>
      <c r="N868" s="29"/>
    </row>
    <row r="869" spans="13:14" x14ac:dyDescent="0.3">
      <c r="M869" s="26"/>
      <c r="N869" s="29"/>
    </row>
    <row r="870" spans="13:14" x14ac:dyDescent="0.3">
      <c r="M870" s="26"/>
      <c r="N870" s="29"/>
    </row>
    <row r="871" spans="13:14" x14ac:dyDescent="0.3">
      <c r="M871" s="26"/>
      <c r="N871" s="29"/>
    </row>
    <row r="872" spans="13:14" x14ac:dyDescent="0.3">
      <c r="M872" s="26"/>
      <c r="N872" s="29"/>
    </row>
    <row r="873" spans="13:14" x14ac:dyDescent="0.3">
      <c r="M873" s="26"/>
      <c r="N873" s="29"/>
    </row>
    <row r="874" spans="13:14" x14ac:dyDescent="0.3">
      <c r="M874" s="26"/>
      <c r="N874" s="29"/>
    </row>
    <row r="875" spans="13:14" x14ac:dyDescent="0.3">
      <c r="M875" s="26"/>
      <c r="N875" s="29"/>
    </row>
    <row r="876" spans="13:14" x14ac:dyDescent="0.3">
      <c r="M876" s="26"/>
      <c r="N876" s="29"/>
    </row>
    <row r="877" spans="13:14" x14ac:dyDescent="0.3">
      <c r="M877" s="26"/>
      <c r="N877" s="29"/>
    </row>
    <row r="878" spans="13:14" x14ac:dyDescent="0.3">
      <c r="M878" s="26"/>
      <c r="N878" s="29"/>
    </row>
    <row r="879" spans="13:14" x14ac:dyDescent="0.3">
      <c r="M879" s="26"/>
      <c r="N879" s="29"/>
    </row>
    <row r="880" spans="13:14" x14ac:dyDescent="0.3">
      <c r="M880" s="26"/>
      <c r="N880" s="29"/>
    </row>
    <row r="881" spans="13:14" x14ac:dyDescent="0.3">
      <c r="M881" s="26"/>
      <c r="N881" s="29"/>
    </row>
    <row r="882" spans="13:14" x14ac:dyDescent="0.3">
      <c r="M882" s="26"/>
      <c r="N882" s="29"/>
    </row>
    <row r="883" spans="13:14" x14ac:dyDescent="0.3">
      <c r="M883" s="26"/>
      <c r="N883" s="29"/>
    </row>
    <row r="884" spans="13:14" x14ac:dyDescent="0.3">
      <c r="M884" s="26"/>
      <c r="N884" s="29"/>
    </row>
    <row r="885" spans="13:14" x14ac:dyDescent="0.3">
      <c r="M885" s="26"/>
      <c r="N885" s="29"/>
    </row>
    <row r="886" spans="13:14" x14ac:dyDescent="0.3">
      <c r="M886" s="26"/>
      <c r="N886" s="29"/>
    </row>
    <row r="887" spans="13:14" x14ac:dyDescent="0.3">
      <c r="M887" s="26"/>
      <c r="N887" s="29"/>
    </row>
    <row r="888" spans="13:14" x14ac:dyDescent="0.3">
      <c r="M888" s="26"/>
      <c r="N888" s="29"/>
    </row>
    <row r="889" spans="13:14" x14ac:dyDescent="0.3">
      <c r="M889" s="26"/>
      <c r="N889" s="29"/>
    </row>
    <row r="890" spans="13:14" x14ac:dyDescent="0.3">
      <c r="M890" s="26"/>
      <c r="N890" s="29"/>
    </row>
    <row r="891" spans="13:14" x14ac:dyDescent="0.3">
      <c r="M891" s="26"/>
      <c r="N891" s="29"/>
    </row>
    <row r="892" spans="13:14" x14ac:dyDescent="0.3">
      <c r="M892" s="26"/>
      <c r="N892" s="29"/>
    </row>
    <row r="893" spans="13:14" x14ac:dyDescent="0.3">
      <c r="M893" s="26"/>
      <c r="N893" s="29"/>
    </row>
    <row r="894" spans="13:14" x14ac:dyDescent="0.3">
      <c r="M894" s="26"/>
      <c r="N894" s="29"/>
    </row>
    <row r="895" spans="13:14" x14ac:dyDescent="0.3">
      <c r="M895" s="26"/>
      <c r="N895" s="29"/>
    </row>
    <row r="896" spans="13:14" x14ac:dyDescent="0.3">
      <c r="M896" s="26"/>
      <c r="N896" s="29"/>
    </row>
    <row r="897" spans="13:14" x14ac:dyDescent="0.3">
      <c r="M897" s="26"/>
      <c r="N897" s="29"/>
    </row>
    <row r="898" spans="13:14" x14ac:dyDescent="0.3">
      <c r="M898" s="26"/>
      <c r="N898" s="29"/>
    </row>
    <row r="899" spans="13:14" x14ac:dyDescent="0.3">
      <c r="M899" s="26"/>
      <c r="N899" s="29"/>
    </row>
    <row r="900" spans="13:14" x14ac:dyDescent="0.3">
      <c r="M900" s="26"/>
      <c r="N900" s="29"/>
    </row>
    <row r="901" spans="13:14" x14ac:dyDescent="0.3">
      <c r="M901" s="26"/>
      <c r="N901" s="29"/>
    </row>
    <row r="902" spans="13:14" x14ac:dyDescent="0.3">
      <c r="M902" s="26"/>
      <c r="N902" s="29"/>
    </row>
    <row r="903" spans="13:14" x14ac:dyDescent="0.3">
      <c r="M903" s="26"/>
      <c r="N903" s="29"/>
    </row>
    <row r="904" spans="13:14" x14ac:dyDescent="0.3">
      <c r="M904" s="26"/>
      <c r="N904" s="29"/>
    </row>
    <row r="905" spans="13:14" x14ac:dyDescent="0.3">
      <c r="M905" s="26"/>
      <c r="N905" s="29"/>
    </row>
    <row r="906" spans="13:14" x14ac:dyDescent="0.3">
      <c r="M906" s="26"/>
      <c r="N906" s="29"/>
    </row>
    <row r="907" spans="13:14" x14ac:dyDescent="0.3">
      <c r="M907" s="26"/>
      <c r="N907" s="29"/>
    </row>
    <row r="908" spans="13:14" x14ac:dyDescent="0.3">
      <c r="M908" s="26"/>
      <c r="N908" s="29"/>
    </row>
    <row r="909" spans="13:14" x14ac:dyDescent="0.3">
      <c r="M909" s="26"/>
      <c r="N909" s="29"/>
    </row>
    <row r="910" spans="13:14" x14ac:dyDescent="0.3">
      <c r="M910" s="26"/>
      <c r="N910" s="29"/>
    </row>
    <row r="911" spans="13:14" x14ac:dyDescent="0.3">
      <c r="M911" s="26"/>
      <c r="N911" s="29"/>
    </row>
    <row r="912" spans="13:14" x14ac:dyDescent="0.3">
      <c r="M912" s="26"/>
      <c r="N912" s="29"/>
    </row>
    <row r="913" spans="13:14" x14ac:dyDescent="0.3">
      <c r="M913" s="26"/>
      <c r="N913" s="29"/>
    </row>
    <row r="914" spans="13:14" x14ac:dyDescent="0.3">
      <c r="M914" s="26"/>
      <c r="N914" s="29"/>
    </row>
    <row r="915" spans="13:14" x14ac:dyDescent="0.3">
      <c r="M915" s="26"/>
      <c r="N915" s="29"/>
    </row>
    <row r="916" spans="13:14" x14ac:dyDescent="0.3">
      <c r="M916" s="26"/>
      <c r="N916" s="29"/>
    </row>
    <row r="917" spans="13:14" x14ac:dyDescent="0.3">
      <c r="M917" s="26"/>
      <c r="N917" s="29"/>
    </row>
    <row r="918" spans="13:14" x14ac:dyDescent="0.3">
      <c r="M918" s="26"/>
      <c r="N918" s="29"/>
    </row>
    <row r="919" spans="13:14" x14ac:dyDescent="0.3">
      <c r="M919" s="26"/>
      <c r="N919" s="29"/>
    </row>
    <row r="920" spans="13:14" x14ac:dyDescent="0.3">
      <c r="M920" s="26"/>
      <c r="N920" s="29"/>
    </row>
    <row r="921" spans="13:14" x14ac:dyDescent="0.3">
      <c r="M921" s="26"/>
      <c r="N921" s="29"/>
    </row>
    <row r="922" spans="13:14" x14ac:dyDescent="0.3">
      <c r="M922" s="26"/>
      <c r="N922" s="29"/>
    </row>
    <row r="923" spans="13:14" x14ac:dyDescent="0.3">
      <c r="M923" s="26"/>
      <c r="N923" s="29"/>
    </row>
    <row r="924" spans="13:14" x14ac:dyDescent="0.3">
      <c r="M924" s="26"/>
      <c r="N924" s="29"/>
    </row>
    <row r="925" spans="13:14" x14ac:dyDescent="0.3">
      <c r="M925" s="26"/>
      <c r="N925" s="29"/>
    </row>
    <row r="926" spans="13:14" x14ac:dyDescent="0.3">
      <c r="M926" s="26"/>
      <c r="N926" s="29"/>
    </row>
    <row r="927" spans="13:14" x14ac:dyDescent="0.3">
      <c r="M927" s="26"/>
      <c r="N927" s="29"/>
    </row>
    <row r="928" spans="13:14" x14ac:dyDescent="0.3">
      <c r="M928" s="26"/>
      <c r="N928" s="29"/>
    </row>
    <row r="929" spans="13:14" x14ac:dyDescent="0.3">
      <c r="M929" s="26"/>
      <c r="N929" s="29"/>
    </row>
    <row r="930" spans="13:14" x14ac:dyDescent="0.3">
      <c r="M930" s="26"/>
      <c r="N930" s="29"/>
    </row>
    <row r="931" spans="13:14" x14ac:dyDescent="0.3">
      <c r="M931" s="26"/>
      <c r="N931" s="29"/>
    </row>
    <row r="932" spans="13:14" x14ac:dyDescent="0.3">
      <c r="M932" s="26"/>
      <c r="N932" s="29"/>
    </row>
    <row r="933" spans="13:14" x14ac:dyDescent="0.3">
      <c r="M933" s="26"/>
      <c r="N933" s="29"/>
    </row>
    <row r="934" spans="13:14" x14ac:dyDescent="0.3">
      <c r="M934" s="26"/>
      <c r="N934" s="29"/>
    </row>
    <row r="935" spans="13:14" x14ac:dyDescent="0.3">
      <c r="M935" s="26"/>
      <c r="N935" s="29"/>
    </row>
    <row r="936" spans="13:14" x14ac:dyDescent="0.3">
      <c r="M936" s="26"/>
      <c r="N936" s="29"/>
    </row>
    <row r="937" spans="13:14" x14ac:dyDescent="0.3">
      <c r="M937" s="26"/>
      <c r="N937" s="29"/>
    </row>
    <row r="938" spans="13:14" x14ac:dyDescent="0.3">
      <c r="M938" s="26"/>
      <c r="N938" s="29"/>
    </row>
    <row r="939" spans="13:14" x14ac:dyDescent="0.3">
      <c r="M939" s="26"/>
      <c r="N939" s="29"/>
    </row>
    <row r="940" spans="13:14" x14ac:dyDescent="0.3">
      <c r="M940" s="26"/>
      <c r="N940" s="29"/>
    </row>
    <row r="941" spans="13:14" x14ac:dyDescent="0.3">
      <c r="M941" s="26"/>
      <c r="N941" s="29"/>
    </row>
    <row r="942" spans="13:14" x14ac:dyDescent="0.3">
      <c r="M942" s="26"/>
      <c r="N942" s="29"/>
    </row>
    <row r="943" spans="13:14" x14ac:dyDescent="0.3">
      <c r="M943" s="26"/>
      <c r="N943" s="29"/>
    </row>
    <row r="944" spans="13:14" x14ac:dyDescent="0.3">
      <c r="M944" s="26"/>
      <c r="N944" s="29"/>
    </row>
    <row r="945" spans="13:14" x14ac:dyDescent="0.3">
      <c r="M945" s="26"/>
      <c r="N945" s="29"/>
    </row>
    <row r="946" spans="13:14" x14ac:dyDescent="0.3">
      <c r="M946" s="26"/>
      <c r="N946" s="29"/>
    </row>
    <row r="947" spans="13:14" x14ac:dyDescent="0.3">
      <c r="M947" s="26"/>
      <c r="N947" s="29"/>
    </row>
    <row r="948" spans="13:14" x14ac:dyDescent="0.3">
      <c r="M948" s="26"/>
      <c r="N948" s="29"/>
    </row>
    <row r="949" spans="13:14" x14ac:dyDescent="0.3">
      <c r="M949" s="26"/>
      <c r="N949" s="29"/>
    </row>
    <row r="950" spans="13:14" x14ac:dyDescent="0.3">
      <c r="M950" s="26"/>
      <c r="N950" s="29"/>
    </row>
    <row r="951" spans="13:14" x14ac:dyDescent="0.3">
      <c r="M951" s="26"/>
      <c r="N951" s="29"/>
    </row>
    <row r="952" spans="13:14" x14ac:dyDescent="0.3">
      <c r="M952" s="26"/>
      <c r="N952" s="29"/>
    </row>
    <row r="953" spans="13:14" x14ac:dyDescent="0.3">
      <c r="M953" s="26"/>
      <c r="N953" s="29"/>
    </row>
    <row r="954" spans="13:14" x14ac:dyDescent="0.3">
      <c r="M954" s="26"/>
      <c r="N954" s="29"/>
    </row>
    <row r="955" spans="13:14" x14ac:dyDescent="0.3">
      <c r="M955" s="26"/>
      <c r="N955" s="29"/>
    </row>
    <row r="956" spans="13:14" x14ac:dyDescent="0.3">
      <c r="M956" s="26"/>
      <c r="N956" s="29"/>
    </row>
    <row r="957" spans="13:14" x14ac:dyDescent="0.3">
      <c r="M957" s="26"/>
      <c r="N957" s="29"/>
    </row>
    <row r="958" spans="13:14" x14ac:dyDescent="0.3">
      <c r="M958" s="26"/>
      <c r="N958" s="29"/>
    </row>
    <row r="959" spans="13:14" x14ac:dyDescent="0.3">
      <c r="M959" s="26"/>
      <c r="N959" s="29"/>
    </row>
    <row r="960" spans="13:14" x14ac:dyDescent="0.3">
      <c r="M960" s="26"/>
      <c r="N960" s="29"/>
    </row>
    <row r="961" spans="13:14" x14ac:dyDescent="0.3">
      <c r="M961" s="26"/>
      <c r="N961" s="29"/>
    </row>
    <row r="962" spans="13:14" x14ac:dyDescent="0.3">
      <c r="M962" s="26"/>
      <c r="N962" s="29"/>
    </row>
    <row r="963" spans="13:14" x14ac:dyDescent="0.3">
      <c r="M963" s="26"/>
      <c r="N963" s="29"/>
    </row>
    <row r="964" spans="13:14" x14ac:dyDescent="0.3">
      <c r="M964" s="26"/>
      <c r="N964" s="29"/>
    </row>
    <row r="965" spans="13:14" x14ac:dyDescent="0.3">
      <c r="M965" s="26"/>
      <c r="N965" s="29"/>
    </row>
    <row r="966" spans="13:14" x14ac:dyDescent="0.3">
      <c r="M966" s="26"/>
      <c r="N966" s="29"/>
    </row>
    <row r="967" spans="13:14" x14ac:dyDescent="0.3">
      <c r="M967" s="26"/>
      <c r="N967" s="29"/>
    </row>
    <row r="968" spans="13:14" x14ac:dyDescent="0.3">
      <c r="M968" s="26"/>
      <c r="N968" s="29"/>
    </row>
    <row r="969" spans="13:14" x14ac:dyDescent="0.3">
      <c r="M969" s="26"/>
      <c r="N969" s="29"/>
    </row>
    <row r="970" spans="13:14" x14ac:dyDescent="0.3">
      <c r="M970" s="26"/>
      <c r="N970" s="29"/>
    </row>
    <row r="971" spans="13:14" x14ac:dyDescent="0.3">
      <c r="M971" s="26"/>
      <c r="N971" s="29"/>
    </row>
    <row r="972" spans="13:14" x14ac:dyDescent="0.3">
      <c r="M972" s="26"/>
      <c r="N972" s="29"/>
    </row>
    <row r="973" spans="13:14" x14ac:dyDescent="0.3">
      <c r="M973" s="26"/>
      <c r="N973" s="29"/>
    </row>
    <row r="974" spans="13:14" x14ac:dyDescent="0.3">
      <c r="M974" s="26"/>
      <c r="N974" s="29"/>
    </row>
    <row r="975" spans="13:14" x14ac:dyDescent="0.3">
      <c r="M975" s="26"/>
      <c r="N975" s="29"/>
    </row>
    <row r="976" spans="13:14" x14ac:dyDescent="0.3">
      <c r="M976" s="26"/>
      <c r="N976" s="29"/>
    </row>
    <row r="977" spans="13:14" x14ac:dyDescent="0.3">
      <c r="M977" s="26"/>
      <c r="N977" s="29"/>
    </row>
    <row r="978" spans="13:14" x14ac:dyDescent="0.3">
      <c r="M978" s="26"/>
      <c r="N978" s="29"/>
    </row>
    <row r="979" spans="13:14" x14ac:dyDescent="0.3">
      <c r="M979" s="26"/>
      <c r="N979" s="29"/>
    </row>
    <row r="980" spans="13:14" x14ac:dyDescent="0.3">
      <c r="M980" s="26"/>
      <c r="N980" s="29"/>
    </row>
    <row r="981" spans="13:14" x14ac:dyDescent="0.3">
      <c r="M981" s="26"/>
      <c r="N981" s="29"/>
    </row>
    <row r="982" spans="13:14" x14ac:dyDescent="0.3">
      <c r="M982" s="26"/>
      <c r="N982" s="29"/>
    </row>
    <row r="983" spans="13:14" x14ac:dyDescent="0.3">
      <c r="M983" s="26"/>
      <c r="N983" s="29"/>
    </row>
    <row r="984" spans="13:14" x14ac:dyDescent="0.3">
      <c r="M984" s="26"/>
      <c r="N984" s="29"/>
    </row>
    <row r="985" spans="13:14" x14ac:dyDescent="0.3">
      <c r="M985" s="26"/>
      <c r="N985" s="29"/>
    </row>
    <row r="986" spans="13:14" x14ac:dyDescent="0.3">
      <c r="M986" s="26"/>
      <c r="N986" s="29"/>
    </row>
    <row r="987" spans="13:14" x14ac:dyDescent="0.3">
      <c r="M987" s="26"/>
      <c r="N987" s="29"/>
    </row>
    <row r="988" spans="13:14" x14ac:dyDescent="0.3">
      <c r="M988" s="26"/>
      <c r="N988" s="29"/>
    </row>
    <row r="989" spans="13:14" x14ac:dyDescent="0.3">
      <c r="M989" s="26"/>
      <c r="N989" s="29"/>
    </row>
    <row r="990" spans="13:14" x14ac:dyDescent="0.3">
      <c r="M990" s="26"/>
      <c r="N990" s="29"/>
    </row>
    <row r="991" spans="13:14" x14ac:dyDescent="0.3">
      <c r="M991" s="26"/>
      <c r="N991" s="29"/>
    </row>
    <row r="992" spans="13:14" x14ac:dyDescent="0.3">
      <c r="M992" s="26"/>
      <c r="N992" s="29"/>
    </row>
    <row r="993" spans="13:14" x14ac:dyDescent="0.3">
      <c r="M993" s="26"/>
      <c r="N993" s="29"/>
    </row>
    <row r="994" spans="13:14" x14ac:dyDescent="0.3">
      <c r="M994" s="26"/>
      <c r="N994" s="29"/>
    </row>
    <row r="995" spans="13:14" x14ac:dyDescent="0.3">
      <c r="M995" s="26"/>
      <c r="N995" s="29"/>
    </row>
    <row r="996" spans="13:14" x14ac:dyDescent="0.3">
      <c r="M996" s="26"/>
      <c r="N996" s="29"/>
    </row>
    <row r="997" spans="13:14" x14ac:dyDescent="0.3">
      <c r="M997" s="26"/>
      <c r="N997" s="29"/>
    </row>
    <row r="998" spans="13:14" x14ac:dyDescent="0.3">
      <c r="M998" s="26"/>
      <c r="N998" s="29"/>
    </row>
    <row r="999" spans="13:14" x14ac:dyDescent="0.3">
      <c r="M999" s="26"/>
      <c r="N999" s="29"/>
    </row>
    <row r="1000" spans="13:14" x14ac:dyDescent="0.3">
      <c r="M1000" s="27"/>
      <c r="N1000" s="30"/>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A6755-8E9C-487C-906E-C0D92E21ED6A}">
  <dimension ref="A1:P281"/>
  <sheetViews>
    <sheetView topLeftCell="A39" workbookViewId="0">
      <selection activeCell="A42" sqref="A42:B59"/>
    </sheetView>
  </sheetViews>
  <sheetFormatPr defaultRowHeight="14.4" x14ac:dyDescent="0.3"/>
  <cols>
    <col min="1" max="1" width="20.33203125" customWidth="1"/>
    <col min="2" max="2" width="15.44140625" bestFit="1" customWidth="1"/>
    <col min="3" max="3" width="19.33203125" bestFit="1" customWidth="1"/>
    <col min="4" max="4" width="13.6640625" bestFit="1" customWidth="1"/>
    <col min="5" max="5" width="13.88671875" bestFit="1" customWidth="1"/>
    <col min="6" max="6" width="15.88671875" bestFit="1" customWidth="1"/>
    <col min="7" max="7" width="14.44140625" bestFit="1" customWidth="1"/>
    <col min="8" max="8" width="18.33203125" bestFit="1" customWidth="1"/>
    <col min="9" max="9" width="14.44140625" bestFit="1" customWidth="1"/>
    <col min="10" max="10" width="18.5546875" bestFit="1" customWidth="1"/>
    <col min="11" max="11" width="17.6640625" bestFit="1" customWidth="1"/>
    <col min="12" max="12" width="10.6640625" bestFit="1" customWidth="1"/>
    <col min="13" max="13" width="13.6640625" bestFit="1" customWidth="1"/>
    <col min="14" max="14" width="9.6640625" bestFit="1" customWidth="1"/>
    <col min="15" max="15" width="14.33203125" bestFit="1" customWidth="1"/>
    <col min="16" max="16" width="14.44140625" bestFit="1" customWidth="1"/>
    <col min="17" max="17" width="6.6640625" bestFit="1" customWidth="1"/>
    <col min="18" max="18" width="8.6640625" bestFit="1" customWidth="1"/>
    <col min="19" max="19" width="14.44140625" bestFit="1" customWidth="1"/>
    <col min="20" max="20" width="10.33203125" customWidth="1"/>
  </cols>
  <sheetData>
    <row r="1" spans="1:16" ht="43.2" x14ac:dyDescent="0.3">
      <c r="A1" s="19" t="s">
        <v>650</v>
      </c>
      <c r="M1" s="2" t="s">
        <v>7</v>
      </c>
      <c r="N1" s="2" t="s">
        <v>9</v>
      </c>
      <c r="O1" s="2" t="s">
        <v>13</v>
      </c>
      <c r="P1" s="2" t="s">
        <v>22</v>
      </c>
    </row>
    <row r="2" spans="1:16" x14ac:dyDescent="0.3">
      <c r="A2" s="18" t="s">
        <v>651</v>
      </c>
      <c r="M2" s="20">
        <v>0</v>
      </c>
      <c r="N2" s="20">
        <v>69.209999999999994</v>
      </c>
      <c r="O2" s="20" t="s">
        <v>33</v>
      </c>
      <c r="P2" s="20" t="s">
        <v>35</v>
      </c>
    </row>
    <row r="3" spans="1:16" x14ac:dyDescent="0.3">
      <c r="A3" s="18" t="s">
        <v>652</v>
      </c>
      <c r="M3" s="20">
        <v>2</v>
      </c>
      <c r="N3" s="20">
        <v>94.97</v>
      </c>
      <c r="O3" s="20" t="s">
        <v>42</v>
      </c>
      <c r="P3" s="20" t="s">
        <v>44</v>
      </c>
    </row>
    <row r="4" spans="1:16" x14ac:dyDescent="0.3">
      <c r="A4" s="18" t="s">
        <v>653</v>
      </c>
      <c r="M4" s="20">
        <v>2</v>
      </c>
      <c r="N4" s="20">
        <v>68.989999999999995</v>
      </c>
      <c r="O4" s="20" t="s">
        <v>47</v>
      </c>
      <c r="P4" s="20" t="s">
        <v>48</v>
      </c>
    </row>
    <row r="5" spans="1:16" x14ac:dyDescent="0.3">
      <c r="A5" s="18" t="s">
        <v>654</v>
      </c>
      <c r="M5" s="20">
        <v>0</v>
      </c>
      <c r="N5" s="20">
        <v>87.71</v>
      </c>
      <c r="O5" s="20" t="s">
        <v>42</v>
      </c>
      <c r="P5" s="20" t="s">
        <v>53</v>
      </c>
    </row>
    <row r="6" spans="1:16" x14ac:dyDescent="0.3">
      <c r="A6" s="18" t="s">
        <v>655</v>
      </c>
      <c r="M6" s="20">
        <v>4</v>
      </c>
      <c r="N6" s="20">
        <v>87.7</v>
      </c>
      <c r="O6" s="20" t="s">
        <v>33</v>
      </c>
      <c r="P6" s="20" t="s">
        <v>53</v>
      </c>
    </row>
    <row r="7" spans="1:16" x14ac:dyDescent="0.3">
      <c r="M7" s="20">
        <v>0</v>
      </c>
      <c r="N7" s="20">
        <v>68.98</v>
      </c>
      <c r="O7" s="20" t="s">
        <v>42</v>
      </c>
      <c r="P7" s="20" t="s">
        <v>53</v>
      </c>
    </row>
    <row r="8" spans="1:16" x14ac:dyDescent="0.3">
      <c r="M8" s="20">
        <v>1</v>
      </c>
      <c r="N8" s="20">
        <v>94.84</v>
      </c>
      <c r="O8" s="20" t="s">
        <v>42</v>
      </c>
      <c r="P8" s="20" t="s">
        <v>62</v>
      </c>
    </row>
    <row r="9" spans="1:16" x14ac:dyDescent="0.3">
      <c r="A9" s="21"/>
      <c r="M9" s="20">
        <v>0</v>
      </c>
      <c r="N9" s="20">
        <v>68.98</v>
      </c>
      <c r="O9" s="20" t="s">
        <v>33</v>
      </c>
      <c r="P9" s="20" t="s">
        <v>48</v>
      </c>
    </row>
    <row r="10" spans="1:16" x14ac:dyDescent="0.3">
      <c r="M10" s="20">
        <v>2</v>
      </c>
      <c r="N10" s="20">
        <v>61.65</v>
      </c>
      <c r="O10" s="20" t="s">
        <v>43</v>
      </c>
      <c r="P10" s="20" t="s">
        <v>70</v>
      </c>
    </row>
    <row r="11" spans="1:16" x14ac:dyDescent="0.3">
      <c r="M11" s="20">
        <v>0</v>
      </c>
      <c r="N11" s="20">
        <v>74.290000000000006</v>
      </c>
      <c r="O11" s="20" t="s">
        <v>42</v>
      </c>
      <c r="P11" s="20" t="s">
        <v>53</v>
      </c>
    </row>
    <row r="12" spans="1:16" x14ac:dyDescent="0.3">
      <c r="M12" s="20">
        <v>4</v>
      </c>
      <c r="N12" s="20">
        <v>94.62</v>
      </c>
      <c r="O12" s="20" t="s">
        <v>33</v>
      </c>
      <c r="P12" s="20" t="s">
        <v>53</v>
      </c>
    </row>
    <row r="13" spans="1:16" x14ac:dyDescent="0.3">
      <c r="M13" s="20">
        <v>3</v>
      </c>
      <c r="N13" s="20">
        <v>94.57</v>
      </c>
      <c r="O13" s="20" t="s">
        <v>33</v>
      </c>
      <c r="P13" s="20" t="s">
        <v>70</v>
      </c>
    </row>
    <row r="14" spans="1:16" x14ac:dyDescent="0.3">
      <c r="M14" s="20">
        <v>0</v>
      </c>
      <c r="N14" s="20">
        <v>82.2</v>
      </c>
      <c r="O14" s="20" t="s">
        <v>47</v>
      </c>
      <c r="P14" s="20" t="s">
        <v>48</v>
      </c>
    </row>
    <row r="15" spans="1:16" x14ac:dyDescent="0.3">
      <c r="M15" s="20">
        <v>0</v>
      </c>
      <c r="N15" s="20">
        <v>54.93</v>
      </c>
      <c r="O15" s="20" t="s">
        <v>33</v>
      </c>
      <c r="P15" s="20" t="s">
        <v>48</v>
      </c>
    </row>
    <row r="16" spans="1:16" x14ac:dyDescent="0.3">
      <c r="M16" s="20">
        <v>4</v>
      </c>
      <c r="N16" s="20">
        <v>74.23</v>
      </c>
      <c r="O16" s="20" t="s">
        <v>47</v>
      </c>
      <c r="P16" s="20" t="s">
        <v>35</v>
      </c>
    </row>
    <row r="17" spans="1:16" x14ac:dyDescent="0.3">
      <c r="M17" s="20">
        <v>2</v>
      </c>
      <c r="N17" s="20">
        <v>87.67</v>
      </c>
      <c r="O17" s="20" t="s">
        <v>47</v>
      </c>
      <c r="P17" s="20" t="s">
        <v>35</v>
      </c>
    </row>
    <row r="18" spans="1:16" x14ac:dyDescent="0.3">
      <c r="M18" s="20">
        <v>4</v>
      </c>
      <c r="N18" s="20">
        <v>94.51</v>
      </c>
      <c r="O18" s="20" t="s">
        <v>33</v>
      </c>
      <c r="P18" s="20" t="s">
        <v>35</v>
      </c>
    </row>
    <row r="19" spans="1:16" x14ac:dyDescent="0.3">
      <c r="M19" s="20">
        <v>4</v>
      </c>
      <c r="N19" s="20">
        <v>68.790000000000006</v>
      </c>
      <c r="O19" s="20" t="s">
        <v>42</v>
      </c>
      <c r="P19" s="20" t="s">
        <v>48</v>
      </c>
    </row>
    <row r="20" spans="1:16" x14ac:dyDescent="0.3">
      <c r="M20" s="20">
        <v>4</v>
      </c>
      <c r="N20" s="20">
        <v>73.97</v>
      </c>
      <c r="O20" s="20" t="s">
        <v>33</v>
      </c>
      <c r="P20" s="20" t="s">
        <v>44</v>
      </c>
    </row>
    <row r="21" spans="1:16" x14ac:dyDescent="0.3">
      <c r="M21" s="20">
        <v>4</v>
      </c>
      <c r="N21" s="20">
        <v>81.72</v>
      </c>
      <c r="O21" s="20" t="s">
        <v>33</v>
      </c>
      <c r="P21" s="20" t="s">
        <v>53</v>
      </c>
    </row>
    <row r="22" spans="1:16" x14ac:dyDescent="0.3">
      <c r="A22" s="20"/>
      <c r="B22" s="20" t="s">
        <v>7</v>
      </c>
      <c r="C22" s="20" t="s">
        <v>9</v>
      </c>
      <c r="D22" s="20" t="s">
        <v>13</v>
      </c>
      <c r="E22" s="20" t="s">
        <v>22</v>
      </c>
      <c r="G22" s="4" t="s">
        <v>632</v>
      </c>
      <c r="H22" t="s">
        <v>656</v>
      </c>
      <c r="M22" s="20">
        <v>1</v>
      </c>
      <c r="N22" s="20">
        <v>87.38</v>
      </c>
      <c r="O22" s="20" t="s">
        <v>43</v>
      </c>
      <c r="P22" s="20" t="s">
        <v>44</v>
      </c>
    </row>
    <row r="23" spans="1:16" x14ac:dyDescent="0.3">
      <c r="A23" s="20" t="s">
        <v>657</v>
      </c>
      <c r="B23" s="20">
        <f>MIN(M2:M281)</f>
        <v>0</v>
      </c>
      <c r="C23" s="20">
        <f>MIN(N2:N281)</f>
        <v>50.01</v>
      </c>
      <c r="D23" s="20">
        <f>MIN(H23:H26)</f>
        <v>59</v>
      </c>
      <c r="E23" s="20">
        <f>MIN(H30:H35)</f>
        <v>33</v>
      </c>
      <c r="G23" s="5" t="s">
        <v>33</v>
      </c>
      <c r="H23">
        <v>72</v>
      </c>
      <c r="M23" s="20">
        <v>1</v>
      </c>
      <c r="N23" s="20">
        <v>54.8</v>
      </c>
      <c r="O23" s="20" t="s">
        <v>47</v>
      </c>
      <c r="P23" s="20" t="s">
        <v>70</v>
      </c>
    </row>
    <row r="24" spans="1:16" x14ac:dyDescent="0.3">
      <c r="A24" s="20" t="s">
        <v>658</v>
      </c>
      <c r="B24" s="20">
        <f>MAX(M2:M281)</f>
        <v>4</v>
      </c>
      <c r="C24" s="20">
        <f>MAX(N2:N281)</f>
        <v>94.97</v>
      </c>
      <c r="D24" s="20">
        <f>MAX(H23:H26)</f>
        <v>75</v>
      </c>
      <c r="E24" s="20">
        <f>MAX(H30:H35)</f>
        <v>59</v>
      </c>
      <c r="G24" s="5" t="s">
        <v>42</v>
      </c>
      <c r="H24">
        <v>74</v>
      </c>
      <c r="M24" s="20">
        <v>2</v>
      </c>
      <c r="N24" s="20">
        <v>54.76</v>
      </c>
      <c r="O24" s="20" t="s">
        <v>43</v>
      </c>
      <c r="P24" s="20" t="s">
        <v>48</v>
      </c>
    </row>
    <row r="25" spans="1:16" x14ac:dyDescent="0.3">
      <c r="A25" s="20" t="s">
        <v>627</v>
      </c>
      <c r="B25" s="20">
        <f>B24-B23</f>
        <v>4</v>
      </c>
      <c r="C25" s="20">
        <f t="shared" ref="C25" si="0">C24-C23</f>
        <v>44.96</v>
      </c>
      <c r="D25" s="20">
        <f>D24-D23</f>
        <v>16</v>
      </c>
      <c r="E25" s="20">
        <f>E24-E23</f>
        <v>26</v>
      </c>
      <c r="G25" s="5" t="s">
        <v>47</v>
      </c>
      <c r="H25">
        <v>75</v>
      </c>
      <c r="M25" s="20">
        <v>0</v>
      </c>
      <c r="N25" s="20">
        <v>81.45</v>
      </c>
      <c r="O25" s="20" t="s">
        <v>43</v>
      </c>
      <c r="P25" s="20" t="s">
        <v>53</v>
      </c>
    </row>
    <row r="26" spans="1:16" x14ac:dyDescent="0.3">
      <c r="A26" s="20" t="s">
        <v>659</v>
      </c>
      <c r="B26" s="22">
        <f>AVERAGE(M2:M281)</f>
        <v>1.8357142857142856</v>
      </c>
      <c r="C26" s="22">
        <f>AVERAGE(N2:N281)</f>
        <v>72.704035714285709</v>
      </c>
      <c r="D26" s="20" t="s">
        <v>660</v>
      </c>
      <c r="E26" s="20" t="s">
        <v>660</v>
      </c>
      <c r="G26" s="5" t="s">
        <v>43</v>
      </c>
      <c r="H26">
        <v>59</v>
      </c>
      <c r="M26" s="20">
        <v>4</v>
      </c>
      <c r="N26" s="20">
        <v>81.45</v>
      </c>
      <c r="O26" s="20" t="s">
        <v>42</v>
      </c>
      <c r="P26" s="20" t="s">
        <v>44</v>
      </c>
    </row>
    <row r="27" spans="1:16" x14ac:dyDescent="0.3">
      <c r="A27" s="20" t="s">
        <v>661</v>
      </c>
      <c r="B27" s="20">
        <f>COUNTIFS(M2:M281, "&gt;=2")</f>
        <v>153</v>
      </c>
      <c r="C27" s="20">
        <f>COUNTIFS(N2:N281, "&gt;=65")</f>
        <v>193</v>
      </c>
      <c r="D27" s="20" t="s">
        <v>660</v>
      </c>
      <c r="E27" s="20" t="s">
        <v>660</v>
      </c>
      <c r="G27" s="5" t="s">
        <v>633</v>
      </c>
      <c r="H27">
        <v>280</v>
      </c>
      <c r="M27" s="20">
        <v>0</v>
      </c>
      <c r="N27" s="20">
        <v>68.58</v>
      </c>
      <c r="O27" s="20" t="s">
        <v>42</v>
      </c>
      <c r="P27" s="20" t="s">
        <v>53</v>
      </c>
    </row>
    <row r="28" spans="1:16" x14ac:dyDescent="0.3">
      <c r="A28" s="20" t="s">
        <v>662</v>
      </c>
      <c r="B28" s="20">
        <f>COUNTIFS(M1:M281, "&lt;2")</f>
        <v>127</v>
      </c>
      <c r="C28" s="20">
        <f>COUNTIFS(N1:N281, "&lt;65")</f>
        <v>87</v>
      </c>
      <c r="D28" s="20" t="s">
        <v>660</v>
      </c>
      <c r="E28" s="20" t="s">
        <v>660</v>
      </c>
      <c r="M28" s="20">
        <v>0</v>
      </c>
      <c r="N28" s="20">
        <v>94.34</v>
      </c>
      <c r="O28" s="20" t="s">
        <v>47</v>
      </c>
      <c r="P28" s="20" t="s">
        <v>44</v>
      </c>
    </row>
    <row r="29" spans="1:16" x14ac:dyDescent="0.3">
      <c r="A29" s="20" t="s">
        <v>663</v>
      </c>
      <c r="B29" s="20" t="s">
        <v>664</v>
      </c>
      <c r="C29" s="20" t="s">
        <v>664</v>
      </c>
      <c r="D29" s="20" t="s">
        <v>665</v>
      </c>
      <c r="E29" s="20" t="s">
        <v>665</v>
      </c>
      <c r="G29" s="4" t="s">
        <v>632</v>
      </c>
      <c r="H29" t="s">
        <v>666</v>
      </c>
      <c r="M29" s="20">
        <v>2</v>
      </c>
      <c r="N29" s="20">
        <v>54.64</v>
      </c>
      <c r="O29" s="20" t="s">
        <v>47</v>
      </c>
      <c r="P29" s="20" t="s">
        <v>48</v>
      </c>
    </row>
    <row r="30" spans="1:16" x14ac:dyDescent="0.3">
      <c r="G30" s="5" t="s">
        <v>62</v>
      </c>
      <c r="H30">
        <v>33</v>
      </c>
      <c r="M30" s="20">
        <v>4</v>
      </c>
      <c r="N30" s="20">
        <v>87.38</v>
      </c>
      <c r="O30" s="20" t="s">
        <v>47</v>
      </c>
      <c r="P30" s="20" t="s">
        <v>62</v>
      </c>
    </row>
    <row r="31" spans="1:16" x14ac:dyDescent="0.3">
      <c r="G31" s="5" t="s">
        <v>48</v>
      </c>
      <c r="H31">
        <v>59</v>
      </c>
      <c r="M31" s="20">
        <v>4</v>
      </c>
      <c r="N31" s="20">
        <v>73.86</v>
      </c>
      <c r="O31" s="20" t="s">
        <v>33</v>
      </c>
      <c r="P31" s="20" t="s">
        <v>53</v>
      </c>
    </row>
    <row r="32" spans="1:16" x14ac:dyDescent="0.3">
      <c r="B32" s="20" t="s">
        <v>667</v>
      </c>
      <c r="C32" s="20" t="s">
        <v>668</v>
      </c>
      <c r="D32" s="20" t="s">
        <v>669</v>
      </c>
      <c r="E32" s="20" t="s">
        <v>670</v>
      </c>
      <c r="G32" s="5" t="s">
        <v>53</v>
      </c>
      <c r="H32">
        <v>59</v>
      </c>
      <c r="M32" s="20">
        <v>3</v>
      </c>
      <c r="N32" s="20">
        <v>87.18</v>
      </c>
      <c r="O32" s="20" t="s">
        <v>33</v>
      </c>
      <c r="P32" s="20" t="s">
        <v>62</v>
      </c>
    </row>
    <row r="33" spans="1:16" x14ac:dyDescent="0.3">
      <c r="B33">
        <v>0</v>
      </c>
      <c r="C33">
        <v>50</v>
      </c>
      <c r="D33">
        <v>50</v>
      </c>
      <c r="E33">
        <v>30</v>
      </c>
      <c r="G33" s="5" t="s">
        <v>35</v>
      </c>
      <c r="H33">
        <v>51</v>
      </c>
      <c r="M33" s="20">
        <v>0</v>
      </c>
      <c r="N33" s="20">
        <v>61.64</v>
      </c>
      <c r="O33" s="20" t="s">
        <v>43</v>
      </c>
      <c r="P33" s="20" t="s">
        <v>70</v>
      </c>
    </row>
    <row r="34" spans="1:16" x14ac:dyDescent="0.3">
      <c r="B34">
        <v>1</v>
      </c>
      <c r="C34">
        <v>60</v>
      </c>
      <c r="D34">
        <v>60</v>
      </c>
      <c r="E34">
        <v>40</v>
      </c>
      <c r="G34" s="5" t="s">
        <v>44</v>
      </c>
      <c r="H34">
        <v>42</v>
      </c>
      <c r="M34" s="20">
        <v>0</v>
      </c>
      <c r="N34" s="20">
        <v>61.37</v>
      </c>
      <c r="O34" s="20" t="s">
        <v>42</v>
      </c>
      <c r="P34" s="20" t="s">
        <v>48</v>
      </c>
    </row>
    <row r="35" spans="1:16" x14ac:dyDescent="0.3">
      <c r="B35">
        <v>2</v>
      </c>
      <c r="C35">
        <v>70</v>
      </c>
      <c r="D35">
        <v>70</v>
      </c>
      <c r="E35">
        <v>50</v>
      </c>
      <c r="G35" s="5" t="s">
        <v>70</v>
      </c>
      <c r="H35">
        <v>36</v>
      </c>
      <c r="M35" s="20">
        <v>1</v>
      </c>
      <c r="N35" s="20">
        <v>81.31</v>
      </c>
      <c r="O35" s="20" t="s">
        <v>33</v>
      </c>
      <c r="P35" s="20" t="s">
        <v>62</v>
      </c>
    </row>
    <row r="36" spans="1:16" x14ac:dyDescent="0.3">
      <c r="B36">
        <v>3</v>
      </c>
      <c r="C36">
        <v>80</v>
      </c>
      <c r="D36">
        <v>80</v>
      </c>
      <c r="E36">
        <v>60</v>
      </c>
      <c r="G36" s="5" t="s">
        <v>633</v>
      </c>
      <c r="H36">
        <v>280</v>
      </c>
      <c r="M36" s="20">
        <v>3</v>
      </c>
      <c r="N36" s="20">
        <v>68.239999999999995</v>
      </c>
      <c r="O36" s="20" t="s">
        <v>43</v>
      </c>
      <c r="P36" s="20" t="s">
        <v>48</v>
      </c>
    </row>
    <row r="37" spans="1:16" x14ac:dyDescent="0.3">
      <c r="B37">
        <v>4</v>
      </c>
      <c r="C37">
        <v>90</v>
      </c>
      <c r="M37" s="20">
        <v>1</v>
      </c>
      <c r="N37" s="20">
        <v>61.28</v>
      </c>
      <c r="O37" s="20" t="s">
        <v>33</v>
      </c>
      <c r="P37" s="20" t="s">
        <v>70</v>
      </c>
    </row>
    <row r="38" spans="1:16" x14ac:dyDescent="0.3">
      <c r="C38">
        <v>100</v>
      </c>
      <c r="M38" s="20">
        <v>1</v>
      </c>
      <c r="N38" s="20">
        <v>54.13</v>
      </c>
      <c r="O38" s="20" t="s">
        <v>47</v>
      </c>
      <c r="P38" s="20" t="s">
        <v>35</v>
      </c>
    </row>
    <row r="39" spans="1:16" x14ac:dyDescent="0.3">
      <c r="M39" s="20">
        <v>1</v>
      </c>
      <c r="N39" s="20">
        <v>87.13</v>
      </c>
      <c r="O39" s="20" t="s">
        <v>42</v>
      </c>
      <c r="P39" s="20" t="s">
        <v>48</v>
      </c>
    </row>
    <row r="40" spans="1:16" x14ac:dyDescent="0.3">
      <c r="M40" s="20">
        <v>2</v>
      </c>
      <c r="N40" s="20">
        <v>87.02</v>
      </c>
      <c r="O40" s="20" t="s">
        <v>47</v>
      </c>
      <c r="P40" s="20" t="s">
        <v>35</v>
      </c>
    </row>
    <row r="41" spans="1:16" ht="15" thickBot="1" x14ac:dyDescent="0.35">
      <c r="M41" s="20">
        <v>2</v>
      </c>
      <c r="N41" s="20">
        <v>81.19</v>
      </c>
      <c r="O41" s="20" t="s">
        <v>42</v>
      </c>
      <c r="P41" s="20" t="s">
        <v>44</v>
      </c>
    </row>
    <row r="42" spans="1:16" x14ac:dyDescent="0.3">
      <c r="A42" s="24" t="s">
        <v>667</v>
      </c>
      <c r="B42" s="24" t="s">
        <v>671</v>
      </c>
      <c r="M42" s="20">
        <v>1</v>
      </c>
      <c r="N42" s="20">
        <v>94.2</v>
      </c>
      <c r="O42" s="20" t="s">
        <v>43</v>
      </c>
      <c r="P42" s="20" t="s">
        <v>48</v>
      </c>
    </row>
    <row r="43" spans="1:16" x14ac:dyDescent="0.3">
      <c r="A43">
        <v>0</v>
      </c>
      <c r="B43">
        <v>68</v>
      </c>
      <c r="M43" s="20">
        <v>3</v>
      </c>
      <c r="N43" s="20">
        <v>94.13</v>
      </c>
      <c r="O43" s="20" t="s">
        <v>42</v>
      </c>
      <c r="P43" s="20" t="s">
        <v>48</v>
      </c>
    </row>
    <row r="44" spans="1:16" x14ac:dyDescent="0.3">
      <c r="A44">
        <v>1</v>
      </c>
      <c r="B44">
        <v>59</v>
      </c>
      <c r="M44" s="20">
        <v>0</v>
      </c>
      <c r="N44" s="20">
        <v>73.83</v>
      </c>
      <c r="O44" s="20" t="s">
        <v>33</v>
      </c>
      <c r="P44" s="20" t="s">
        <v>48</v>
      </c>
    </row>
    <row r="45" spans="1:16" x14ac:dyDescent="0.3">
      <c r="A45">
        <v>2</v>
      </c>
      <c r="B45">
        <v>58</v>
      </c>
      <c r="M45" s="20">
        <v>3</v>
      </c>
      <c r="N45" s="20">
        <v>81.099999999999994</v>
      </c>
      <c r="O45" s="20" t="s">
        <v>47</v>
      </c>
      <c r="P45" s="20" t="s">
        <v>48</v>
      </c>
    </row>
    <row r="46" spans="1:16" x14ac:dyDescent="0.3">
      <c r="A46">
        <v>3</v>
      </c>
      <c r="B46">
        <v>41</v>
      </c>
      <c r="M46" s="20">
        <v>4</v>
      </c>
      <c r="N46" s="20">
        <v>73.63</v>
      </c>
      <c r="O46" s="20" t="s">
        <v>33</v>
      </c>
      <c r="P46" s="20" t="s">
        <v>62</v>
      </c>
    </row>
    <row r="47" spans="1:16" x14ac:dyDescent="0.3">
      <c r="A47">
        <v>4</v>
      </c>
      <c r="B47">
        <v>54</v>
      </c>
      <c r="M47" s="20">
        <v>2</v>
      </c>
      <c r="N47" s="20">
        <v>93.85</v>
      </c>
      <c r="O47" s="20" t="s">
        <v>33</v>
      </c>
      <c r="P47" s="20" t="s">
        <v>53</v>
      </c>
    </row>
    <row r="48" spans="1:16" ht="15" thickBot="1" x14ac:dyDescent="0.35">
      <c r="A48" s="23" t="s">
        <v>672</v>
      </c>
      <c r="B48" s="23">
        <v>0</v>
      </c>
      <c r="M48" s="20">
        <v>0</v>
      </c>
      <c r="N48" s="20">
        <v>81.08</v>
      </c>
      <c r="O48" s="20" t="s">
        <v>47</v>
      </c>
      <c r="P48" s="20" t="s">
        <v>53</v>
      </c>
    </row>
    <row r="49" spans="1:16" x14ac:dyDescent="0.3">
      <c r="M49" s="20">
        <v>0</v>
      </c>
      <c r="N49" s="20">
        <v>80.739999999999995</v>
      </c>
      <c r="O49" s="20" t="s">
        <v>47</v>
      </c>
      <c r="P49" s="20" t="s">
        <v>70</v>
      </c>
    </row>
    <row r="50" spans="1:16" x14ac:dyDescent="0.3">
      <c r="M50" s="20">
        <v>4</v>
      </c>
      <c r="N50" s="20">
        <v>80.150000000000006</v>
      </c>
      <c r="O50" s="20" t="s">
        <v>33</v>
      </c>
      <c r="P50" s="20" t="s">
        <v>35</v>
      </c>
    </row>
    <row r="51" spans="1:16" x14ac:dyDescent="0.3">
      <c r="M51" s="20">
        <v>4</v>
      </c>
      <c r="N51" s="20">
        <v>93.55</v>
      </c>
      <c r="O51" s="20" t="s">
        <v>33</v>
      </c>
      <c r="P51" s="20" t="s">
        <v>53</v>
      </c>
    </row>
    <row r="52" spans="1:16" ht="15" thickBot="1" x14ac:dyDescent="0.35">
      <c r="M52" s="20">
        <v>1</v>
      </c>
      <c r="N52" s="20">
        <v>73.510000000000005</v>
      </c>
      <c r="O52" s="20" t="s">
        <v>43</v>
      </c>
      <c r="P52" s="20" t="s">
        <v>53</v>
      </c>
    </row>
    <row r="53" spans="1:16" x14ac:dyDescent="0.3">
      <c r="A53" s="24" t="s">
        <v>668</v>
      </c>
      <c r="B53" s="24" t="s">
        <v>671</v>
      </c>
      <c r="M53" s="20">
        <v>2</v>
      </c>
      <c r="N53" s="20">
        <v>73.510000000000005</v>
      </c>
      <c r="O53" s="20" t="s">
        <v>33</v>
      </c>
      <c r="P53" s="20" t="s">
        <v>44</v>
      </c>
    </row>
    <row r="54" spans="1:16" x14ac:dyDescent="0.3">
      <c r="A54">
        <v>50</v>
      </c>
      <c r="B54">
        <v>0</v>
      </c>
      <c r="M54" s="20">
        <v>2</v>
      </c>
      <c r="N54" s="20">
        <v>79.8</v>
      </c>
      <c r="O54" s="20" t="s">
        <v>47</v>
      </c>
      <c r="P54" s="20" t="s">
        <v>48</v>
      </c>
    </row>
    <row r="55" spans="1:16" x14ac:dyDescent="0.3">
      <c r="A55">
        <v>60</v>
      </c>
      <c r="B55">
        <v>65</v>
      </c>
      <c r="M55" s="20">
        <v>3</v>
      </c>
      <c r="N55" s="20">
        <v>61.04</v>
      </c>
      <c r="O55" s="20" t="s">
        <v>47</v>
      </c>
      <c r="P55" s="20" t="s">
        <v>48</v>
      </c>
    </row>
    <row r="56" spans="1:16" x14ac:dyDescent="0.3">
      <c r="A56">
        <v>70</v>
      </c>
      <c r="B56">
        <v>54</v>
      </c>
      <c r="M56" s="20">
        <v>1</v>
      </c>
      <c r="N56" s="20">
        <v>68.2</v>
      </c>
      <c r="O56" s="20" t="s">
        <v>33</v>
      </c>
      <c r="P56" s="20" t="s">
        <v>48</v>
      </c>
    </row>
    <row r="57" spans="1:16" x14ac:dyDescent="0.3">
      <c r="A57">
        <v>80</v>
      </c>
      <c r="B57">
        <v>63</v>
      </c>
      <c r="M57" s="20">
        <v>1</v>
      </c>
      <c r="N57" s="20">
        <v>93.3</v>
      </c>
      <c r="O57" s="20" t="s">
        <v>33</v>
      </c>
      <c r="P57" s="20" t="s">
        <v>70</v>
      </c>
    </row>
    <row r="58" spans="1:16" x14ac:dyDescent="0.3">
      <c r="A58">
        <v>90</v>
      </c>
      <c r="B58">
        <v>65</v>
      </c>
      <c r="M58" s="20">
        <v>1</v>
      </c>
      <c r="N58" s="20">
        <v>68.2</v>
      </c>
      <c r="O58" s="20" t="s">
        <v>33</v>
      </c>
      <c r="P58" s="20" t="s">
        <v>70</v>
      </c>
    </row>
    <row r="59" spans="1:16" ht="15" thickBot="1" x14ac:dyDescent="0.35">
      <c r="A59" s="23" t="s">
        <v>672</v>
      </c>
      <c r="B59" s="23">
        <v>33</v>
      </c>
      <c r="M59" s="20">
        <v>1</v>
      </c>
      <c r="N59" s="20">
        <v>68.11</v>
      </c>
      <c r="O59" s="20" t="s">
        <v>42</v>
      </c>
      <c r="P59" s="20" t="s">
        <v>44</v>
      </c>
    </row>
    <row r="60" spans="1:16" x14ac:dyDescent="0.3">
      <c r="M60" s="20">
        <v>2</v>
      </c>
      <c r="N60" s="20">
        <v>73.459999999999994</v>
      </c>
      <c r="O60" s="20" t="s">
        <v>42</v>
      </c>
      <c r="P60" s="20" t="s">
        <v>35</v>
      </c>
    </row>
    <row r="61" spans="1:16" x14ac:dyDescent="0.3">
      <c r="M61" s="20">
        <v>2</v>
      </c>
      <c r="N61" s="20">
        <v>73.459999999999994</v>
      </c>
      <c r="O61" s="20" t="s">
        <v>43</v>
      </c>
      <c r="P61" s="20" t="s">
        <v>53</v>
      </c>
    </row>
    <row r="62" spans="1:16" x14ac:dyDescent="0.3">
      <c r="M62" s="20">
        <v>1</v>
      </c>
      <c r="N62" s="20">
        <v>60.74</v>
      </c>
      <c r="O62" s="20" t="s">
        <v>47</v>
      </c>
      <c r="P62" s="20" t="s">
        <v>35</v>
      </c>
    </row>
    <row r="63" spans="1:16" x14ac:dyDescent="0.3">
      <c r="M63" s="20">
        <v>3</v>
      </c>
      <c r="N63" s="20">
        <v>68.069999999999993</v>
      </c>
      <c r="O63" s="20" t="s">
        <v>47</v>
      </c>
      <c r="P63" s="20" t="s">
        <v>48</v>
      </c>
    </row>
    <row r="64" spans="1:16" x14ac:dyDescent="0.3">
      <c r="M64" s="20">
        <v>0</v>
      </c>
      <c r="N64" s="20">
        <v>67.92</v>
      </c>
      <c r="O64" s="20" t="s">
        <v>47</v>
      </c>
      <c r="P64" s="20" t="s">
        <v>53</v>
      </c>
    </row>
    <row r="65" spans="13:16" x14ac:dyDescent="0.3">
      <c r="M65" s="20">
        <v>0</v>
      </c>
      <c r="N65" s="20">
        <v>79.77</v>
      </c>
      <c r="O65" s="20" t="s">
        <v>42</v>
      </c>
      <c r="P65" s="20" t="s">
        <v>48</v>
      </c>
    </row>
    <row r="66" spans="13:16" x14ac:dyDescent="0.3">
      <c r="M66" s="20">
        <v>3</v>
      </c>
      <c r="N66" s="20">
        <v>73.41</v>
      </c>
      <c r="O66" s="20" t="s">
        <v>33</v>
      </c>
      <c r="P66" s="20" t="s">
        <v>44</v>
      </c>
    </row>
    <row r="67" spans="13:16" x14ac:dyDescent="0.3">
      <c r="M67" s="20">
        <v>1</v>
      </c>
      <c r="N67" s="20">
        <v>67.849999999999994</v>
      </c>
      <c r="O67" s="20" t="s">
        <v>43</v>
      </c>
      <c r="P67" s="20" t="s">
        <v>44</v>
      </c>
    </row>
    <row r="68" spans="13:16" x14ac:dyDescent="0.3">
      <c r="M68" s="20">
        <v>2</v>
      </c>
      <c r="N68" s="20">
        <v>86.9</v>
      </c>
      <c r="O68" s="20" t="s">
        <v>33</v>
      </c>
      <c r="P68" s="20" t="s">
        <v>53</v>
      </c>
    </row>
    <row r="69" spans="13:16" x14ac:dyDescent="0.3">
      <c r="M69" s="20">
        <v>0</v>
      </c>
      <c r="N69" s="20">
        <v>60.38</v>
      </c>
      <c r="O69" s="20" t="s">
        <v>47</v>
      </c>
      <c r="P69" s="20" t="s">
        <v>44</v>
      </c>
    </row>
    <row r="70" spans="13:16" x14ac:dyDescent="0.3">
      <c r="M70" s="20">
        <v>4</v>
      </c>
      <c r="N70" s="20">
        <v>86.84</v>
      </c>
      <c r="O70" s="20" t="s">
        <v>43</v>
      </c>
      <c r="P70" s="20" t="s">
        <v>62</v>
      </c>
    </row>
    <row r="71" spans="13:16" x14ac:dyDescent="0.3">
      <c r="M71" s="20">
        <v>4</v>
      </c>
      <c r="N71" s="20">
        <v>86.68</v>
      </c>
      <c r="O71" s="20" t="s">
        <v>47</v>
      </c>
      <c r="P71" s="20" t="s">
        <v>53</v>
      </c>
    </row>
    <row r="72" spans="13:16" x14ac:dyDescent="0.3">
      <c r="M72" s="20">
        <v>3</v>
      </c>
      <c r="N72" s="20">
        <v>93.29</v>
      </c>
      <c r="O72" s="20" t="s">
        <v>43</v>
      </c>
      <c r="P72" s="20" t="s">
        <v>44</v>
      </c>
    </row>
    <row r="73" spans="13:16" x14ac:dyDescent="0.3">
      <c r="M73" s="20">
        <v>1</v>
      </c>
      <c r="N73" s="20">
        <v>93.26</v>
      </c>
      <c r="O73" s="20" t="s">
        <v>43</v>
      </c>
      <c r="P73" s="20" t="s">
        <v>48</v>
      </c>
    </row>
    <row r="74" spans="13:16" x14ac:dyDescent="0.3">
      <c r="M74" s="20">
        <v>0</v>
      </c>
      <c r="N74" s="20">
        <v>60.29</v>
      </c>
      <c r="O74" s="20" t="s">
        <v>43</v>
      </c>
      <c r="P74" s="20" t="s">
        <v>53</v>
      </c>
    </row>
    <row r="75" spans="13:16" x14ac:dyDescent="0.3">
      <c r="M75" s="20">
        <v>1</v>
      </c>
      <c r="N75" s="20">
        <v>86.33</v>
      </c>
      <c r="O75" s="20" t="s">
        <v>42</v>
      </c>
      <c r="P75" s="20" t="s">
        <v>48</v>
      </c>
    </row>
    <row r="76" spans="13:16" x14ac:dyDescent="0.3">
      <c r="M76" s="20">
        <v>0</v>
      </c>
      <c r="N76" s="20">
        <v>67.650000000000006</v>
      </c>
      <c r="O76" s="20" t="s">
        <v>43</v>
      </c>
      <c r="P76" s="20" t="s">
        <v>35</v>
      </c>
    </row>
    <row r="77" spans="13:16" x14ac:dyDescent="0.3">
      <c r="M77" s="20">
        <v>3</v>
      </c>
      <c r="N77" s="20">
        <v>73.319999999999993</v>
      </c>
      <c r="O77" s="20" t="s">
        <v>47</v>
      </c>
      <c r="P77" s="20" t="s">
        <v>35</v>
      </c>
    </row>
    <row r="78" spans="13:16" x14ac:dyDescent="0.3">
      <c r="M78" s="20">
        <v>3</v>
      </c>
      <c r="N78" s="20">
        <v>59.88</v>
      </c>
      <c r="O78" s="20" t="s">
        <v>47</v>
      </c>
      <c r="P78" s="20" t="s">
        <v>53</v>
      </c>
    </row>
    <row r="79" spans="13:16" x14ac:dyDescent="0.3">
      <c r="M79" s="20">
        <v>4</v>
      </c>
      <c r="N79" s="20">
        <v>79.260000000000005</v>
      </c>
      <c r="O79" s="20" t="s">
        <v>43</v>
      </c>
      <c r="P79" s="20" t="s">
        <v>70</v>
      </c>
    </row>
    <row r="80" spans="13:16" x14ac:dyDescent="0.3">
      <c r="M80" s="20">
        <v>1</v>
      </c>
      <c r="N80" s="20">
        <v>86.18</v>
      </c>
      <c r="O80" s="20" t="s">
        <v>33</v>
      </c>
      <c r="P80" s="20" t="s">
        <v>44</v>
      </c>
    </row>
    <row r="81" spans="13:16" x14ac:dyDescent="0.3">
      <c r="M81" s="20">
        <v>4</v>
      </c>
      <c r="N81" s="20">
        <v>59.81</v>
      </c>
      <c r="O81" s="20" t="s">
        <v>42</v>
      </c>
      <c r="P81" s="20" t="s">
        <v>48</v>
      </c>
    </row>
    <row r="82" spans="13:16" x14ac:dyDescent="0.3">
      <c r="M82" s="20">
        <v>1</v>
      </c>
      <c r="N82" s="20">
        <v>54.07</v>
      </c>
      <c r="O82" s="20" t="s">
        <v>33</v>
      </c>
      <c r="P82" s="20" t="s">
        <v>70</v>
      </c>
    </row>
    <row r="83" spans="13:16" x14ac:dyDescent="0.3">
      <c r="M83" s="20">
        <v>4</v>
      </c>
      <c r="N83" s="20">
        <v>53.98</v>
      </c>
      <c r="O83" s="20" t="s">
        <v>33</v>
      </c>
      <c r="P83" s="20" t="s">
        <v>53</v>
      </c>
    </row>
    <row r="84" spans="13:16" x14ac:dyDescent="0.3">
      <c r="M84" s="20">
        <v>2</v>
      </c>
      <c r="N84" s="20">
        <v>93.14</v>
      </c>
      <c r="O84" s="20" t="s">
        <v>47</v>
      </c>
      <c r="P84" s="20" t="s">
        <v>35</v>
      </c>
    </row>
    <row r="85" spans="13:16" x14ac:dyDescent="0.3">
      <c r="M85" s="20">
        <v>2</v>
      </c>
      <c r="N85" s="20">
        <v>73.22</v>
      </c>
      <c r="O85" s="20" t="s">
        <v>43</v>
      </c>
      <c r="P85" s="20" t="s">
        <v>48</v>
      </c>
    </row>
    <row r="86" spans="13:16" x14ac:dyDescent="0.3">
      <c r="M86" s="20">
        <v>2</v>
      </c>
      <c r="N86" s="20">
        <v>67.62</v>
      </c>
      <c r="O86" s="20" t="s">
        <v>33</v>
      </c>
      <c r="P86" s="20" t="s">
        <v>35</v>
      </c>
    </row>
    <row r="87" spans="13:16" x14ac:dyDescent="0.3">
      <c r="M87" s="20">
        <v>2</v>
      </c>
      <c r="N87" s="20">
        <v>73.19</v>
      </c>
      <c r="O87" s="20" t="s">
        <v>33</v>
      </c>
      <c r="P87" s="20" t="s">
        <v>62</v>
      </c>
    </row>
    <row r="88" spans="13:16" x14ac:dyDescent="0.3">
      <c r="M88" s="20">
        <v>0</v>
      </c>
      <c r="N88" s="20">
        <v>73.06</v>
      </c>
      <c r="O88" s="20" t="s">
        <v>47</v>
      </c>
      <c r="P88" s="20" t="s">
        <v>53</v>
      </c>
    </row>
    <row r="89" spans="13:16" x14ac:dyDescent="0.3">
      <c r="M89" s="20">
        <v>2</v>
      </c>
      <c r="N89" s="20">
        <v>72.41</v>
      </c>
      <c r="O89" s="20" t="s">
        <v>42</v>
      </c>
      <c r="P89" s="20" t="s">
        <v>44</v>
      </c>
    </row>
    <row r="90" spans="13:16" x14ac:dyDescent="0.3">
      <c r="M90" s="20">
        <v>3</v>
      </c>
      <c r="N90" s="20">
        <v>72.39</v>
      </c>
      <c r="O90" s="20" t="s">
        <v>33</v>
      </c>
      <c r="P90" s="20" t="s">
        <v>48</v>
      </c>
    </row>
    <row r="91" spans="13:16" x14ac:dyDescent="0.3">
      <c r="M91" s="20">
        <v>3</v>
      </c>
      <c r="N91" s="20">
        <v>79.099999999999994</v>
      </c>
      <c r="O91" s="20" t="s">
        <v>42</v>
      </c>
      <c r="P91" s="20" t="s">
        <v>44</v>
      </c>
    </row>
    <row r="92" spans="13:16" x14ac:dyDescent="0.3">
      <c r="M92" s="20">
        <v>0</v>
      </c>
      <c r="N92" s="20">
        <v>79.03</v>
      </c>
      <c r="O92" s="20" t="s">
        <v>47</v>
      </c>
      <c r="P92" s="20" t="s">
        <v>62</v>
      </c>
    </row>
    <row r="93" spans="13:16" x14ac:dyDescent="0.3">
      <c r="M93" s="20">
        <v>2</v>
      </c>
      <c r="N93" s="20">
        <v>93.12</v>
      </c>
      <c r="O93" s="20" t="s">
        <v>43</v>
      </c>
      <c r="P93" s="20" t="s">
        <v>44</v>
      </c>
    </row>
    <row r="94" spans="13:16" x14ac:dyDescent="0.3">
      <c r="M94" s="20">
        <v>2</v>
      </c>
      <c r="N94" s="20">
        <v>59.73</v>
      </c>
      <c r="O94" s="20" t="s">
        <v>42</v>
      </c>
      <c r="P94" s="20" t="s">
        <v>48</v>
      </c>
    </row>
    <row r="95" spans="13:16" x14ac:dyDescent="0.3">
      <c r="M95" s="20">
        <v>2</v>
      </c>
      <c r="N95" s="20">
        <v>53.9</v>
      </c>
      <c r="O95" s="20" t="s">
        <v>47</v>
      </c>
      <c r="P95" s="20" t="s">
        <v>53</v>
      </c>
    </row>
    <row r="96" spans="13:16" x14ac:dyDescent="0.3">
      <c r="M96" s="20">
        <v>4</v>
      </c>
      <c r="N96" s="20">
        <v>72.239999999999995</v>
      </c>
      <c r="O96" s="20" t="s">
        <v>43</v>
      </c>
      <c r="P96" s="20" t="s">
        <v>35</v>
      </c>
    </row>
    <row r="97" spans="13:16" x14ac:dyDescent="0.3">
      <c r="M97" s="20">
        <v>1</v>
      </c>
      <c r="N97" s="20">
        <v>93.08</v>
      </c>
      <c r="O97" s="20" t="s">
        <v>33</v>
      </c>
      <c r="P97" s="20" t="s">
        <v>62</v>
      </c>
    </row>
    <row r="98" spans="13:16" x14ac:dyDescent="0.3">
      <c r="M98" s="20">
        <v>4</v>
      </c>
      <c r="N98" s="20">
        <v>58.69</v>
      </c>
      <c r="O98" s="20" t="s">
        <v>42</v>
      </c>
      <c r="P98" s="20" t="s">
        <v>53</v>
      </c>
    </row>
    <row r="99" spans="13:16" x14ac:dyDescent="0.3">
      <c r="M99" s="20">
        <v>1</v>
      </c>
      <c r="N99" s="20">
        <v>53.78</v>
      </c>
      <c r="O99" s="20" t="s">
        <v>47</v>
      </c>
      <c r="P99" s="20" t="s">
        <v>53</v>
      </c>
    </row>
    <row r="100" spans="13:16" x14ac:dyDescent="0.3">
      <c r="M100" s="20">
        <v>2</v>
      </c>
      <c r="N100" s="20">
        <v>86.03</v>
      </c>
      <c r="O100" s="20" t="s">
        <v>43</v>
      </c>
      <c r="P100" s="20" t="s">
        <v>35</v>
      </c>
    </row>
    <row r="101" spans="13:16" x14ac:dyDescent="0.3">
      <c r="M101" s="20">
        <v>2</v>
      </c>
      <c r="N101" s="20">
        <v>67.599999999999994</v>
      </c>
      <c r="O101" s="20" t="s">
        <v>33</v>
      </c>
      <c r="P101" s="20" t="s">
        <v>35</v>
      </c>
    </row>
    <row r="102" spans="13:16" x14ac:dyDescent="0.3">
      <c r="M102" s="20">
        <v>4</v>
      </c>
      <c r="N102" s="20">
        <v>79</v>
      </c>
      <c r="O102" s="20" t="s">
        <v>33</v>
      </c>
      <c r="P102" s="20" t="s">
        <v>62</v>
      </c>
    </row>
    <row r="103" spans="13:16" x14ac:dyDescent="0.3">
      <c r="M103" s="20">
        <v>4</v>
      </c>
      <c r="N103" s="20">
        <v>85.91</v>
      </c>
      <c r="O103" s="20" t="s">
        <v>43</v>
      </c>
      <c r="P103" s="20" t="s">
        <v>35</v>
      </c>
    </row>
    <row r="104" spans="13:16" x14ac:dyDescent="0.3">
      <c r="M104" s="20">
        <v>1</v>
      </c>
      <c r="N104" s="20">
        <v>53.5</v>
      </c>
      <c r="O104" s="20" t="s">
        <v>47</v>
      </c>
      <c r="P104" s="20" t="s">
        <v>35</v>
      </c>
    </row>
    <row r="105" spans="13:16" x14ac:dyDescent="0.3">
      <c r="M105" s="20">
        <v>3</v>
      </c>
      <c r="N105" s="20">
        <v>85.79</v>
      </c>
      <c r="O105" s="20" t="s">
        <v>43</v>
      </c>
      <c r="P105" s="20" t="s">
        <v>48</v>
      </c>
    </row>
    <row r="106" spans="13:16" x14ac:dyDescent="0.3">
      <c r="M106" s="20">
        <v>1</v>
      </c>
      <c r="N106" s="20">
        <v>67.28</v>
      </c>
      <c r="O106" s="20" t="s">
        <v>43</v>
      </c>
      <c r="P106" s="20" t="s">
        <v>62</v>
      </c>
    </row>
    <row r="107" spans="13:16" x14ac:dyDescent="0.3">
      <c r="M107" s="20">
        <v>4</v>
      </c>
      <c r="N107" s="20">
        <v>93.04</v>
      </c>
      <c r="O107" s="20" t="s">
        <v>43</v>
      </c>
      <c r="P107" s="20" t="s">
        <v>70</v>
      </c>
    </row>
    <row r="108" spans="13:16" x14ac:dyDescent="0.3">
      <c r="M108" s="20">
        <v>0</v>
      </c>
      <c r="N108" s="20">
        <v>53.42</v>
      </c>
      <c r="O108" s="20" t="s">
        <v>43</v>
      </c>
      <c r="P108" s="20" t="s">
        <v>70</v>
      </c>
    </row>
    <row r="109" spans="13:16" x14ac:dyDescent="0.3">
      <c r="M109" s="20">
        <v>0</v>
      </c>
      <c r="N109" s="20">
        <v>85.55</v>
      </c>
      <c r="O109" s="20" t="s">
        <v>47</v>
      </c>
      <c r="P109" s="20" t="s">
        <v>62</v>
      </c>
    </row>
    <row r="110" spans="13:16" x14ac:dyDescent="0.3">
      <c r="M110" s="20">
        <v>4</v>
      </c>
      <c r="N110" s="20">
        <v>78.75</v>
      </c>
      <c r="O110" s="20" t="s">
        <v>33</v>
      </c>
      <c r="P110" s="20" t="s">
        <v>44</v>
      </c>
    </row>
    <row r="111" spans="13:16" x14ac:dyDescent="0.3">
      <c r="M111" s="20">
        <v>0</v>
      </c>
      <c r="N111" s="20">
        <v>78.680000000000007</v>
      </c>
      <c r="O111" s="20" t="s">
        <v>43</v>
      </c>
      <c r="P111" s="20" t="s">
        <v>70</v>
      </c>
    </row>
    <row r="112" spans="13:16" x14ac:dyDescent="0.3">
      <c r="M112" s="20">
        <v>3</v>
      </c>
      <c r="N112" s="20">
        <v>58.67</v>
      </c>
      <c r="O112" s="20" t="s">
        <v>42</v>
      </c>
      <c r="P112" s="20" t="s">
        <v>62</v>
      </c>
    </row>
    <row r="113" spans="13:16" x14ac:dyDescent="0.3">
      <c r="M113" s="20">
        <v>1</v>
      </c>
      <c r="N113" s="20">
        <v>85.5</v>
      </c>
      <c r="O113" s="20" t="s">
        <v>42</v>
      </c>
      <c r="P113" s="20" t="s">
        <v>44</v>
      </c>
    </row>
    <row r="114" spans="13:16" x14ac:dyDescent="0.3">
      <c r="M114" s="20">
        <v>1</v>
      </c>
      <c r="N114" s="20">
        <v>72.099999999999994</v>
      </c>
      <c r="O114" s="20" t="s">
        <v>33</v>
      </c>
      <c r="P114" s="20" t="s">
        <v>48</v>
      </c>
    </row>
    <row r="115" spans="13:16" x14ac:dyDescent="0.3">
      <c r="M115" s="20">
        <v>0</v>
      </c>
      <c r="N115" s="20">
        <v>85.09</v>
      </c>
      <c r="O115" s="20" t="s">
        <v>43</v>
      </c>
      <c r="P115" s="20" t="s">
        <v>44</v>
      </c>
    </row>
    <row r="116" spans="13:16" x14ac:dyDescent="0.3">
      <c r="M116" s="20">
        <v>1</v>
      </c>
      <c r="N116" s="20">
        <v>92.99</v>
      </c>
      <c r="O116" s="20" t="s">
        <v>47</v>
      </c>
      <c r="P116" s="20" t="s">
        <v>53</v>
      </c>
    </row>
    <row r="117" spans="13:16" x14ac:dyDescent="0.3">
      <c r="M117" s="20">
        <v>4</v>
      </c>
      <c r="N117" s="20">
        <v>53.15</v>
      </c>
      <c r="O117" s="20" t="s">
        <v>43</v>
      </c>
      <c r="P117" s="20" t="s">
        <v>44</v>
      </c>
    </row>
    <row r="118" spans="13:16" x14ac:dyDescent="0.3">
      <c r="M118" s="20">
        <v>2</v>
      </c>
      <c r="N118" s="20">
        <v>53.07</v>
      </c>
      <c r="O118" s="20" t="s">
        <v>43</v>
      </c>
      <c r="P118" s="20" t="s">
        <v>48</v>
      </c>
    </row>
    <row r="119" spans="13:16" x14ac:dyDescent="0.3">
      <c r="M119" s="20">
        <v>0</v>
      </c>
      <c r="N119" s="20">
        <v>92.93</v>
      </c>
      <c r="O119" s="20" t="s">
        <v>33</v>
      </c>
      <c r="P119" s="20" t="s">
        <v>35</v>
      </c>
    </row>
    <row r="120" spans="13:16" x14ac:dyDescent="0.3">
      <c r="M120" s="20">
        <v>1</v>
      </c>
      <c r="N120" s="20">
        <v>84.82</v>
      </c>
      <c r="O120" s="20" t="s">
        <v>33</v>
      </c>
      <c r="P120" s="20" t="s">
        <v>70</v>
      </c>
    </row>
    <row r="121" spans="13:16" x14ac:dyDescent="0.3">
      <c r="M121" s="20">
        <v>0</v>
      </c>
      <c r="N121" s="20">
        <v>92.72</v>
      </c>
      <c r="O121" s="20" t="s">
        <v>43</v>
      </c>
      <c r="P121" s="20" t="s">
        <v>48</v>
      </c>
    </row>
    <row r="122" spans="13:16" x14ac:dyDescent="0.3">
      <c r="M122" s="20">
        <v>0</v>
      </c>
      <c r="N122" s="20">
        <v>67.28</v>
      </c>
      <c r="O122" s="20" t="s">
        <v>42</v>
      </c>
      <c r="P122" s="20" t="s">
        <v>44</v>
      </c>
    </row>
    <row r="123" spans="13:16" x14ac:dyDescent="0.3">
      <c r="M123" s="20">
        <v>2</v>
      </c>
      <c r="N123" s="20">
        <v>91.97</v>
      </c>
      <c r="O123" s="20" t="s">
        <v>42</v>
      </c>
      <c r="P123" s="20" t="s">
        <v>53</v>
      </c>
    </row>
    <row r="124" spans="13:16" x14ac:dyDescent="0.3">
      <c r="M124" s="20">
        <v>4</v>
      </c>
      <c r="N124" s="20">
        <v>78.489999999999995</v>
      </c>
      <c r="O124" s="20" t="s">
        <v>42</v>
      </c>
      <c r="P124" s="20" t="s">
        <v>62</v>
      </c>
    </row>
    <row r="125" spans="13:16" x14ac:dyDescent="0.3">
      <c r="M125" s="20">
        <v>0</v>
      </c>
      <c r="N125" s="20">
        <v>91.92</v>
      </c>
      <c r="O125" s="20" t="s">
        <v>42</v>
      </c>
      <c r="P125" s="20" t="s">
        <v>35</v>
      </c>
    </row>
    <row r="126" spans="13:16" x14ac:dyDescent="0.3">
      <c r="M126" s="20">
        <v>1</v>
      </c>
      <c r="N126" s="20">
        <v>53.02</v>
      </c>
      <c r="O126" s="20" t="s">
        <v>47</v>
      </c>
      <c r="P126" s="20" t="s">
        <v>35</v>
      </c>
    </row>
    <row r="127" spans="13:16" x14ac:dyDescent="0.3">
      <c r="M127" s="20">
        <v>3</v>
      </c>
      <c r="N127" s="20">
        <v>78.34</v>
      </c>
      <c r="O127" s="20" t="s">
        <v>33</v>
      </c>
      <c r="P127" s="20" t="s">
        <v>44</v>
      </c>
    </row>
    <row r="128" spans="13:16" x14ac:dyDescent="0.3">
      <c r="M128" s="20">
        <v>0</v>
      </c>
      <c r="N128" s="20">
        <v>52.92</v>
      </c>
      <c r="O128" s="20" t="s">
        <v>42</v>
      </c>
      <c r="P128" s="20" t="s">
        <v>53</v>
      </c>
    </row>
    <row r="129" spans="13:16" x14ac:dyDescent="0.3">
      <c r="M129" s="20">
        <v>0</v>
      </c>
      <c r="N129" s="20">
        <v>58.51</v>
      </c>
      <c r="O129" s="20" t="s">
        <v>47</v>
      </c>
      <c r="P129" s="20" t="s">
        <v>44</v>
      </c>
    </row>
    <row r="130" spans="13:16" x14ac:dyDescent="0.3">
      <c r="M130" s="20">
        <v>2</v>
      </c>
      <c r="N130" s="20">
        <v>71.819999999999993</v>
      </c>
      <c r="O130" s="20" t="s">
        <v>43</v>
      </c>
      <c r="P130" s="20" t="s">
        <v>62</v>
      </c>
    </row>
    <row r="131" spans="13:16" x14ac:dyDescent="0.3">
      <c r="M131" s="20">
        <v>4</v>
      </c>
      <c r="N131" s="20">
        <v>52.77</v>
      </c>
      <c r="O131" s="20" t="s">
        <v>33</v>
      </c>
      <c r="P131" s="20" t="s">
        <v>70</v>
      </c>
    </row>
    <row r="132" spans="13:16" x14ac:dyDescent="0.3">
      <c r="M132" s="20">
        <v>3</v>
      </c>
      <c r="N132" s="20">
        <v>78.05</v>
      </c>
      <c r="O132" s="20" t="s">
        <v>33</v>
      </c>
      <c r="P132" s="20" t="s">
        <v>48</v>
      </c>
    </row>
    <row r="133" spans="13:16" x14ac:dyDescent="0.3">
      <c r="M133" s="20">
        <v>1</v>
      </c>
      <c r="N133" s="20">
        <v>58.35</v>
      </c>
      <c r="O133" s="20" t="s">
        <v>47</v>
      </c>
      <c r="P133" s="20" t="s">
        <v>44</v>
      </c>
    </row>
    <row r="134" spans="13:16" x14ac:dyDescent="0.3">
      <c r="M134" s="20">
        <v>3</v>
      </c>
      <c r="N134" s="20">
        <v>52.47</v>
      </c>
      <c r="O134" s="20" t="s">
        <v>47</v>
      </c>
      <c r="P134" s="20" t="s">
        <v>48</v>
      </c>
    </row>
    <row r="135" spans="13:16" x14ac:dyDescent="0.3">
      <c r="M135" s="20">
        <v>1</v>
      </c>
      <c r="N135" s="20">
        <v>66.95</v>
      </c>
      <c r="O135" s="20" t="s">
        <v>42</v>
      </c>
      <c r="P135" s="20" t="s">
        <v>35</v>
      </c>
    </row>
    <row r="136" spans="13:16" x14ac:dyDescent="0.3">
      <c r="M136" s="20">
        <v>4</v>
      </c>
      <c r="N136" s="20">
        <v>91.85</v>
      </c>
      <c r="O136" s="20" t="s">
        <v>42</v>
      </c>
      <c r="P136" s="20" t="s">
        <v>70</v>
      </c>
    </row>
    <row r="137" spans="13:16" x14ac:dyDescent="0.3">
      <c r="M137" s="20">
        <v>1</v>
      </c>
      <c r="N137" s="20">
        <v>71.77</v>
      </c>
      <c r="O137" s="20" t="s">
        <v>47</v>
      </c>
      <c r="P137" s="20" t="s">
        <v>62</v>
      </c>
    </row>
    <row r="138" spans="13:16" x14ac:dyDescent="0.3">
      <c r="M138" s="20">
        <v>2</v>
      </c>
      <c r="N138" s="20">
        <v>52.37</v>
      </c>
      <c r="O138" s="20" t="s">
        <v>47</v>
      </c>
      <c r="P138" s="20" t="s">
        <v>35</v>
      </c>
    </row>
    <row r="139" spans="13:16" x14ac:dyDescent="0.3">
      <c r="M139" s="20">
        <v>2</v>
      </c>
      <c r="N139" s="20">
        <v>58.3</v>
      </c>
      <c r="O139" s="20" t="s">
        <v>33</v>
      </c>
      <c r="P139" s="20" t="s">
        <v>53</v>
      </c>
    </row>
    <row r="140" spans="13:16" x14ac:dyDescent="0.3">
      <c r="M140" s="20">
        <v>2</v>
      </c>
      <c r="N140" s="20">
        <v>66.41</v>
      </c>
      <c r="O140" s="20" t="s">
        <v>47</v>
      </c>
      <c r="P140" s="20" t="s">
        <v>44</v>
      </c>
    </row>
    <row r="141" spans="13:16" x14ac:dyDescent="0.3">
      <c r="M141" s="20">
        <v>2</v>
      </c>
      <c r="N141" s="20">
        <v>84.69</v>
      </c>
      <c r="O141" s="20" t="s">
        <v>47</v>
      </c>
      <c r="P141" s="20" t="s">
        <v>35</v>
      </c>
    </row>
    <row r="142" spans="13:16" x14ac:dyDescent="0.3">
      <c r="M142" s="20">
        <v>1</v>
      </c>
      <c r="N142" s="20">
        <v>58.19</v>
      </c>
      <c r="O142" s="20" t="s">
        <v>42</v>
      </c>
      <c r="P142" s="20" t="s">
        <v>48</v>
      </c>
    </row>
    <row r="143" spans="13:16" x14ac:dyDescent="0.3">
      <c r="M143" s="20">
        <v>4</v>
      </c>
      <c r="N143" s="20">
        <v>91.2</v>
      </c>
      <c r="O143" s="20" t="s">
        <v>33</v>
      </c>
      <c r="P143" s="20" t="s">
        <v>70</v>
      </c>
    </row>
    <row r="144" spans="13:16" x14ac:dyDescent="0.3">
      <c r="M144" s="20">
        <v>1</v>
      </c>
      <c r="N144" s="20">
        <v>58.08</v>
      </c>
      <c r="O144" s="20" t="s">
        <v>47</v>
      </c>
      <c r="P144" s="20" t="s">
        <v>35</v>
      </c>
    </row>
    <row r="145" spans="13:16" x14ac:dyDescent="0.3">
      <c r="M145" s="20">
        <v>1</v>
      </c>
      <c r="N145" s="20">
        <v>66.34</v>
      </c>
      <c r="O145" s="20" t="s">
        <v>42</v>
      </c>
      <c r="P145" s="20" t="s">
        <v>53</v>
      </c>
    </row>
    <row r="146" spans="13:16" x14ac:dyDescent="0.3">
      <c r="M146" s="20">
        <v>2</v>
      </c>
      <c r="N146" s="20">
        <v>57.82</v>
      </c>
      <c r="O146" s="20" t="s">
        <v>42</v>
      </c>
      <c r="P146" s="20" t="s">
        <v>53</v>
      </c>
    </row>
    <row r="147" spans="13:16" x14ac:dyDescent="0.3">
      <c r="M147" s="20">
        <v>2</v>
      </c>
      <c r="N147" s="20">
        <v>66.319999999999993</v>
      </c>
      <c r="O147" s="20" t="s">
        <v>42</v>
      </c>
      <c r="P147" s="20" t="s">
        <v>35</v>
      </c>
    </row>
    <row r="148" spans="13:16" x14ac:dyDescent="0.3">
      <c r="M148" s="20">
        <v>0</v>
      </c>
      <c r="N148" s="20">
        <v>52.32</v>
      </c>
      <c r="O148" s="20" t="s">
        <v>47</v>
      </c>
      <c r="P148" s="20" t="s">
        <v>53</v>
      </c>
    </row>
    <row r="149" spans="13:16" x14ac:dyDescent="0.3">
      <c r="M149" s="20">
        <v>4</v>
      </c>
      <c r="N149" s="20">
        <v>65.92</v>
      </c>
      <c r="O149" s="20" t="s">
        <v>42</v>
      </c>
      <c r="P149" s="20" t="s">
        <v>62</v>
      </c>
    </row>
    <row r="150" spans="13:16" x14ac:dyDescent="0.3">
      <c r="M150" s="20">
        <v>3</v>
      </c>
      <c r="N150" s="20">
        <v>65.819999999999993</v>
      </c>
      <c r="O150" s="20" t="s">
        <v>47</v>
      </c>
      <c r="P150" s="20" t="s">
        <v>35</v>
      </c>
    </row>
    <row r="151" spans="13:16" x14ac:dyDescent="0.3">
      <c r="M151" s="20">
        <v>1</v>
      </c>
      <c r="N151" s="20">
        <v>71.650000000000006</v>
      </c>
      <c r="O151" s="20" t="s">
        <v>47</v>
      </c>
      <c r="P151" s="20" t="s">
        <v>70</v>
      </c>
    </row>
    <row r="152" spans="13:16" x14ac:dyDescent="0.3">
      <c r="M152" s="20">
        <v>0</v>
      </c>
      <c r="N152" s="20">
        <v>65.53</v>
      </c>
      <c r="O152" s="20" t="s">
        <v>33</v>
      </c>
      <c r="P152" s="20" t="s">
        <v>53</v>
      </c>
    </row>
    <row r="153" spans="13:16" x14ac:dyDescent="0.3">
      <c r="M153" s="20">
        <v>0</v>
      </c>
      <c r="N153" s="20">
        <v>65.5</v>
      </c>
      <c r="O153" s="20" t="s">
        <v>47</v>
      </c>
      <c r="P153" s="20" t="s">
        <v>48</v>
      </c>
    </row>
    <row r="154" spans="13:16" x14ac:dyDescent="0.3">
      <c r="M154" s="20">
        <v>1</v>
      </c>
      <c r="N154" s="20">
        <v>84.69</v>
      </c>
      <c r="O154" s="20" t="s">
        <v>43</v>
      </c>
      <c r="P154" s="20" t="s">
        <v>44</v>
      </c>
    </row>
    <row r="155" spans="13:16" x14ac:dyDescent="0.3">
      <c r="M155" s="20">
        <v>0</v>
      </c>
      <c r="N155" s="20">
        <v>52.2</v>
      </c>
      <c r="O155" s="20" t="s">
        <v>43</v>
      </c>
      <c r="P155" s="20" t="s">
        <v>53</v>
      </c>
    </row>
    <row r="156" spans="13:16" x14ac:dyDescent="0.3">
      <c r="M156" s="20">
        <v>0</v>
      </c>
      <c r="N156" s="20">
        <v>90.97</v>
      </c>
      <c r="O156" s="20" t="s">
        <v>33</v>
      </c>
      <c r="P156" s="20" t="s">
        <v>48</v>
      </c>
    </row>
    <row r="157" spans="13:16" x14ac:dyDescent="0.3">
      <c r="M157" s="20">
        <v>0</v>
      </c>
      <c r="N157" s="20">
        <v>71.59</v>
      </c>
      <c r="O157" s="20" t="s">
        <v>47</v>
      </c>
      <c r="P157" s="20" t="s">
        <v>44</v>
      </c>
    </row>
    <row r="158" spans="13:16" x14ac:dyDescent="0.3">
      <c r="M158" s="20">
        <v>4</v>
      </c>
      <c r="N158" s="20">
        <v>84.69</v>
      </c>
      <c r="O158" s="20" t="s">
        <v>42</v>
      </c>
      <c r="P158" s="20" t="s">
        <v>48</v>
      </c>
    </row>
    <row r="159" spans="13:16" x14ac:dyDescent="0.3">
      <c r="M159" s="20">
        <v>3</v>
      </c>
      <c r="N159" s="20">
        <v>78.03</v>
      </c>
      <c r="O159" s="20" t="s">
        <v>33</v>
      </c>
      <c r="P159" s="20" t="s">
        <v>48</v>
      </c>
    </row>
    <row r="160" spans="13:16" x14ac:dyDescent="0.3">
      <c r="M160" s="20">
        <v>0</v>
      </c>
      <c r="N160" s="20">
        <v>52.11</v>
      </c>
      <c r="O160" s="20" t="s">
        <v>33</v>
      </c>
      <c r="P160" s="20" t="s">
        <v>35</v>
      </c>
    </row>
    <row r="161" spans="13:16" x14ac:dyDescent="0.3">
      <c r="M161" s="20">
        <v>3</v>
      </c>
      <c r="N161" s="20">
        <v>52.03</v>
      </c>
      <c r="O161" s="20" t="s">
        <v>47</v>
      </c>
      <c r="P161" s="20" t="s">
        <v>35</v>
      </c>
    </row>
    <row r="162" spans="13:16" x14ac:dyDescent="0.3">
      <c r="M162" s="20">
        <v>1</v>
      </c>
      <c r="N162" s="20">
        <v>77.47</v>
      </c>
      <c r="O162" s="20" t="s">
        <v>43</v>
      </c>
      <c r="P162" s="20" t="s">
        <v>70</v>
      </c>
    </row>
    <row r="163" spans="13:16" x14ac:dyDescent="0.3">
      <c r="M163" s="20">
        <v>2</v>
      </c>
      <c r="N163" s="20">
        <v>90.89</v>
      </c>
      <c r="O163" s="20" t="s">
        <v>47</v>
      </c>
      <c r="P163" s="20" t="s">
        <v>48</v>
      </c>
    </row>
    <row r="164" spans="13:16" x14ac:dyDescent="0.3">
      <c r="M164" s="20">
        <v>0</v>
      </c>
      <c r="N164" s="20">
        <v>65.14</v>
      </c>
      <c r="O164" s="20" t="s">
        <v>47</v>
      </c>
      <c r="P164" s="20" t="s">
        <v>62</v>
      </c>
    </row>
    <row r="165" spans="13:16" x14ac:dyDescent="0.3">
      <c r="M165" s="20">
        <v>4</v>
      </c>
      <c r="N165" s="20">
        <v>84.16</v>
      </c>
      <c r="O165" s="20" t="s">
        <v>33</v>
      </c>
      <c r="P165" s="20" t="s">
        <v>35</v>
      </c>
    </row>
    <row r="166" spans="13:16" x14ac:dyDescent="0.3">
      <c r="M166" s="20">
        <v>1</v>
      </c>
      <c r="N166" s="20">
        <v>57.29</v>
      </c>
      <c r="O166" s="20" t="s">
        <v>33</v>
      </c>
      <c r="P166" s="20" t="s">
        <v>48</v>
      </c>
    </row>
    <row r="167" spans="13:16" x14ac:dyDescent="0.3">
      <c r="M167" s="20">
        <v>3</v>
      </c>
      <c r="N167" s="20">
        <v>71.45</v>
      </c>
      <c r="O167" s="20" t="s">
        <v>47</v>
      </c>
      <c r="P167" s="20" t="s">
        <v>44</v>
      </c>
    </row>
    <row r="168" spans="13:16" x14ac:dyDescent="0.3">
      <c r="M168" s="20">
        <v>1</v>
      </c>
      <c r="N168" s="20">
        <v>57.22</v>
      </c>
      <c r="O168" s="20" t="s">
        <v>33</v>
      </c>
      <c r="P168" s="20" t="s">
        <v>44</v>
      </c>
    </row>
    <row r="169" spans="13:16" x14ac:dyDescent="0.3">
      <c r="M169" s="20">
        <v>0</v>
      </c>
      <c r="N169" s="20">
        <v>77.040000000000006</v>
      </c>
      <c r="O169" s="20" t="s">
        <v>47</v>
      </c>
      <c r="P169" s="20" t="s">
        <v>62</v>
      </c>
    </row>
    <row r="170" spans="13:16" x14ac:dyDescent="0.3">
      <c r="M170" s="20">
        <v>0</v>
      </c>
      <c r="N170" s="20">
        <v>52</v>
      </c>
      <c r="O170" s="20" t="s">
        <v>42</v>
      </c>
      <c r="P170" s="20" t="s">
        <v>70</v>
      </c>
    </row>
    <row r="171" spans="13:16" x14ac:dyDescent="0.3">
      <c r="M171" s="20">
        <v>2</v>
      </c>
      <c r="N171" s="20">
        <v>90.79</v>
      </c>
      <c r="O171" s="20" t="s">
        <v>43</v>
      </c>
      <c r="P171" s="20" t="s">
        <v>62</v>
      </c>
    </row>
    <row r="172" spans="13:16" x14ac:dyDescent="0.3">
      <c r="M172" s="20">
        <v>1</v>
      </c>
      <c r="N172" s="20">
        <v>51.99</v>
      </c>
      <c r="O172" s="20" t="s">
        <v>47</v>
      </c>
      <c r="P172" s="20" t="s">
        <v>62</v>
      </c>
    </row>
    <row r="173" spans="13:16" x14ac:dyDescent="0.3">
      <c r="M173" s="20">
        <v>0</v>
      </c>
      <c r="N173" s="20">
        <v>71.34</v>
      </c>
      <c r="O173" s="20" t="s">
        <v>33</v>
      </c>
      <c r="P173" s="20" t="s">
        <v>35</v>
      </c>
    </row>
    <row r="174" spans="13:16" x14ac:dyDescent="0.3">
      <c r="M174" s="20">
        <v>4</v>
      </c>
      <c r="N174" s="20">
        <v>51.69</v>
      </c>
      <c r="O174" s="20" t="s">
        <v>43</v>
      </c>
      <c r="P174" s="20" t="s">
        <v>35</v>
      </c>
    </row>
    <row r="175" spans="13:16" x14ac:dyDescent="0.3">
      <c r="M175" s="20">
        <v>3</v>
      </c>
      <c r="N175" s="20">
        <v>51.65</v>
      </c>
      <c r="O175" s="20" t="s">
        <v>47</v>
      </c>
      <c r="P175" s="20" t="s">
        <v>53</v>
      </c>
    </row>
    <row r="176" spans="13:16" x14ac:dyDescent="0.3">
      <c r="M176" s="20">
        <v>1</v>
      </c>
      <c r="N176" s="20">
        <v>71.290000000000006</v>
      </c>
      <c r="O176" s="20" t="s">
        <v>33</v>
      </c>
      <c r="P176" s="20" t="s">
        <v>44</v>
      </c>
    </row>
    <row r="177" spans="13:16" x14ac:dyDescent="0.3">
      <c r="M177" s="20">
        <v>1</v>
      </c>
      <c r="N177" s="20">
        <v>84.13</v>
      </c>
      <c r="O177" s="20" t="s">
        <v>43</v>
      </c>
      <c r="P177" s="20" t="s">
        <v>53</v>
      </c>
    </row>
    <row r="178" spans="13:16" x14ac:dyDescent="0.3">
      <c r="M178" s="20">
        <v>2</v>
      </c>
      <c r="N178" s="20">
        <v>84.05</v>
      </c>
      <c r="O178" s="20" t="s">
        <v>43</v>
      </c>
      <c r="P178" s="20" t="s">
        <v>62</v>
      </c>
    </row>
    <row r="179" spans="13:16" x14ac:dyDescent="0.3">
      <c r="M179" s="20">
        <v>2</v>
      </c>
      <c r="N179" s="20">
        <v>71.2</v>
      </c>
      <c r="O179" s="20" t="s">
        <v>33</v>
      </c>
      <c r="P179" s="20" t="s">
        <v>62</v>
      </c>
    </row>
    <row r="180" spans="13:16" x14ac:dyDescent="0.3">
      <c r="M180" s="20">
        <v>4</v>
      </c>
      <c r="N180" s="20">
        <v>90.67</v>
      </c>
      <c r="O180" s="20" t="s">
        <v>47</v>
      </c>
      <c r="P180" s="20" t="s">
        <v>70</v>
      </c>
    </row>
    <row r="181" spans="13:16" x14ac:dyDescent="0.3">
      <c r="M181" s="20">
        <v>4</v>
      </c>
      <c r="N181" s="20">
        <v>76.92</v>
      </c>
      <c r="O181" s="20" t="s">
        <v>42</v>
      </c>
      <c r="P181" s="20" t="s">
        <v>48</v>
      </c>
    </row>
    <row r="182" spans="13:16" x14ac:dyDescent="0.3">
      <c r="M182" s="20">
        <v>0</v>
      </c>
      <c r="N182" s="20">
        <v>51.59</v>
      </c>
      <c r="O182" s="20" t="s">
        <v>47</v>
      </c>
      <c r="P182" s="20" t="s">
        <v>44</v>
      </c>
    </row>
    <row r="183" spans="13:16" x14ac:dyDescent="0.3">
      <c r="M183" s="20">
        <v>0</v>
      </c>
      <c r="N183" s="20">
        <v>90.65</v>
      </c>
      <c r="O183" s="20" t="s">
        <v>43</v>
      </c>
      <c r="P183" s="20" t="s">
        <v>35</v>
      </c>
    </row>
    <row r="184" spans="13:16" x14ac:dyDescent="0.3">
      <c r="M184" s="20">
        <v>4</v>
      </c>
      <c r="N184" s="20">
        <v>51.57</v>
      </c>
      <c r="O184" s="20" t="s">
        <v>33</v>
      </c>
      <c r="P184" s="20" t="s">
        <v>48</v>
      </c>
    </row>
    <row r="185" spans="13:16" x14ac:dyDescent="0.3">
      <c r="M185" s="20">
        <v>4</v>
      </c>
      <c r="N185" s="20">
        <v>76.88</v>
      </c>
      <c r="O185" s="20" t="s">
        <v>43</v>
      </c>
      <c r="P185" s="20" t="s">
        <v>44</v>
      </c>
    </row>
    <row r="186" spans="13:16" x14ac:dyDescent="0.3">
      <c r="M186" s="20">
        <v>3</v>
      </c>
      <c r="N186" s="20">
        <v>83.92</v>
      </c>
      <c r="O186" s="20" t="s">
        <v>47</v>
      </c>
      <c r="P186" s="20" t="s">
        <v>70</v>
      </c>
    </row>
    <row r="187" spans="13:16" x14ac:dyDescent="0.3">
      <c r="M187" s="20">
        <v>2</v>
      </c>
      <c r="N187" s="20">
        <v>90.53</v>
      </c>
      <c r="O187" s="20" t="s">
        <v>42</v>
      </c>
      <c r="P187" s="20" t="s">
        <v>70</v>
      </c>
    </row>
    <row r="188" spans="13:16" x14ac:dyDescent="0.3">
      <c r="M188" s="20">
        <v>0</v>
      </c>
      <c r="N188" s="20">
        <v>65.11</v>
      </c>
      <c r="O188" s="20" t="s">
        <v>42</v>
      </c>
      <c r="P188" s="20" t="s">
        <v>35</v>
      </c>
    </row>
    <row r="189" spans="13:16" x14ac:dyDescent="0.3">
      <c r="M189" s="20">
        <v>2</v>
      </c>
      <c r="N189" s="20">
        <v>65.03</v>
      </c>
      <c r="O189" s="20" t="s">
        <v>47</v>
      </c>
      <c r="P189" s="20" t="s">
        <v>62</v>
      </c>
    </row>
    <row r="190" spans="13:16" x14ac:dyDescent="0.3">
      <c r="M190" s="20">
        <v>2</v>
      </c>
      <c r="N190" s="20">
        <v>64.81</v>
      </c>
      <c r="O190" s="20" t="s">
        <v>42</v>
      </c>
      <c r="P190" s="20" t="s">
        <v>62</v>
      </c>
    </row>
    <row r="191" spans="13:16" x14ac:dyDescent="0.3">
      <c r="M191" s="20">
        <v>4</v>
      </c>
      <c r="N191" s="20">
        <v>83.65</v>
      </c>
      <c r="O191" s="20" t="s">
        <v>42</v>
      </c>
      <c r="P191" s="20" t="s">
        <v>48</v>
      </c>
    </row>
    <row r="192" spans="13:16" x14ac:dyDescent="0.3">
      <c r="M192" s="20">
        <v>3</v>
      </c>
      <c r="N192" s="20">
        <v>83.53</v>
      </c>
      <c r="O192" s="20" t="s">
        <v>43</v>
      </c>
      <c r="P192" s="20" t="s">
        <v>48</v>
      </c>
    </row>
    <row r="193" spans="13:16" x14ac:dyDescent="0.3">
      <c r="M193" s="20">
        <v>1</v>
      </c>
      <c r="N193" s="20">
        <v>76.510000000000005</v>
      </c>
      <c r="O193" s="20" t="s">
        <v>43</v>
      </c>
      <c r="P193" s="20" t="s">
        <v>53</v>
      </c>
    </row>
    <row r="194" spans="13:16" x14ac:dyDescent="0.3">
      <c r="M194" s="20">
        <v>3</v>
      </c>
      <c r="N194" s="20">
        <v>51.54</v>
      </c>
      <c r="O194" s="20" t="s">
        <v>42</v>
      </c>
      <c r="P194" s="20" t="s">
        <v>48</v>
      </c>
    </row>
    <row r="195" spans="13:16" x14ac:dyDescent="0.3">
      <c r="M195" s="20">
        <v>3</v>
      </c>
      <c r="N195" s="20">
        <v>76.48</v>
      </c>
      <c r="O195" s="20" t="s">
        <v>33</v>
      </c>
      <c r="P195" s="20" t="s">
        <v>48</v>
      </c>
    </row>
    <row r="196" spans="13:16" x14ac:dyDescent="0.3">
      <c r="M196" s="20">
        <v>2</v>
      </c>
      <c r="N196" s="20">
        <v>76.47</v>
      </c>
      <c r="O196" s="20" t="s">
        <v>42</v>
      </c>
      <c r="P196" s="20" t="s">
        <v>48</v>
      </c>
    </row>
    <row r="197" spans="13:16" x14ac:dyDescent="0.3">
      <c r="M197" s="20">
        <v>3</v>
      </c>
      <c r="N197" s="20">
        <v>83.45</v>
      </c>
      <c r="O197" s="20" t="s">
        <v>47</v>
      </c>
      <c r="P197" s="20" t="s">
        <v>48</v>
      </c>
    </row>
    <row r="198" spans="13:16" x14ac:dyDescent="0.3">
      <c r="M198" s="20">
        <v>0</v>
      </c>
      <c r="N198" s="20">
        <v>64.69</v>
      </c>
      <c r="O198" s="20" t="s">
        <v>42</v>
      </c>
      <c r="P198" s="20" t="s">
        <v>48</v>
      </c>
    </row>
    <row r="199" spans="13:16" x14ac:dyDescent="0.3">
      <c r="M199" s="20">
        <v>2</v>
      </c>
      <c r="N199" s="20">
        <v>57.08</v>
      </c>
      <c r="O199" s="20" t="s">
        <v>42</v>
      </c>
      <c r="P199" s="20" t="s">
        <v>62</v>
      </c>
    </row>
    <row r="200" spans="13:16" x14ac:dyDescent="0.3">
      <c r="M200" s="20">
        <v>0</v>
      </c>
      <c r="N200" s="20">
        <v>50.83</v>
      </c>
      <c r="O200" s="20" t="s">
        <v>42</v>
      </c>
      <c r="P200" s="20" t="s">
        <v>44</v>
      </c>
    </row>
    <row r="201" spans="13:16" x14ac:dyDescent="0.3">
      <c r="M201" s="20">
        <v>1</v>
      </c>
      <c r="N201" s="20">
        <v>83.38</v>
      </c>
      <c r="O201" s="20" t="s">
        <v>43</v>
      </c>
      <c r="P201" s="20" t="s">
        <v>35</v>
      </c>
    </row>
    <row r="202" spans="13:16" x14ac:dyDescent="0.3">
      <c r="M202" s="20">
        <v>2</v>
      </c>
      <c r="N202" s="20">
        <v>64.16</v>
      </c>
      <c r="O202" s="20" t="s">
        <v>43</v>
      </c>
      <c r="P202" s="20" t="s">
        <v>70</v>
      </c>
    </row>
    <row r="203" spans="13:16" x14ac:dyDescent="0.3">
      <c r="M203" s="20">
        <v>1</v>
      </c>
      <c r="N203" s="20">
        <v>90.38</v>
      </c>
      <c r="O203" s="20" t="s">
        <v>33</v>
      </c>
      <c r="P203" s="20" t="s">
        <v>35</v>
      </c>
    </row>
    <row r="204" spans="13:16" x14ac:dyDescent="0.3">
      <c r="M204" s="20">
        <v>2</v>
      </c>
      <c r="N204" s="20">
        <v>56.96</v>
      </c>
      <c r="O204" s="20" t="s">
        <v>33</v>
      </c>
      <c r="P204" s="20" t="s">
        <v>62</v>
      </c>
    </row>
    <row r="205" spans="13:16" x14ac:dyDescent="0.3">
      <c r="M205" s="20">
        <v>4</v>
      </c>
      <c r="N205" s="20">
        <v>56.3</v>
      </c>
      <c r="O205" s="20" t="s">
        <v>42</v>
      </c>
      <c r="P205" s="20" t="s">
        <v>48</v>
      </c>
    </row>
    <row r="206" spans="13:16" x14ac:dyDescent="0.3">
      <c r="M206" s="20">
        <v>3</v>
      </c>
      <c r="N206" s="20">
        <v>83.2</v>
      </c>
      <c r="O206" s="20" t="s">
        <v>33</v>
      </c>
      <c r="P206" s="20" t="s">
        <v>53</v>
      </c>
    </row>
    <row r="207" spans="13:16" x14ac:dyDescent="0.3">
      <c r="M207" s="20">
        <v>4</v>
      </c>
      <c r="N207" s="20">
        <v>71.03</v>
      </c>
      <c r="O207" s="20" t="s">
        <v>42</v>
      </c>
      <c r="P207" s="20" t="s">
        <v>70</v>
      </c>
    </row>
    <row r="208" spans="13:16" x14ac:dyDescent="0.3">
      <c r="M208" s="20">
        <v>1</v>
      </c>
      <c r="N208" s="20">
        <v>50.43</v>
      </c>
      <c r="O208" s="20" t="s">
        <v>33</v>
      </c>
      <c r="P208" s="20" t="s">
        <v>53</v>
      </c>
    </row>
    <row r="209" spans="13:16" x14ac:dyDescent="0.3">
      <c r="M209" s="20">
        <v>3</v>
      </c>
      <c r="N209" s="20">
        <v>56.08</v>
      </c>
      <c r="O209" s="20" t="s">
        <v>42</v>
      </c>
      <c r="P209" s="20" t="s">
        <v>62</v>
      </c>
    </row>
    <row r="210" spans="13:16" x14ac:dyDescent="0.3">
      <c r="M210" s="20">
        <v>2</v>
      </c>
      <c r="N210" s="20">
        <v>83.08</v>
      </c>
      <c r="O210" s="20" t="s">
        <v>33</v>
      </c>
      <c r="P210" s="20" t="s">
        <v>35</v>
      </c>
    </row>
    <row r="211" spans="13:16" x14ac:dyDescent="0.3">
      <c r="M211" s="20">
        <v>3</v>
      </c>
      <c r="N211" s="20">
        <v>83.03</v>
      </c>
      <c r="O211" s="20" t="s">
        <v>33</v>
      </c>
      <c r="P211" s="20" t="s">
        <v>53</v>
      </c>
    </row>
    <row r="212" spans="13:16" x14ac:dyDescent="0.3">
      <c r="M212" s="20">
        <v>0</v>
      </c>
      <c r="N212" s="20">
        <v>64.08</v>
      </c>
      <c r="O212" s="20" t="s">
        <v>42</v>
      </c>
      <c r="P212" s="20" t="s">
        <v>44</v>
      </c>
    </row>
    <row r="213" spans="13:16" x14ac:dyDescent="0.3">
      <c r="M213" s="20">
        <v>3</v>
      </c>
      <c r="N213" s="20">
        <v>90.27</v>
      </c>
      <c r="O213" s="20" t="s">
        <v>42</v>
      </c>
      <c r="P213" s="20" t="s">
        <v>44</v>
      </c>
    </row>
    <row r="214" spans="13:16" x14ac:dyDescent="0.3">
      <c r="M214" s="20">
        <v>0</v>
      </c>
      <c r="N214" s="20">
        <v>70.95</v>
      </c>
      <c r="O214" s="20" t="s">
        <v>42</v>
      </c>
      <c r="P214" s="20" t="s">
        <v>48</v>
      </c>
    </row>
    <row r="215" spans="13:16" x14ac:dyDescent="0.3">
      <c r="M215" s="20">
        <v>0</v>
      </c>
      <c r="N215" s="20">
        <v>50.41</v>
      </c>
      <c r="O215" s="20" t="s">
        <v>42</v>
      </c>
      <c r="P215" s="20" t="s">
        <v>53</v>
      </c>
    </row>
    <row r="216" spans="13:16" x14ac:dyDescent="0.3">
      <c r="M216" s="20">
        <v>0</v>
      </c>
      <c r="N216" s="20">
        <v>76.13</v>
      </c>
      <c r="O216" s="20" t="s">
        <v>33</v>
      </c>
      <c r="P216" s="20" t="s">
        <v>53</v>
      </c>
    </row>
    <row r="217" spans="13:16" x14ac:dyDescent="0.3">
      <c r="M217" s="20">
        <v>1</v>
      </c>
      <c r="N217" s="20">
        <v>90.25</v>
      </c>
      <c r="O217" s="20" t="s">
        <v>47</v>
      </c>
      <c r="P217" s="20" t="s">
        <v>53</v>
      </c>
    </row>
    <row r="218" spans="13:16" x14ac:dyDescent="0.3">
      <c r="M218" s="20">
        <v>4</v>
      </c>
      <c r="N218" s="20">
        <v>89.82</v>
      </c>
      <c r="O218" s="20" t="s">
        <v>47</v>
      </c>
      <c r="P218" s="20" t="s">
        <v>53</v>
      </c>
    </row>
    <row r="219" spans="13:16" x14ac:dyDescent="0.3">
      <c r="M219" s="20">
        <v>2</v>
      </c>
      <c r="N219" s="20">
        <v>63.37</v>
      </c>
      <c r="O219" s="20" t="s">
        <v>33</v>
      </c>
      <c r="P219" s="20" t="s">
        <v>35</v>
      </c>
    </row>
    <row r="220" spans="13:16" x14ac:dyDescent="0.3">
      <c r="M220" s="20">
        <v>3</v>
      </c>
      <c r="N220" s="20">
        <v>55.95</v>
      </c>
      <c r="O220" s="20" t="s">
        <v>43</v>
      </c>
      <c r="P220" s="20" t="s">
        <v>35</v>
      </c>
    </row>
    <row r="221" spans="13:16" x14ac:dyDescent="0.3">
      <c r="M221" s="20">
        <v>4</v>
      </c>
      <c r="N221" s="20">
        <v>55.78</v>
      </c>
      <c r="O221" s="20" t="s">
        <v>47</v>
      </c>
      <c r="P221" s="20" t="s">
        <v>70</v>
      </c>
    </row>
    <row r="222" spans="13:16" x14ac:dyDescent="0.3">
      <c r="M222" s="20">
        <v>2</v>
      </c>
      <c r="N222" s="20">
        <v>62.75</v>
      </c>
      <c r="O222" s="20" t="s">
        <v>33</v>
      </c>
      <c r="P222" s="20" t="s">
        <v>53</v>
      </c>
    </row>
    <row r="223" spans="13:16" x14ac:dyDescent="0.3">
      <c r="M223" s="20">
        <v>2</v>
      </c>
      <c r="N223" s="20">
        <v>82.95</v>
      </c>
      <c r="O223" s="20" t="s">
        <v>47</v>
      </c>
      <c r="P223" s="20" t="s">
        <v>35</v>
      </c>
    </row>
    <row r="224" spans="13:16" x14ac:dyDescent="0.3">
      <c r="M224" s="20">
        <v>0</v>
      </c>
      <c r="N224" s="20">
        <v>55.6</v>
      </c>
      <c r="O224" s="20" t="s">
        <v>47</v>
      </c>
      <c r="P224" s="20" t="s">
        <v>48</v>
      </c>
    </row>
    <row r="225" spans="13:16" x14ac:dyDescent="0.3">
      <c r="M225" s="20">
        <v>1</v>
      </c>
      <c r="N225" s="20">
        <v>70.849999999999994</v>
      </c>
      <c r="O225" s="20" t="s">
        <v>42</v>
      </c>
      <c r="P225" s="20" t="s">
        <v>53</v>
      </c>
    </row>
    <row r="226" spans="13:16" x14ac:dyDescent="0.3">
      <c r="M226" s="20">
        <v>1</v>
      </c>
      <c r="N226" s="20">
        <v>50.24</v>
      </c>
      <c r="O226" s="20" t="s">
        <v>43</v>
      </c>
      <c r="P226" s="20" t="s">
        <v>48</v>
      </c>
    </row>
    <row r="227" spans="13:16" x14ac:dyDescent="0.3">
      <c r="M227" s="20">
        <v>4</v>
      </c>
      <c r="N227" s="20">
        <v>89.79</v>
      </c>
      <c r="O227" s="20" t="s">
        <v>33</v>
      </c>
      <c r="P227" s="20" t="s">
        <v>35</v>
      </c>
    </row>
    <row r="228" spans="13:16" x14ac:dyDescent="0.3">
      <c r="M228" s="20">
        <v>1</v>
      </c>
      <c r="N228" s="20">
        <v>89.73</v>
      </c>
      <c r="O228" s="20" t="s">
        <v>47</v>
      </c>
      <c r="P228" s="20" t="s">
        <v>53</v>
      </c>
    </row>
    <row r="229" spans="13:16" x14ac:dyDescent="0.3">
      <c r="M229" s="20">
        <v>3</v>
      </c>
      <c r="N229" s="20">
        <v>70.790000000000006</v>
      </c>
      <c r="O229" s="20" t="s">
        <v>47</v>
      </c>
      <c r="P229" s="20" t="s">
        <v>62</v>
      </c>
    </row>
    <row r="230" spans="13:16" x14ac:dyDescent="0.3">
      <c r="M230" s="20">
        <v>1</v>
      </c>
      <c r="N230" s="20">
        <v>55.42</v>
      </c>
      <c r="O230" s="20" t="s">
        <v>33</v>
      </c>
      <c r="P230" s="20" t="s">
        <v>35</v>
      </c>
    </row>
    <row r="231" spans="13:16" x14ac:dyDescent="0.3">
      <c r="M231" s="20">
        <v>4</v>
      </c>
      <c r="N231" s="20">
        <v>89.67</v>
      </c>
      <c r="O231" s="20" t="s">
        <v>47</v>
      </c>
      <c r="P231" s="20" t="s">
        <v>35</v>
      </c>
    </row>
    <row r="232" spans="13:16" x14ac:dyDescent="0.3">
      <c r="M232" s="20">
        <v>1</v>
      </c>
      <c r="N232" s="20">
        <v>75.8</v>
      </c>
      <c r="O232" s="20" t="s">
        <v>47</v>
      </c>
      <c r="P232" s="20" t="s">
        <v>53</v>
      </c>
    </row>
    <row r="233" spans="13:16" x14ac:dyDescent="0.3">
      <c r="M233" s="20">
        <v>3</v>
      </c>
      <c r="N233" s="20">
        <v>50.23</v>
      </c>
      <c r="O233" s="20" t="s">
        <v>47</v>
      </c>
      <c r="P233" s="20" t="s">
        <v>70</v>
      </c>
    </row>
    <row r="234" spans="13:16" x14ac:dyDescent="0.3">
      <c r="M234" s="20">
        <v>0</v>
      </c>
      <c r="N234" s="20">
        <v>50.23</v>
      </c>
      <c r="O234" s="20" t="s">
        <v>33</v>
      </c>
      <c r="P234" s="20" t="s">
        <v>70</v>
      </c>
    </row>
    <row r="235" spans="13:16" x14ac:dyDescent="0.3">
      <c r="M235" s="20">
        <v>4</v>
      </c>
      <c r="N235" s="20">
        <v>89.56</v>
      </c>
      <c r="O235" s="20" t="s">
        <v>43</v>
      </c>
      <c r="P235" s="20" t="s">
        <v>53</v>
      </c>
    </row>
    <row r="236" spans="13:16" x14ac:dyDescent="0.3">
      <c r="M236" s="20">
        <v>0</v>
      </c>
      <c r="N236" s="20">
        <v>62.66</v>
      </c>
      <c r="O236" s="20" t="s">
        <v>42</v>
      </c>
      <c r="P236" s="20" t="s">
        <v>53</v>
      </c>
    </row>
    <row r="237" spans="13:16" x14ac:dyDescent="0.3">
      <c r="M237" s="20">
        <v>0</v>
      </c>
      <c r="N237" s="20">
        <v>89.45</v>
      </c>
      <c r="O237" s="20" t="s">
        <v>47</v>
      </c>
      <c r="P237" s="20" t="s">
        <v>35</v>
      </c>
    </row>
    <row r="238" spans="13:16" x14ac:dyDescent="0.3">
      <c r="M238" s="20">
        <v>0</v>
      </c>
      <c r="N238" s="20">
        <v>62.48</v>
      </c>
      <c r="O238" s="20" t="s">
        <v>33</v>
      </c>
      <c r="P238" s="20" t="s">
        <v>44</v>
      </c>
    </row>
    <row r="239" spans="13:16" x14ac:dyDescent="0.3">
      <c r="M239" s="20">
        <v>2</v>
      </c>
      <c r="N239" s="20">
        <v>89.07</v>
      </c>
      <c r="O239" s="20" t="s">
        <v>42</v>
      </c>
      <c r="P239" s="20" t="s">
        <v>70</v>
      </c>
    </row>
    <row r="240" spans="13:16" x14ac:dyDescent="0.3">
      <c r="M240" s="20">
        <v>2</v>
      </c>
      <c r="N240" s="20">
        <v>75.760000000000005</v>
      </c>
      <c r="O240" s="20" t="s">
        <v>33</v>
      </c>
      <c r="P240" s="20" t="s">
        <v>48</v>
      </c>
    </row>
    <row r="241" spans="13:16" x14ac:dyDescent="0.3">
      <c r="M241" s="20">
        <v>0</v>
      </c>
      <c r="N241" s="20">
        <v>82.95</v>
      </c>
      <c r="O241" s="20" t="s">
        <v>42</v>
      </c>
      <c r="P241" s="20" t="s">
        <v>44</v>
      </c>
    </row>
    <row r="242" spans="13:16" x14ac:dyDescent="0.3">
      <c r="M242" s="20">
        <v>4</v>
      </c>
      <c r="N242" s="20">
        <v>50.15</v>
      </c>
      <c r="O242" s="20" t="s">
        <v>47</v>
      </c>
      <c r="P242" s="20" t="s">
        <v>48</v>
      </c>
    </row>
    <row r="243" spans="13:16" x14ac:dyDescent="0.3">
      <c r="M243" s="20">
        <v>3</v>
      </c>
      <c r="N243" s="20">
        <v>88.9</v>
      </c>
      <c r="O243" s="20" t="s">
        <v>43</v>
      </c>
      <c r="P243" s="20" t="s">
        <v>35</v>
      </c>
    </row>
    <row r="244" spans="13:16" x14ac:dyDescent="0.3">
      <c r="M244" s="20">
        <v>3</v>
      </c>
      <c r="N244" s="20">
        <v>75.709999999999994</v>
      </c>
      <c r="O244" s="20" t="s">
        <v>42</v>
      </c>
      <c r="P244" s="20" t="s">
        <v>70</v>
      </c>
    </row>
    <row r="245" spans="13:16" x14ac:dyDescent="0.3">
      <c r="M245" s="20">
        <v>1</v>
      </c>
      <c r="N245" s="20">
        <v>62.28</v>
      </c>
      <c r="O245" s="20" t="s">
        <v>42</v>
      </c>
      <c r="P245" s="20" t="s">
        <v>53</v>
      </c>
    </row>
    <row r="246" spans="13:16" x14ac:dyDescent="0.3">
      <c r="M246" s="20">
        <v>4</v>
      </c>
      <c r="N246" s="20">
        <v>62.23</v>
      </c>
      <c r="O246" s="20" t="s">
        <v>47</v>
      </c>
      <c r="P246" s="20" t="s">
        <v>53</v>
      </c>
    </row>
    <row r="247" spans="13:16" x14ac:dyDescent="0.3">
      <c r="M247" s="20">
        <v>2</v>
      </c>
      <c r="N247" s="20">
        <v>50.11</v>
      </c>
      <c r="O247" s="20" t="s">
        <v>42</v>
      </c>
      <c r="P247" s="20" t="s">
        <v>70</v>
      </c>
    </row>
    <row r="248" spans="13:16" x14ac:dyDescent="0.3">
      <c r="M248" s="20">
        <v>0</v>
      </c>
      <c r="N248" s="20">
        <v>70.69</v>
      </c>
      <c r="O248" s="20" t="s">
        <v>42</v>
      </c>
      <c r="P248" s="20" t="s">
        <v>44</v>
      </c>
    </row>
    <row r="249" spans="13:16" x14ac:dyDescent="0.3">
      <c r="M249" s="20">
        <v>1</v>
      </c>
      <c r="N249" s="20">
        <v>88.75</v>
      </c>
      <c r="O249" s="20" t="s">
        <v>43</v>
      </c>
      <c r="P249" s="20" t="s">
        <v>48</v>
      </c>
    </row>
    <row r="250" spans="13:16" x14ac:dyDescent="0.3">
      <c r="M250" s="20">
        <v>3</v>
      </c>
      <c r="N250" s="20">
        <v>55.42</v>
      </c>
      <c r="O250" s="20" t="s">
        <v>47</v>
      </c>
      <c r="P250" s="20" t="s">
        <v>48</v>
      </c>
    </row>
    <row r="251" spans="13:16" x14ac:dyDescent="0.3">
      <c r="M251" s="20">
        <v>2</v>
      </c>
      <c r="N251" s="20">
        <v>62.15</v>
      </c>
      <c r="O251" s="20" t="s">
        <v>42</v>
      </c>
      <c r="P251" s="20" t="s">
        <v>35</v>
      </c>
    </row>
    <row r="252" spans="13:16" x14ac:dyDescent="0.3">
      <c r="M252" s="20">
        <v>2</v>
      </c>
      <c r="N252" s="20">
        <v>82.9</v>
      </c>
      <c r="O252" s="20" t="s">
        <v>43</v>
      </c>
      <c r="P252" s="20" t="s">
        <v>62</v>
      </c>
    </row>
    <row r="253" spans="13:16" x14ac:dyDescent="0.3">
      <c r="M253" s="20">
        <v>0</v>
      </c>
      <c r="N253" s="20">
        <v>82.58</v>
      </c>
      <c r="O253" s="20" t="s">
        <v>42</v>
      </c>
      <c r="P253" s="20" t="s">
        <v>35</v>
      </c>
    </row>
    <row r="254" spans="13:16" x14ac:dyDescent="0.3">
      <c r="M254" s="20">
        <v>3</v>
      </c>
      <c r="N254" s="20">
        <v>61.99</v>
      </c>
      <c r="O254" s="20" t="s">
        <v>43</v>
      </c>
      <c r="P254" s="20" t="s">
        <v>62</v>
      </c>
    </row>
    <row r="255" spans="13:16" x14ac:dyDescent="0.3">
      <c r="M255" s="20">
        <v>4</v>
      </c>
      <c r="N255" s="20">
        <v>70.58</v>
      </c>
      <c r="O255" s="20" t="s">
        <v>43</v>
      </c>
      <c r="P255" s="20" t="s">
        <v>70</v>
      </c>
    </row>
    <row r="256" spans="13:16" x14ac:dyDescent="0.3">
      <c r="M256" s="20">
        <v>2</v>
      </c>
      <c r="N256" s="20">
        <v>70.48</v>
      </c>
      <c r="O256" s="20" t="s">
        <v>42</v>
      </c>
      <c r="P256" s="20" t="s">
        <v>35</v>
      </c>
    </row>
    <row r="257" spans="13:16" x14ac:dyDescent="0.3">
      <c r="M257" s="20">
        <v>0</v>
      </c>
      <c r="N257" s="20">
        <v>75.459999999999994</v>
      </c>
      <c r="O257" s="20" t="s">
        <v>43</v>
      </c>
      <c r="P257" s="20" t="s">
        <v>35</v>
      </c>
    </row>
    <row r="258" spans="13:16" x14ac:dyDescent="0.3">
      <c r="M258" s="20">
        <v>4</v>
      </c>
      <c r="N258" s="20">
        <v>82.47</v>
      </c>
      <c r="O258" s="20" t="s">
        <v>42</v>
      </c>
      <c r="P258" s="20" t="s">
        <v>53</v>
      </c>
    </row>
    <row r="259" spans="13:16" x14ac:dyDescent="0.3">
      <c r="M259" s="20">
        <v>3</v>
      </c>
      <c r="N259" s="20">
        <v>75.23</v>
      </c>
      <c r="O259" s="20" t="s">
        <v>42</v>
      </c>
      <c r="P259" s="20" t="s">
        <v>35</v>
      </c>
    </row>
    <row r="260" spans="13:16" x14ac:dyDescent="0.3">
      <c r="M260" s="20">
        <v>2</v>
      </c>
      <c r="N260" s="20">
        <v>82.41</v>
      </c>
      <c r="O260" s="20" t="s">
        <v>43</v>
      </c>
      <c r="P260" s="20" t="s">
        <v>48</v>
      </c>
    </row>
    <row r="261" spans="13:16" x14ac:dyDescent="0.3">
      <c r="M261" s="20">
        <v>4</v>
      </c>
      <c r="N261" s="20">
        <v>88.71</v>
      </c>
      <c r="O261" s="20" t="s">
        <v>43</v>
      </c>
      <c r="P261" s="20" t="s">
        <v>70</v>
      </c>
    </row>
    <row r="262" spans="13:16" x14ac:dyDescent="0.3">
      <c r="M262" s="20">
        <v>4</v>
      </c>
      <c r="N262" s="20">
        <v>88.38</v>
      </c>
      <c r="O262" s="20" t="s">
        <v>33</v>
      </c>
      <c r="P262" s="20" t="s">
        <v>53</v>
      </c>
    </row>
    <row r="263" spans="13:16" x14ac:dyDescent="0.3">
      <c r="M263" s="20">
        <v>1</v>
      </c>
      <c r="N263" s="20">
        <v>55.21</v>
      </c>
      <c r="O263" s="20" t="s">
        <v>42</v>
      </c>
      <c r="P263" s="20" t="s">
        <v>53</v>
      </c>
    </row>
    <row r="264" spans="13:16" x14ac:dyDescent="0.3">
      <c r="M264" s="20">
        <v>2</v>
      </c>
      <c r="N264" s="20">
        <v>88.35</v>
      </c>
      <c r="O264" s="20" t="s">
        <v>33</v>
      </c>
      <c r="P264" s="20" t="s">
        <v>53</v>
      </c>
    </row>
    <row r="265" spans="13:16" x14ac:dyDescent="0.3">
      <c r="M265" s="20">
        <v>2</v>
      </c>
      <c r="N265" s="20">
        <v>55.19</v>
      </c>
      <c r="O265" s="20" t="s">
        <v>47</v>
      </c>
      <c r="P265" s="20" t="s">
        <v>70</v>
      </c>
    </row>
    <row r="266" spans="13:16" x14ac:dyDescent="0.3">
      <c r="M266" s="20">
        <v>1</v>
      </c>
      <c r="N266" s="20">
        <v>88.09</v>
      </c>
      <c r="O266" s="20" t="s">
        <v>42</v>
      </c>
      <c r="P266" s="20" t="s">
        <v>44</v>
      </c>
    </row>
    <row r="267" spans="13:16" x14ac:dyDescent="0.3">
      <c r="M267" s="20">
        <v>3</v>
      </c>
      <c r="N267" s="20">
        <v>50.05</v>
      </c>
      <c r="O267" s="20" t="s">
        <v>42</v>
      </c>
      <c r="P267" s="20" t="s">
        <v>44</v>
      </c>
    </row>
    <row r="268" spans="13:16" x14ac:dyDescent="0.3">
      <c r="M268" s="20">
        <v>0</v>
      </c>
      <c r="N268" s="20">
        <v>87.87</v>
      </c>
      <c r="O268" s="20" t="s">
        <v>42</v>
      </c>
      <c r="P268" s="20" t="s">
        <v>70</v>
      </c>
    </row>
    <row r="269" spans="13:16" x14ac:dyDescent="0.3">
      <c r="M269" s="20">
        <v>4</v>
      </c>
      <c r="N269" s="20">
        <v>75.19</v>
      </c>
      <c r="O269" s="20" t="s">
        <v>33</v>
      </c>
      <c r="P269" s="20" t="s">
        <v>48</v>
      </c>
    </row>
    <row r="270" spans="13:16" x14ac:dyDescent="0.3">
      <c r="M270" s="20">
        <v>1</v>
      </c>
      <c r="N270" s="20">
        <v>61.87</v>
      </c>
      <c r="O270" s="20" t="s">
        <v>47</v>
      </c>
      <c r="P270" s="20" t="s">
        <v>48</v>
      </c>
    </row>
    <row r="271" spans="13:16" x14ac:dyDescent="0.3">
      <c r="M271" s="20">
        <v>0</v>
      </c>
      <c r="N271" s="20">
        <v>75.03</v>
      </c>
      <c r="O271" s="20" t="s">
        <v>42</v>
      </c>
      <c r="P271" s="20" t="s">
        <v>62</v>
      </c>
    </row>
    <row r="272" spans="13:16" x14ac:dyDescent="0.3">
      <c r="M272" s="20">
        <v>1</v>
      </c>
      <c r="N272" s="20">
        <v>61.71</v>
      </c>
      <c r="O272" s="20" t="s">
        <v>33</v>
      </c>
      <c r="P272" s="20" t="s">
        <v>44</v>
      </c>
    </row>
    <row r="273" spans="13:16" x14ac:dyDescent="0.3">
      <c r="M273" s="20">
        <v>2</v>
      </c>
      <c r="N273" s="20">
        <v>69.849999999999994</v>
      </c>
      <c r="O273" s="20" t="s">
        <v>47</v>
      </c>
      <c r="P273" s="20" t="s">
        <v>48</v>
      </c>
    </row>
    <row r="274" spans="13:16" x14ac:dyDescent="0.3">
      <c r="M274" s="20">
        <v>4</v>
      </c>
      <c r="N274" s="20">
        <v>75.010000000000005</v>
      </c>
      <c r="O274" s="20" t="s">
        <v>42</v>
      </c>
      <c r="P274" s="20" t="s">
        <v>53</v>
      </c>
    </row>
    <row r="275" spans="13:16" x14ac:dyDescent="0.3">
      <c r="M275" s="20">
        <v>0</v>
      </c>
      <c r="N275" s="20">
        <v>69.67</v>
      </c>
      <c r="O275" s="20" t="s">
        <v>47</v>
      </c>
      <c r="P275" s="20" t="s">
        <v>53</v>
      </c>
    </row>
    <row r="276" spans="13:16" x14ac:dyDescent="0.3">
      <c r="M276" s="20">
        <v>0</v>
      </c>
      <c r="N276" s="20">
        <v>55.14</v>
      </c>
      <c r="O276" s="20" t="s">
        <v>43</v>
      </c>
      <c r="P276" s="20" t="s">
        <v>53</v>
      </c>
    </row>
    <row r="277" spans="13:16" x14ac:dyDescent="0.3">
      <c r="M277" s="20">
        <v>0</v>
      </c>
      <c r="N277" s="20">
        <v>54.93</v>
      </c>
      <c r="O277" s="20" t="s">
        <v>43</v>
      </c>
      <c r="P277" s="20" t="s">
        <v>53</v>
      </c>
    </row>
    <row r="278" spans="13:16" x14ac:dyDescent="0.3">
      <c r="M278" s="20">
        <v>0</v>
      </c>
      <c r="N278" s="20">
        <v>50.01</v>
      </c>
      <c r="O278" s="20" t="s">
        <v>43</v>
      </c>
      <c r="P278" s="20" t="s">
        <v>44</v>
      </c>
    </row>
    <row r="279" spans="13:16" x14ac:dyDescent="0.3">
      <c r="M279" s="20">
        <v>0</v>
      </c>
      <c r="N279" s="20">
        <v>87.81</v>
      </c>
      <c r="O279" s="20" t="s">
        <v>43</v>
      </c>
      <c r="P279" s="20" t="s">
        <v>35</v>
      </c>
    </row>
    <row r="280" spans="13:16" x14ac:dyDescent="0.3">
      <c r="M280" s="20">
        <v>1</v>
      </c>
      <c r="N280" s="20">
        <v>74.47</v>
      </c>
      <c r="O280" s="20" t="s">
        <v>47</v>
      </c>
      <c r="P280" s="20" t="s">
        <v>62</v>
      </c>
    </row>
    <row r="281" spans="13:16" x14ac:dyDescent="0.3">
      <c r="M281" s="20">
        <v>4</v>
      </c>
      <c r="N281" s="20">
        <v>69.45</v>
      </c>
      <c r="O281" s="20" t="s">
        <v>42</v>
      </c>
      <c r="P281" s="20" t="s">
        <v>70</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53EFF-4C38-AA42-AE7B-9B399B4E3F46}">
  <dimension ref="A1:N284"/>
  <sheetViews>
    <sheetView zoomScaleNormal="150" zoomScaleSheetLayoutView="100" workbookViewId="0">
      <selection activeCell="B2" sqref="B2"/>
    </sheetView>
  </sheetViews>
  <sheetFormatPr defaultRowHeight="15" customHeight="1" x14ac:dyDescent="0.3"/>
  <cols>
    <col min="1" max="1" width="12.5546875" customWidth="1"/>
    <col min="3" max="3" width="20" bestFit="1" customWidth="1"/>
    <col min="4" max="4" width="22.44140625" style="64" bestFit="1" customWidth="1"/>
    <col min="5" max="5" width="8.5546875" bestFit="1" customWidth="1"/>
    <col min="6" max="6" width="9.33203125" bestFit="1" customWidth="1"/>
    <col min="7" max="7" width="6.5546875" bestFit="1" customWidth="1"/>
    <col min="8" max="8" width="9.109375" bestFit="1" customWidth="1"/>
    <col min="9" max="10" width="11.109375" bestFit="1" customWidth="1"/>
    <col min="11" max="11" width="21.33203125" bestFit="1" customWidth="1"/>
    <col min="12" max="12" width="27" bestFit="1" customWidth="1"/>
    <col min="13" max="13" width="17.88671875" customWidth="1"/>
    <col min="14" max="14" width="8.88671875" customWidth="1"/>
    <col min="15" max="15" width="13.6640625" bestFit="1" customWidth="1"/>
    <col min="16" max="16" width="22" customWidth="1"/>
    <col min="17" max="17" width="17.44140625" customWidth="1"/>
    <col min="18" max="18" width="6.88671875" customWidth="1"/>
    <col min="19" max="25" width="11.109375" bestFit="1" customWidth="1"/>
    <col min="26" max="26" width="12.6640625" bestFit="1" customWidth="1"/>
    <col min="27" max="67" width="11.109375" bestFit="1" customWidth="1"/>
    <col min="68" max="68" width="13.6640625" bestFit="1" customWidth="1"/>
    <col min="69" max="105" width="11.109375" bestFit="1" customWidth="1"/>
    <col min="106" max="106" width="13.6640625" bestFit="1" customWidth="1"/>
    <col min="107" max="107" width="13.5546875" bestFit="1" customWidth="1"/>
    <col min="108" max="150" width="11.109375" bestFit="1" customWidth="1"/>
    <col min="151" max="151" width="16.88671875" bestFit="1" customWidth="1"/>
    <col min="152" max="185" width="11.109375" bestFit="1" customWidth="1"/>
    <col min="186" max="186" width="14.5546875" bestFit="1" customWidth="1"/>
    <col min="187" max="228" width="11.109375" bestFit="1" customWidth="1"/>
    <col min="229" max="229" width="11.6640625" bestFit="1" customWidth="1"/>
    <col min="230" max="269" width="11.109375" bestFit="1" customWidth="1"/>
    <col min="270" max="270" width="14.33203125" bestFit="1" customWidth="1"/>
    <col min="271" max="271" width="11.6640625" bestFit="1" customWidth="1"/>
  </cols>
  <sheetData>
    <row r="1" spans="1:14" ht="31.5" customHeight="1" x14ac:dyDescent="0.5">
      <c r="A1" s="14" t="s">
        <v>673</v>
      </c>
    </row>
    <row r="2" spans="1:14" ht="14.4" x14ac:dyDescent="0.3">
      <c r="B2" s="15" t="s">
        <v>674</v>
      </c>
    </row>
    <row r="3" spans="1:14" ht="102" customHeight="1" x14ac:dyDescent="0.3">
      <c r="B3" s="16"/>
    </row>
    <row r="4" spans="1:14" ht="43.2" x14ac:dyDescent="0.3">
      <c r="A4" s="2" t="s">
        <v>0</v>
      </c>
      <c r="B4" s="2" t="s">
        <v>1</v>
      </c>
      <c r="C4" s="2" t="s">
        <v>2</v>
      </c>
      <c r="D4" s="65" t="s">
        <v>3</v>
      </c>
      <c r="E4" s="2" t="s">
        <v>4</v>
      </c>
      <c r="F4" s="2" t="s">
        <v>7</v>
      </c>
      <c r="G4" s="2" t="s">
        <v>8</v>
      </c>
      <c r="H4" s="2" t="s">
        <v>9</v>
      </c>
    </row>
    <row r="5" spans="1:14" thickBot="1" x14ac:dyDescent="0.35">
      <c r="A5" t="s">
        <v>27</v>
      </c>
      <c r="B5" t="s">
        <v>28</v>
      </c>
      <c r="C5" t="s">
        <v>29</v>
      </c>
      <c r="D5" s="64" t="s">
        <v>30</v>
      </c>
      <c r="E5" t="s">
        <v>31</v>
      </c>
      <c r="F5">
        <v>0</v>
      </c>
      <c r="G5">
        <v>2</v>
      </c>
      <c r="H5">
        <v>69.209999999999994</v>
      </c>
    </row>
    <row r="6" spans="1:14" ht="14.4" x14ac:dyDescent="0.3">
      <c r="A6" t="s">
        <v>36</v>
      </c>
      <c r="B6" t="s">
        <v>37</v>
      </c>
      <c r="C6" t="s">
        <v>38</v>
      </c>
      <c r="D6" s="64" t="s">
        <v>39</v>
      </c>
      <c r="E6" t="s">
        <v>40</v>
      </c>
      <c r="F6">
        <v>2</v>
      </c>
      <c r="G6">
        <v>6</v>
      </c>
      <c r="H6">
        <v>94.97</v>
      </c>
      <c r="M6" s="51" t="s">
        <v>621</v>
      </c>
      <c r="N6" s="61">
        <f>MIN(L8:L14)</f>
        <v>34</v>
      </c>
    </row>
    <row r="7" spans="1:14" ht="14.4" x14ac:dyDescent="0.3">
      <c r="A7" t="s">
        <v>45</v>
      </c>
      <c r="B7" t="s">
        <v>37</v>
      </c>
      <c r="C7" t="s">
        <v>29</v>
      </c>
      <c r="D7" s="64" t="s">
        <v>46</v>
      </c>
      <c r="E7" t="s">
        <v>31</v>
      </c>
      <c r="F7">
        <v>2</v>
      </c>
      <c r="G7">
        <v>2</v>
      </c>
      <c r="H7">
        <v>68.989999999999995</v>
      </c>
      <c r="K7" s="4" t="s">
        <v>4</v>
      </c>
      <c r="L7" t="s">
        <v>675</v>
      </c>
      <c r="M7" s="54" t="s">
        <v>624</v>
      </c>
      <c r="N7" s="62">
        <f>MAX(L8:L14)</f>
        <v>44</v>
      </c>
    </row>
    <row r="8" spans="1:14" ht="14.4" x14ac:dyDescent="0.3">
      <c r="A8" t="s">
        <v>49</v>
      </c>
      <c r="B8" t="s">
        <v>28</v>
      </c>
      <c r="C8" t="s">
        <v>29</v>
      </c>
      <c r="D8" s="64" t="s">
        <v>50</v>
      </c>
      <c r="E8" t="s">
        <v>51</v>
      </c>
      <c r="F8">
        <v>0</v>
      </c>
      <c r="G8">
        <v>5</v>
      </c>
      <c r="H8">
        <v>87.71</v>
      </c>
      <c r="K8" t="s">
        <v>31</v>
      </c>
      <c r="L8">
        <v>42</v>
      </c>
      <c r="M8" s="54" t="s">
        <v>659</v>
      </c>
      <c r="N8" s="62">
        <f>AVERAGE(L8:L14)</f>
        <v>40</v>
      </c>
    </row>
    <row r="9" spans="1:14" thickBot="1" x14ac:dyDescent="0.35">
      <c r="A9" t="s">
        <v>54</v>
      </c>
      <c r="B9" t="s">
        <v>28</v>
      </c>
      <c r="C9" t="s">
        <v>38</v>
      </c>
      <c r="D9" s="64" t="s">
        <v>55</v>
      </c>
      <c r="E9" t="s">
        <v>56</v>
      </c>
      <c r="F9">
        <v>4</v>
      </c>
      <c r="G9">
        <v>5</v>
      </c>
      <c r="H9">
        <v>87.7</v>
      </c>
      <c r="K9" t="s">
        <v>56</v>
      </c>
      <c r="L9">
        <v>41</v>
      </c>
      <c r="M9" s="58" t="s">
        <v>676</v>
      </c>
      <c r="N9" s="63">
        <f>_xlfn.STDEV.S(L8:L14)</f>
        <v>3.415650255319866</v>
      </c>
    </row>
    <row r="10" spans="1:14" ht="14.4" x14ac:dyDescent="0.3">
      <c r="A10" t="s">
        <v>57</v>
      </c>
      <c r="B10" t="s">
        <v>37</v>
      </c>
      <c r="C10" t="s">
        <v>38</v>
      </c>
      <c r="D10" s="64" t="s">
        <v>58</v>
      </c>
      <c r="E10" t="s">
        <v>31</v>
      </c>
      <c r="F10">
        <v>0</v>
      </c>
      <c r="G10">
        <v>2</v>
      </c>
      <c r="H10">
        <v>68.98</v>
      </c>
      <c r="K10" t="s">
        <v>80</v>
      </c>
      <c r="L10">
        <v>37</v>
      </c>
    </row>
    <row r="11" spans="1:14" ht="14.4" x14ac:dyDescent="0.3">
      <c r="A11" t="s">
        <v>59</v>
      </c>
      <c r="B11" t="s">
        <v>28</v>
      </c>
      <c r="C11" t="s">
        <v>38</v>
      </c>
      <c r="D11" s="64" t="s">
        <v>60</v>
      </c>
      <c r="E11" t="s">
        <v>56</v>
      </c>
      <c r="F11">
        <v>1</v>
      </c>
      <c r="G11">
        <v>6</v>
      </c>
      <c r="H11">
        <v>94.84</v>
      </c>
      <c r="K11" t="s">
        <v>75</v>
      </c>
      <c r="L11">
        <v>44</v>
      </c>
    </row>
    <row r="12" spans="1:14" ht="14.4" x14ac:dyDescent="0.3">
      <c r="A12" t="s">
        <v>63</v>
      </c>
      <c r="B12" t="s">
        <v>64</v>
      </c>
      <c r="C12" t="s">
        <v>65</v>
      </c>
      <c r="D12" s="64" t="s">
        <v>66</v>
      </c>
      <c r="E12" t="s">
        <v>31</v>
      </c>
      <c r="F12">
        <v>0</v>
      </c>
      <c r="G12">
        <v>2</v>
      </c>
      <c r="H12">
        <v>68.98</v>
      </c>
      <c r="K12" t="s">
        <v>51</v>
      </c>
      <c r="L12">
        <v>34</v>
      </c>
    </row>
    <row r="13" spans="1:14" ht="14.4" x14ac:dyDescent="0.3">
      <c r="A13" t="s">
        <v>67</v>
      </c>
      <c r="B13" t="s">
        <v>68</v>
      </c>
      <c r="C13" t="s">
        <v>29</v>
      </c>
      <c r="D13" s="64" t="s">
        <v>69</v>
      </c>
      <c r="E13" t="s">
        <v>56</v>
      </c>
      <c r="F13">
        <v>2</v>
      </c>
      <c r="G13">
        <v>1</v>
      </c>
      <c r="H13">
        <v>61.65</v>
      </c>
      <c r="K13" t="s">
        <v>40</v>
      </c>
      <c r="L13">
        <v>42</v>
      </c>
    </row>
    <row r="14" spans="1:14" ht="14.4" x14ac:dyDescent="0.3">
      <c r="A14" t="s">
        <v>71</v>
      </c>
      <c r="B14" t="s">
        <v>37</v>
      </c>
      <c r="C14" t="s">
        <v>29</v>
      </c>
      <c r="D14" s="64" t="s">
        <v>72</v>
      </c>
      <c r="E14" t="s">
        <v>51</v>
      </c>
      <c r="F14">
        <v>0</v>
      </c>
      <c r="G14">
        <v>3</v>
      </c>
      <c r="H14">
        <v>74.290000000000006</v>
      </c>
      <c r="K14" t="s">
        <v>94</v>
      </c>
      <c r="L14">
        <v>40</v>
      </c>
    </row>
    <row r="15" spans="1:14" ht="14.4" x14ac:dyDescent="0.3">
      <c r="A15" t="s">
        <v>73</v>
      </c>
      <c r="B15" t="s">
        <v>37</v>
      </c>
      <c r="C15" t="s">
        <v>38</v>
      </c>
      <c r="D15" s="64" t="s">
        <v>74</v>
      </c>
      <c r="E15" t="s">
        <v>75</v>
      </c>
      <c r="F15">
        <v>4</v>
      </c>
      <c r="G15">
        <v>6</v>
      </c>
      <c r="H15">
        <v>94.62</v>
      </c>
      <c r="K15" t="s">
        <v>633</v>
      </c>
      <c r="L15">
        <v>280</v>
      </c>
    </row>
    <row r="16" spans="1:14" ht="14.4" x14ac:dyDescent="0.3">
      <c r="A16" t="s">
        <v>76</v>
      </c>
      <c r="B16" t="s">
        <v>64</v>
      </c>
      <c r="C16" t="s">
        <v>29</v>
      </c>
      <c r="D16" s="64" t="s">
        <v>77</v>
      </c>
      <c r="E16" t="s">
        <v>56</v>
      </c>
      <c r="F16">
        <v>3</v>
      </c>
      <c r="G16">
        <v>6</v>
      </c>
      <c r="H16">
        <v>94.57</v>
      </c>
    </row>
    <row r="17" spans="1:13" ht="14.4" x14ac:dyDescent="0.3">
      <c r="A17" t="s">
        <v>78</v>
      </c>
      <c r="B17" t="s">
        <v>37</v>
      </c>
      <c r="C17" t="s">
        <v>29</v>
      </c>
      <c r="D17" s="64" t="s">
        <v>79</v>
      </c>
      <c r="E17" t="s">
        <v>80</v>
      </c>
      <c r="F17">
        <v>0</v>
      </c>
      <c r="G17">
        <v>4</v>
      </c>
      <c r="H17">
        <v>82.2</v>
      </c>
      <c r="K17" s="4" t="s">
        <v>4</v>
      </c>
      <c r="L17" t="s">
        <v>646</v>
      </c>
      <c r="M17" t="s">
        <v>645</v>
      </c>
    </row>
    <row r="18" spans="1:13" ht="14.4" x14ac:dyDescent="0.3">
      <c r="A18" t="s">
        <v>81</v>
      </c>
      <c r="B18" t="s">
        <v>64</v>
      </c>
      <c r="C18" t="s">
        <v>82</v>
      </c>
      <c r="D18" s="64" t="s">
        <v>83</v>
      </c>
      <c r="E18" t="s">
        <v>75</v>
      </c>
      <c r="F18">
        <v>0</v>
      </c>
      <c r="G18">
        <v>0</v>
      </c>
      <c r="H18">
        <v>54.93</v>
      </c>
      <c r="K18" t="s">
        <v>31</v>
      </c>
      <c r="L18">
        <v>120</v>
      </c>
      <c r="M18">
        <v>70</v>
      </c>
    </row>
    <row r="19" spans="1:13" ht="14.4" x14ac:dyDescent="0.3">
      <c r="A19" t="s">
        <v>84</v>
      </c>
      <c r="B19" t="s">
        <v>37</v>
      </c>
      <c r="C19" t="s">
        <v>38</v>
      </c>
      <c r="D19" s="64" t="s">
        <v>85</v>
      </c>
      <c r="E19" t="s">
        <v>75</v>
      </c>
      <c r="F19">
        <v>4</v>
      </c>
      <c r="G19">
        <v>3</v>
      </c>
      <c r="H19">
        <v>74.23</v>
      </c>
      <c r="K19" t="s">
        <v>56</v>
      </c>
      <c r="L19">
        <v>133</v>
      </c>
      <c r="M19">
        <v>68</v>
      </c>
    </row>
    <row r="20" spans="1:13" ht="14.4" x14ac:dyDescent="0.3">
      <c r="A20" t="s">
        <v>86</v>
      </c>
      <c r="B20" t="s">
        <v>28</v>
      </c>
      <c r="C20" t="s">
        <v>29</v>
      </c>
      <c r="D20" s="64" t="s">
        <v>87</v>
      </c>
      <c r="E20" t="s">
        <v>56</v>
      </c>
      <c r="F20">
        <v>2</v>
      </c>
      <c r="G20">
        <v>5</v>
      </c>
      <c r="H20">
        <v>87.67</v>
      </c>
      <c r="K20" t="s">
        <v>80</v>
      </c>
      <c r="L20">
        <v>122</v>
      </c>
      <c r="M20">
        <v>78</v>
      </c>
    </row>
    <row r="21" spans="1:13" ht="14.4" x14ac:dyDescent="0.3">
      <c r="A21" t="s">
        <v>88</v>
      </c>
      <c r="B21" t="s">
        <v>68</v>
      </c>
      <c r="C21" t="s">
        <v>38</v>
      </c>
      <c r="D21" s="64" t="s">
        <v>89</v>
      </c>
      <c r="E21" t="s">
        <v>80</v>
      </c>
      <c r="F21">
        <v>4</v>
      </c>
      <c r="G21">
        <v>6</v>
      </c>
      <c r="H21">
        <v>94.51</v>
      </c>
      <c r="K21" t="s">
        <v>75</v>
      </c>
      <c r="L21">
        <v>117</v>
      </c>
      <c r="M21">
        <v>82</v>
      </c>
    </row>
    <row r="22" spans="1:13" ht="14.4" x14ac:dyDescent="0.3">
      <c r="A22" t="s">
        <v>90</v>
      </c>
      <c r="B22" t="s">
        <v>68</v>
      </c>
      <c r="C22" t="s">
        <v>65</v>
      </c>
      <c r="D22" s="64" t="s">
        <v>91</v>
      </c>
      <c r="E22" t="s">
        <v>80</v>
      </c>
      <c r="F22">
        <v>4</v>
      </c>
      <c r="G22">
        <v>2</v>
      </c>
      <c r="H22">
        <v>68.790000000000006</v>
      </c>
      <c r="K22" t="s">
        <v>51</v>
      </c>
      <c r="L22">
        <v>105</v>
      </c>
      <c r="M22">
        <v>56</v>
      </c>
    </row>
    <row r="23" spans="1:13" ht="14.4" x14ac:dyDescent="0.3">
      <c r="A23" t="s">
        <v>92</v>
      </c>
      <c r="B23" t="s">
        <v>64</v>
      </c>
      <c r="C23" t="s">
        <v>65</v>
      </c>
      <c r="D23" s="64" t="s">
        <v>93</v>
      </c>
      <c r="E23" t="s">
        <v>94</v>
      </c>
      <c r="F23">
        <v>4</v>
      </c>
      <c r="G23">
        <v>3</v>
      </c>
      <c r="H23">
        <v>73.97</v>
      </c>
      <c r="K23" t="s">
        <v>40</v>
      </c>
      <c r="L23">
        <v>139</v>
      </c>
      <c r="M23">
        <v>83</v>
      </c>
    </row>
    <row r="24" spans="1:13" ht="14.4" x14ac:dyDescent="0.3">
      <c r="A24" t="s">
        <v>95</v>
      </c>
      <c r="B24" t="s">
        <v>28</v>
      </c>
      <c r="C24" t="s">
        <v>29</v>
      </c>
      <c r="D24" s="64" t="s">
        <v>96</v>
      </c>
      <c r="E24" t="s">
        <v>40</v>
      </c>
      <c r="F24">
        <v>4</v>
      </c>
      <c r="G24">
        <v>4</v>
      </c>
      <c r="H24">
        <v>81.72</v>
      </c>
      <c r="K24" t="s">
        <v>94</v>
      </c>
      <c r="L24">
        <v>139</v>
      </c>
      <c r="M24">
        <v>77</v>
      </c>
    </row>
    <row r="25" spans="1:13" ht="14.4" x14ac:dyDescent="0.3">
      <c r="A25" t="s">
        <v>97</v>
      </c>
      <c r="B25" t="s">
        <v>64</v>
      </c>
      <c r="C25" t="s">
        <v>29</v>
      </c>
      <c r="D25" s="64" t="s">
        <v>98</v>
      </c>
      <c r="E25" t="s">
        <v>31</v>
      </c>
      <c r="F25">
        <v>1</v>
      </c>
      <c r="G25">
        <v>5</v>
      </c>
      <c r="H25">
        <v>87.38</v>
      </c>
      <c r="K25" t="s">
        <v>633</v>
      </c>
      <c r="L25">
        <v>875</v>
      </c>
      <c r="M25">
        <v>514</v>
      </c>
    </row>
    <row r="26" spans="1:13" thickBot="1" x14ac:dyDescent="0.35">
      <c r="A26" t="s">
        <v>99</v>
      </c>
      <c r="B26" t="s">
        <v>68</v>
      </c>
      <c r="C26" t="s">
        <v>29</v>
      </c>
      <c r="D26" s="64" t="s">
        <v>100</v>
      </c>
      <c r="E26" t="s">
        <v>75</v>
      </c>
      <c r="F26">
        <v>1</v>
      </c>
      <c r="G26">
        <v>0</v>
      </c>
      <c r="H26">
        <v>54.8</v>
      </c>
    </row>
    <row r="27" spans="1:13" ht="14.4" x14ac:dyDescent="0.3">
      <c r="A27" t="s">
        <v>101</v>
      </c>
      <c r="B27" t="s">
        <v>64</v>
      </c>
      <c r="C27" t="s">
        <v>38</v>
      </c>
      <c r="D27" s="64" t="s">
        <v>102</v>
      </c>
      <c r="E27" t="s">
        <v>80</v>
      </c>
      <c r="F27">
        <v>2</v>
      </c>
      <c r="G27">
        <v>0</v>
      </c>
      <c r="H27">
        <v>54.76</v>
      </c>
      <c r="K27" s="51" t="s">
        <v>621</v>
      </c>
      <c r="L27" s="52">
        <f>MIN(L18:L24)</f>
        <v>105</v>
      </c>
      <c r="M27" s="53">
        <f>MIN(M18:M24)</f>
        <v>56</v>
      </c>
    </row>
    <row r="28" spans="1:13" ht="14.4" x14ac:dyDescent="0.3">
      <c r="A28" t="s">
        <v>103</v>
      </c>
      <c r="B28" t="s">
        <v>64</v>
      </c>
      <c r="C28" t="s">
        <v>29</v>
      </c>
      <c r="D28" s="64" t="s">
        <v>104</v>
      </c>
      <c r="E28" t="s">
        <v>51</v>
      </c>
      <c r="F28">
        <v>0</v>
      </c>
      <c r="G28">
        <v>4</v>
      </c>
      <c r="H28">
        <v>81.45</v>
      </c>
      <c r="K28" s="54" t="s">
        <v>624</v>
      </c>
      <c r="L28" s="55">
        <f>MAX(L18:L24)</f>
        <v>139</v>
      </c>
      <c r="M28" s="56">
        <f>MAX(M18:M24)</f>
        <v>83</v>
      </c>
    </row>
    <row r="29" spans="1:13" ht="14.4" x14ac:dyDescent="0.3">
      <c r="A29" t="s">
        <v>105</v>
      </c>
      <c r="B29" t="s">
        <v>28</v>
      </c>
      <c r="C29" t="s">
        <v>65</v>
      </c>
      <c r="D29" s="64" t="s">
        <v>106</v>
      </c>
      <c r="E29" t="s">
        <v>31</v>
      </c>
      <c r="F29">
        <v>4</v>
      </c>
      <c r="G29">
        <v>4</v>
      </c>
      <c r="H29">
        <v>81.45</v>
      </c>
      <c r="K29" s="54" t="s">
        <v>659</v>
      </c>
      <c r="L29" s="55">
        <f>AVERAGE(L18:L24)</f>
        <v>125</v>
      </c>
      <c r="M29" s="57">
        <f>AVERAGE(M18:M24)</f>
        <v>73.428571428571431</v>
      </c>
    </row>
    <row r="30" spans="1:13" thickBot="1" x14ac:dyDescent="0.35">
      <c r="A30" t="s">
        <v>107</v>
      </c>
      <c r="B30" t="s">
        <v>37</v>
      </c>
      <c r="C30" t="s">
        <v>65</v>
      </c>
      <c r="D30" s="64" t="s">
        <v>108</v>
      </c>
      <c r="E30" t="s">
        <v>75</v>
      </c>
      <c r="F30">
        <v>0</v>
      </c>
      <c r="G30">
        <v>2</v>
      </c>
      <c r="H30">
        <v>68.58</v>
      </c>
      <c r="K30" s="58" t="s">
        <v>676</v>
      </c>
      <c r="L30" s="59">
        <f>_xlfn.STDEV.S(L18:L24)</f>
        <v>12.609520212918492</v>
      </c>
      <c r="M30" s="60">
        <f>_xlfn.STDEV.S(M18:M24)</f>
        <v>9.5194037428321678</v>
      </c>
    </row>
    <row r="31" spans="1:13" ht="14.4" x14ac:dyDescent="0.3">
      <c r="A31" t="s">
        <v>109</v>
      </c>
      <c r="B31" t="s">
        <v>37</v>
      </c>
      <c r="C31" t="s">
        <v>38</v>
      </c>
      <c r="D31" s="64" t="s">
        <v>110</v>
      </c>
      <c r="E31" t="s">
        <v>40</v>
      </c>
      <c r="F31">
        <v>0</v>
      </c>
      <c r="G31">
        <v>6</v>
      </c>
      <c r="H31">
        <v>94.34</v>
      </c>
      <c r="K31" s="4" t="s">
        <v>1</v>
      </c>
      <c r="L31" t="s">
        <v>677</v>
      </c>
    </row>
    <row r="32" spans="1:13" ht="14.4" x14ac:dyDescent="0.3">
      <c r="A32" t="s">
        <v>111</v>
      </c>
      <c r="B32" t="s">
        <v>64</v>
      </c>
      <c r="C32" t="s">
        <v>38</v>
      </c>
      <c r="D32" s="64" t="s">
        <v>112</v>
      </c>
      <c r="E32" t="s">
        <v>40</v>
      </c>
      <c r="F32">
        <v>2</v>
      </c>
      <c r="G32">
        <v>0</v>
      </c>
      <c r="H32">
        <v>54.64</v>
      </c>
    </row>
    <row r="33" spans="1:12" ht="14.4" x14ac:dyDescent="0.3">
      <c r="A33" t="s">
        <v>113</v>
      </c>
      <c r="B33" t="s">
        <v>68</v>
      </c>
      <c r="C33" t="s">
        <v>29</v>
      </c>
      <c r="D33" s="64" t="s">
        <v>114</v>
      </c>
      <c r="E33" t="s">
        <v>31</v>
      </c>
      <c r="F33">
        <v>4</v>
      </c>
      <c r="G33">
        <v>5</v>
      </c>
      <c r="H33">
        <v>87.38</v>
      </c>
      <c r="K33" s="4" t="s">
        <v>4</v>
      </c>
      <c r="L33" t="s">
        <v>678</v>
      </c>
    </row>
    <row r="34" spans="1:12" ht="14.4" x14ac:dyDescent="0.3">
      <c r="A34" t="s">
        <v>115</v>
      </c>
      <c r="B34" t="s">
        <v>68</v>
      </c>
      <c r="C34" t="s">
        <v>38</v>
      </c>
      <c r="D34" s="64" t="s">
        <v>116</v>
      </c>
      <c r="E34" t="s">
        <v>40</v>
      </c>
      <c r="F34">
        <v>4</v>
      </c>
      <c r="G34">
        <v>3</v>
      </c>
      <c r="H34">
        <v>73.86</v>
      </c>
      <c r="K34" t="s">
        <v>31</v>
      </c>
      <c r="L34">
        <v>71.023095238095237</v>
      </c>
    </row>
    <row r="35" spans="1:12" ht="14.4" x14ac:dyDescent="0.3">
      <c r="A35" t="s">
        <v>117</v>
      </c>
      <c r="B35" t="s">
        <v>68</v>
      </c>
      <c r="C35" t="s">
        <v>29</v>
      </c>
      <c r="D35" s="64" t="s">
        <v>118</v>
      </c>
      <c r="E35" t="s">
        <v>56</v>
      </c>
      <c r="F35">
        <v>3</v>
      </c>
      <c r="G35">
        <v>5</v>
      </c>
      <c r="H35">
        <v>87.18</v>
      </c>
      <c r="K35" t="s">
        <v>56</v>
      </c>
      <c r="L35">
        <v>73.34</v>
      </c>
    </row>
    <row r="36" spans="1:12" ht="14.4" x14ac:dyDescent="0.3">
      <c r="A36" t="s">
        <v>119</v>
      </c>
      <c r="B36" t="s">
        <v>28</v>
      </c>
      <c r="C36" t="s">
        <v>29</v>
      </c>
      <c r="D36" s="64" t="s">
        <v>120</v>
      </c>
      <c r="E36" t="s">
        <v>75</v>
      </c>
      <c r="F36">
        <v>0</v>
      </c>
      <c r="G36">
        <v>1</v>
      </c>
      <c r="H36">
        <v>61.64</v>
      </c>
      <c r="K36" t="s">
        <v>80</v>
      </c>
      <c r="L36">
        <v>73.602432432432437</v>
      </c>
    </row>
    <row r="37" spans="1:12" ht="14.4" x14ac:dyDescent="0.3">
      <c r="A37" t="s">
        <v>121</v>
      </c>
      <c r="B37" t="s">
        <v>28</v>
      </c>
      <c r="C37" t="s">
        <v>65</v>
      </c>
      <c r="D37" s="64" t="s">
        <v>122</v>
      </c>
      <c r="E37" t="s">
        <v>56</v>
      </c>
      <c r="F37">
        <v>0</v>
      </c>
      <c r="G37">
        <v>1</v>
      </c>
      <c r="H37">
        <v>61.37</v>
      </c>
      <c r="K37" t="s">
        <v>75</v>
      </c>
      <c r="L37">
        <v>70.172954545454544</v>
      </c>
    </row>
    <row r="38" spans="1:12" ht="14.4" x14ac:dyDescent="0.3">
      <c r="A38" t="s">
        <v>123</v>
      </c>
      <c r="B38" t="s">
        <v>68</v>
      </c>
      <c r="C38" t="s">
        <v>38</v>
      </c>
      <c r="D38" s="64" t="s">
        <v>124</v>
      </c>
      <c r="E38" t="s">
        <v>56</v>
      </c>
      <c r="F38">
        <v>1</v>
      </c>
      <c r="G38">
        <v>4</v>
      </c>
      <c r="H38">
        <v>81.31</v>
      </c>
      <c r="K38" t="s">
        <v>51</v>
      </c>
      <c r="L38">
        <v>72.784705882352952</v>
      </c>
    </row>
    <row r="39" spans="1:12" ht="14.4" x14ac:dyDescent="0.3">
      <c r="A39" t="s">
        <v>125</v>
      </c>
      <c r="B39" t="s">
        <v>64</v>
      </c>
      <c r="C39" t="s">
        <v>38</v>
      </c>
      <c r="D39" s="64" t="s">
        <v>126</v>
      </c>
      <c r="E39" t="s">
        <v>75</v>
      </c>
      <c r="F39">
        <v>3</v>
      </c>
      <c r="G39">
        <v>2</v>
      </c>
      <c r="H39">
        <v>68.239999999999995</v>
      </c>
      <c r="K39" t="s">
        <v>40</v>
      </c>
      <c r="L39">
        <v>73.764523809523837</v>
      </c>
    </row>
    <row r="40" spans="1:12" ht="14.4" x14ac:dyDescent="0.3">
      <c r="A40" t="s">
        <v>127</v>
      </c>
      <c r="B40" t="s">
        <v>64</v>
      </c>
      <c r="C40" t="s">
        <v>65</v>
      </c>
      <c r="D40" s="64" t="s">
        <v>128</v>
      </c>
      <c r="E40" t="s">
        <v>51</v>
      </c>
      <c r="F40">
        <v>1</v>
      </c>
      <c r="G40">
        <v>1</v>
      </c>
      <c r="H40">
        <v>61.28</v>
      </c>
      <c r="K40" t="s">
        <v>94</v>
      </c>
      <c r="L40">
        <v>74.588249999999988</v>
      </c>
    </row>
    <row r="41" spans="1:12" ht="14.4" x14ac:dyDescent="0.3">
      <c r="A41" t="s">
        <v>129</v>
      </c>
      <c r="B41" t="s">
        <v>28</v>
      </c>
      <c r="C41" t="s">
        <v>65</v>
      </c>
      <c r="D41" s="64" t="s">
        <v>130</v>
      </c>
      <c r="E41" t="s">
        <v>31</v>
      </c>
      <c r="F41">
        <v>1</v>
      </c>
      <c r="G41">
        <v>0</v>
      </c>
      <c r="H41">
        <v>54.13</v>
      </c>
      <c r="K41" t="s">
        <v>633</v>
      </c>
      <c r="L41">
        <v>72.704035714285709</v>
      </c>
    </row>
    <row r="42" spans="1:12" ht="14.4" x14ac:dyDescent="0.3">
      <c r="A42" t="s">
        <v>131</v>
      </c>
      <c r="B42" t="s">
        <v>64</v>
      </c>
      <c r="C42" t="s">
        <v>29</v>
      </c>
      <c r="D42" s="64" t="s">
        <v>132</v>
      </c>
      <c r="E42" t="s">
        <v>40</v>
      </c>
      <c r="F42">
        <v>1</v>
      </c>
      <c r="G42">
        <v>5</v>
      </c>
      <c r="H42">
        <v>87.13</v>
      </c>
    </row>
    <row r="43" spans="1:12" ht="14.4" x14ac:dyDescent="0.3">
      <c r="A43" t="s">
        <v>133</v>
      </c>
      <c r="B43" t="s">
        <v>68</v>
      </c>
      <c r="C43" t="s">
        <v>29</v>
      </c>
      <c r="D43" s="64" t="s">
        <v>134</v>
      </c>
      <c r="E43" t="s">
        <v>75</v>
      </c>
      <c r="F43">
        <v>2</v>
      </c>
      <c r="G43">
        <v>5</v>
      </c>
      <c r="H43">
        <v>87.02</v>
      </c>
    </row>
    <row r="44" spans="1:12" ht="14.4" x14ac:dyDescent="0.3">
      <c r="A44" t="s">
        <v>135</v>
      </c>
      <c r="B44" t="s">
        <v>28</v>
      </c>
      <c r="C44" t="s">
        <v>65</v>
      </c>
      <c r="D44" s="64" t="s">
        <v>136</v>
      </c>
      <c r="E44" t="s">
        <v>94</v>
      </c>
      <c r="F44">
        <v>2</v>
      </c>
      <c r="G44">
        <v>4</v>
      </c>
      <c r="H44">
        <v>81.19</v>
      </c>
    </row>
    <row r="45" spans="1:12" ht="14.4" x14ac:dyDescent="0.3">
      <c r="A45" t="s">
        <v>137</v>
      </c>
      <c r="B45" t="s">
        <v>64</v>
      </c>
      <c r="C45" t="s">
        <v>38</v>
      </c>
      <c r="D45" s="64" t="s">
        <v>138</v>
      </c>
      <c r="E45" t="s">
        <v>56</v>
      </c>
      <c r="F45">
        <v>1</v>
      </c>
      <c r="G45">
        <v>6</v>
      </c>
      <c r="H45">
        <v>94.2</v>
      </c>
    </row>
    <row r="46" spans="1:12" ht="14.4" x14ac:dyDescent="0.3">
      <c r="A46" t="s">
        <v>139</v>
      </c>
      <c r="B46" t="s">
        <v>28</v>
      </c>
      <c r="C46" t="s">
        <v>38</v>
      </c>
      <c r="D46" s="64" t="s">
        <v>140</v>
      </c>
      <c r="E46" t="s">
        <v>75</v>
      </c>
      <c r="F46">
        <v>3</v>
      </c>
      <c r="G46">
        <v>6</v>
      </c>
      <c r="H46">
        <v>94.13</v>
      </c>
    </row>
    <row r="47" spans="1:12" ht="14.4" x14ac:dyDescent="0.3">
      <c r="A47" t="s">
        <v>141</v>
      </c>
      <c r="B47" t="s">
        <v>64</v>
      </c>
      <c r="C47" t="s">
        <v>38</v>
      </c>
      <c r="D47" s="64" t="s">
        <v>142</v>
      </c>
      <c r="E47" t="s">
        <v>80</v>
      </c>
      <c r="F47">
        <v>0</v>
      </c>
      <c r="G47">
        <v>3</v>
      </c>
      <c r="H47">
        <v>73.83</v>
      </c>
    </row>
    <row r="48" spans="1:12" ht="14.4" x14ac:dyDescent="0.3">
      <c r="A48" t="s">
        <v>143</v>
      </c>
      <c r="B48" t="s">
        <v>28</v>
      </c>
      <c r="C48" t="s">
        <v>65</v>
      </c>
      <c r="D48" s="64" t="s">
        <v>144</v>
      </c>
      <c r="E48" t="s">
        <v>51</v>
      </c>
      <c r="F48">
        <v>3</v>
      </c>
      <c r="G48">
        <v>4</v>
      </c>
      <c r="H48">
        <v>81.099999999999994</v>
      </c>
    </row>
    <row r="49" spans="1:8" ht="14.4" x14ac:dyDescent="0.3">
      <c r="A49" t="s">
        <v>145</v>
      </c>
      <c r="B49" t="s">
        <v>64</v>
      </c>
      <c r="C49" t="s">
        <v>65</v>
      </c>
      <c r="D49" s="64" t="s">
        <v>146</v>
      </c>
      <c r="E49" t="s">
        <v>94</v>
      </c>
      <c r="F49">
        <v>4</v>
      </c>
      <c r="G49">
        <v>3</v>
      </c>
      <c r="H49">
        <v>73.63</v>
      </c>
    </row>
    <row r="50" spans="1:8" ht="14.4" x14ac:dyDescent="0.3">
      <c r="A50" t="s">
        <v>147</v>
      </c>
      <c r="B50" t="s">
        <v>28</v>
      </c>
      <c r="C50" t="s">
        <v>38</v>
      </c>
      <c r="D50" s="64" t="s">
        <v>148</v>
      </c>
      <c r="E50" t="s">
        <v>94</v>
      </c>
      <c r="F50">
        <v>2</v>
      </c>
      <c r="G50">
        <v>6</v>
      </c>
      <c r="H50">
        <v>93.85</v>
      </c>
    </row>
    <row r="51" spans="1:8" ht="14.4" x14ac:dyDescent="0.3">
      <c r="A51" t="s">
        <v>149</v>
      </c>
      <c r="B51" t="s">
        <v>68</v>
      </c>
      <c r="C51" t="s">
        <v>29</v>
      </c>
      <c r="D51" s="64" t="s">
        <v>150</v>
      </c>
      <c r="E51" t="s">
        <v>75</v>
      </c>
      <c r="F51">
        <v>0</v>
      </c>
      <c r="G51">
        <v>4</v>
      </c>
      <c r="H51">
        <v>81.08</v>
      </c>
    </row>
    <row r="52" spans="1:8" ht="14.4" x14ac:dyDescent="0.3">
      <c r="A52" t="s">
        <v>151</v>
      </c>
      <c r="B52" t="s">
        <v>37</v>
      </c>
      <c r="C52" t="s">
        <v>29</v>
      </c>
      <c r="D52" s="64" t="s">
        <v>152</v>
      </c>
      <c r="E52" t="s">
        <v>75</v>
      </c>
      <c r="F52">
        <v>0</v>
      </c>
      <c r="G52">
        <v>4</v>
      </c>
      <c r="H52">
        <v>80.739999999999995</v>
      </c>
    </row>
    <row r="53" spans="1:8" ht="14.4" x14ac:dyDescent="0.3">
      <c r="A53" t="s">
        <v>153</v>
      </c>
      <c r="B53" t="s">
        <v>64</v>
      </c>
      <c r="C53" t="s">
        <v>29</v>
      </c>
      <c r="D53" s="64" t="s">
        <v>154</v>
      </c>
      <c r="E53" t="s">
        <v>56</v>
      </c>
      <c r="F53">
        <v>4</v>
      </c>
      <c r="G53">
        <v>4</v>
      </c>
      <c r="H53">
        <v>80.150000000000006</v>
      </c>
    </row>
    <row r="54" spans="1:8" ht="14.4" x14ac:dyDescent="0.3">
      <c r="A54" t="s">
        <v>155</v>
      </c>
      <c r="B54" t="s">
        <v>68</v>
      </c>
      <c r="C54" t="s">
        <v>38</v>
      </c>
      <c r="D54" s="64" t="s">
        <v>156</v>
      </c>
      <c r="E54" t="s">
        <v>31</v>
      </c>
      <c r="F54">
        <v>4</v>
      </c>
      <c r="G54">
        <v>6</v>
      </c>
      <c r="H54">
        <v>93.55</v>
      </c>
    </row>
    <row r="55" spans="1:8" ht="14.4" x14ac:dyDescent="0.3">
      <c r="A55" t="s">
        <v>157</v>
      </c>
      <c r="B55" t="s">
        <v>64</v>
      </c>
      <c r="C55" t="s">
        <v>38</v>
      </c>
      <c r="D55" s="64" t="s">
        <v>158</v>
      </c>
      <c r="E55" t="s">
        <v>94</v>
      </c>
      <c r="F55">
        <v>1</v>
      </c>
      <c r="G55">
        <v>3</v>
      </c>
      <c r="H55">
        <v>73.510000000000005</v>
      </c>
    </row>
    <row r="56" spans="1:8" ht="14.4" x14ac:dyDescent="0.3">
      <c r="A56" t="s">
        <v>159</v>
      </c>
      <c r="B56" t="s">
        <v>37</v>
      </c>
      <c r="C56" t="s">
        <v>38</v>
      </c>
      <c r="D56" s="64" t="s">
        <v>160</v>
      </c>
      <c r="E56" t="s">
        <v>94</v>
      </c>
      <c r="F56">
        <v>2</v>
      </c>
      <c r="G56">
        <v>3</v>
      </c>
      <c r="H56">
        <v>73.510000000000005</v>
      </c>
    </row>
    <row r="57" spans="1:8" ht="14.4" x14ac:dyDescent="0.3">
      <c r="A57" t="s">
        <v>161</v>
      </c>
      <c r="B57" t="s">
        <v>68</v>
      </c>
      <c r="C57" t="s">
        <v>29</v>
      </c>
      <c r="D57" s="64" t="s">
        <v>162</v>
      </c>
      <c r="E57" t="s">
        <v>75</v>
      </c>
      <c r="F57">
        <v>2</v>
      </c>
      <c r="G57">
        <v>4</v>
      </c>
      <c r="H57">
        <v>79.8</v>
      </c>
    </row>
    <row r="58" spans="1:8" ht="14.4" x14ac:dyDescent="0.3">
      <c r="A58" t="s">
        <v>163</v>
      </c>
      <c r="B58" t="s">
        <v>64</v>
      </c>
      <c r="C58" t="s">
        <v>38</v>
      </c>
      <c r="D58" s="64" t="s">
        <v>164</v>
      </c>
      <c r="E58" t="s">
        <v>51</v>
      </c>
      <c r="F58">
        <v>3</v>
      </c>
      <c r="G58">
        <v>1</v>
      </c>
      <c r="H58">
        <v>61.04</v>
      </c>
    </row>
    <row r="59" spans="1:8" ht="14.4" x14ac:dyDescent="0.3">
      <c r="A59" t="s">
        <v>165</v>
      </c>
      <c r="B59" t="s">
        <v>28</v>
      </c>
      <c r="C59" t="s">
        <v>38</v>
      </c>
      <c r="D59" s="64" t="s">
        <v>166</v>
      </c>
      <c r="E59" t="s">
        <v>51</v>
      </c>
      <c r="F59">
        <v>1</v>
      </c>
      <c r="G59">
        <v>2</v>
      </c>
      <c r="H59">
        <v>68.2</v>
      </c>
    </row>
    <row r="60" spans="1:8" ht="14.4" x14ac:dyDescent="0.3">
      <c r="A60" t="s">
        <v>167</v>
      </c>
      <c r="B60" t="s">
        <v>68</v>
      </c>
      <c r="C60" t="s">
        <v>38</v>
      </c>
      <c r="D60" s="64" t="s">
        <v>168</v>
      </c>
      <c r="E60" t="s">
        <v>56</v>
      </c>
      <c r="F60">
        <v>1</v>
      </c>
      <c r="G60">
        <v>6</v>
      </c>
      <c r="H60">
        <v>93.3</v>
      </c>
    </row>
    <row r="61" spans="1:8" ht="14.4" x14ac:dyDescent="0.3">
      <c r="A61" t="s">
        <v>169</v>
      </c>
      <c r="B61" t="s">
        <v>28</v>
      </c>
      <c r="C61" t="s">
        <v>29</v>
      </c>
      <c r="D61" s="64" t="s">
        <v>170</v>
      </c>
      <c r="E61" t="s">
        <v>31</v>
      </c>
      <c r="F61">
        <v>1</v>
      </c>
      <c r="G61">
        <v>2</v>
      </c>
      <c r="H61">
        <v>68.2</v>
      </c>
    </row>
    <row r="62" spans="1:8" ht="14.4" x14ac:dyDescent="0.3">
      <c r="A62" t="s">
        <v>171</v>
      </c>
      <c r="B62" t="s">
        <v>37</v>
      </c>
      <c r="C62" t="s">
        <v>65</v>
      </c>
      <c r="D62" s="64" t="s">
        <v>172</v>
      </c>
      <c r="E62" t="s">
        <v>40</v>
      </c>
      <c r="F62">
        <v>1</v>
      </c>
      <c r="G62">
        <v>2</v>
      </c>
      <c r="H62">
        <v>68.11</v>
      </c>
    </row>
    <row r="63" spans="1:8" ht="14.4" x14ac:dyDescent="0.3">
      <c r="A63" t="s">
        <v>173</v>
      </c>
      <c r="B63" t="s">
        <v>37</v>
      </c>
      <c r="C63" t="s">
        <v>29</v>
      </c>
      <c r="D63" s="64" t="s">
        <v>174</v>
      </c>
      <c r="E63" t="s">
        <v>31</v>
      </c>
      <c r="F63">
        <v>2</v>
      </c>
      <c r="G63">
        <v>3</v>
      </c>
      <c r="H63">
        <v>73.459999999999994</v>
      </c>
    </row>
    <row r="64" spans="1:8" ht="14.4" x14ac:dyDescent="0.3">
      <c r="A64" t="s">
        <v>175</v>
      </c>
      <c r="B64" t="s">
        <v>28</v>
      </c>
      <c r="C64" t="s">
        <v>29</v>
      </c>
      <c r="D64" s="64" t="s">
        <v>176</v>
      </c>
      <c r="E64" t="s">
        <v>94</v>
      </c>
      <c r="F64">
        <v>2</v>
      </c>
      <c r="G64">
        <v>3</v>
      </c>
      <c r="H64">
        <v>73.459999999999994</v>
      </c>
    </row>
    <row r="65" spans="1:8" ht="14.4" x14ac:dyDescent="0.3">
      <c r="A65" t="s">
        <v>177</v>
      </c>
      <c r="B65" t="s">
        <v>68</v>
      </c>
      <c r="C65" t="s">
        <v>29</v>
      </c>
      <c r="D65" s="64" t="s">
        <v>178</v>
      </c>
      <c r="E65" t="s">
        <v>56</v>
      </c>
      <c r="F65">
        <v>1</v>
      </c>
      <c r="G65">
        <v>1</v>
      </c>
      <c r="H65">
        <v>60.74</v>
      </c>
    </row>
    <row r="66" spans="1:8" ht="14.4" x14ac:dyDescent="0.3">
      <c r="A66" t="s">
        <v>179</v>
      </c>
      <c r="B66" t="s">
        <v>68</v>
      </c>
      <c r="C66" t="s">
        <v>65</v>
      </c>
      <c r="D66" s="64" t="s">
        <v>180</v>
      </c>
      <c r="E66" t="s">
        <v>31</v>
      </c>
      <c r="F66">
        <v>3</v>
      </c>
      <c r="G66">
        <v>2</v>
      </c>
      <c r="H66">
        <v>68.069999999999993</v>
      </c>
    </row>
    <row r="67" spans="1:8" ht="14.4" x14ac:dyDescent="0.3">
      <c r="A67" t="s">
        <v>181</v>
      </c>
      <c r="B67" t="s">
        <v>68</v>
      </c>
      <c r="C67" t="s">
        <v>65</v>
      </c>
      <c r="D67" s="64" t="s">
        <v>182</v>
      </c>
      <c r="E67" t="s">
        <v>56</v>
      </c>
      <c r="F67">
        <v>0</v>
      </c>
      <c r="G67">
        <v>2</v>
      </c>
      <c r="H67">
        <v>67.92</v>
      </c>
    </row>
    <row r="68" spans="1:8" ht="14.4" x14ac:dyDescent="0.3">
      <c r="A68" t="s">
        <v>183</v>
      </c>
      <c r="B68" t="s">
        <v>68</v>
      </c>
      <c r="C68" t="s">
        <v>29</v>
      </c>
      <c r="D68" s="64" t="s">
        <v>184</v>
      </c>
      <c r="E68" t="s">
        <v>75</v>
      </c>
      <c r="F68">
        <v>0</v>
      </c>
      <c r="G68">
        <v>4</v>
      </c>
      <c r="H68">
        <v>79.77</v>
      </c>
    </row>
    <row r="69" spans="1:8" ht="14.4" x14ac:dyDescent="0.3">
      <c r="A69" t="s">
        <v>185</v>
      </c>
      <c r="B69" t="s">
        <v>37</v>
      </c>
      <c r="C69" t="s">
        <v>29</v>
      </c>
      <c r="D69" s="64" t="s">
        <v>186</v>
      </c>
      <c r="E69" t="s">
        <v>40</v>
      </c>
      <c r="F69">
        <v>3</v>
      </c>
      <c r="G69">
        <v>3</v>
      </c>
      <c r="H69">
        <v>73.41</v>
      </c>
    </row>
    <row r="70" spans="1:8" ht="14.4" x14ac:dyDescent="0.3">
      <c r="A70" t="s">
        <v>187</v>
      </c>
      <c r="B70" t="s">
        <v>28</v>
      </c>
      <c r="C70" t="s">
        <v>29</v>
      </c>
      <c r="D70" s="64" t="s">
        <v>188</v>
      </c>
      <c r="E70" t="s">
        <v>40</v>
      </c>
      <c r="F70">
        <v>1</v>
      </c>
      <c r="G70">
        <v>2</v>
      </c>
      <c r="H70">
        <v>67.849999999999994</v>
      </c>
    </row>
    <row r="71" spans="1:8" ht="14.4" x14ac:dyDescent="0.3">
      <c r="A71" t="s">
        <v>189</v>
      </c>
      <c r="B71" t="s">
        <v>37</v>
      </c>
      <c r="C71" t="s">
        <v>29</v>
      </c>
      <c r="D71" s="64" t="s">
        <v>190</v>
      </c>
      <c r="E71" t="s">
        <v>40</v>
      </c>
      <c r="F71">
        <v>2</v>
      </c>
      <c r="G71">
        <v>5</v>
      </c>
      <c r="H71">
        <v>86.9</v>
      </c>
    </row>
    <row r="72" spans="1:8" ht="14.4" x14ac:dyDescent="0.3">
      <c r="A72" t="s">
        <v>191</v>
      </c>
      <c r="B72" t="s">
        <v>64</v>
      </c>
      <c r="C72" t="s">
        <v>29</v>
      </c>
      <c r="D72" s="64" t="s">
        <v>192</v>
      </c>
      <c r="E72" t="s">
        <v>80</v>
      </c>
      <c r="F72">
        <v>0</v>
      </c>
      <c r="G72">
        <v>1</v>
      </c>
      <c r="H72">
        <v>60.38</v>
      </c>
    </row>
    <row r="73" spans="1:8" ht="14.4" x14ac:dyDescent="0.3">
      <c r="A73" t="s">
        <v>193</v>
      </c>
      <c r="B73" t="s">
        <v>37</v>
      </c>
      <c r="C73" t="s">
        <v>38</v>
      </c>
      <c r="D73" s="64" t="s">
        <v>194</v>
      </c>
      <c r="E73" t="s">
        <v>40</v>
      </c>
      <c r="F73">
        <v>4</v>
      </c>
      <c r="G73">
        <v>5</v>
      </c>
      <c r="H73">
        <v>86.84</v>
      </c>
    </row>
    <row r="74" spans="1:8" ht="14.4" x14ac:dyDescent="0.3">
      <c r="A74" t="s">
        <v>195</v>
      </c>
      <c r="B74" t="s">
        <v>28</v>
      </c>
      <c r="C74" t="s">
        <v>29</v>
      </c>
      <c r="D74" s="64" t="s">
        <v>196</v>
      </c>
      <c r="E74" t="s">
        <v>51</v>
      </c>
      <c r="F74">
        <v>4</v>
      </c>
      <c r="G74">
        <v>5</v>
      </c>
      <c r="H74">
        <v>86.68</v>
      </c>
    </row>
    <row r="75" spans="1:8" ht="14.4" x14ac:dyDescent="0.3">
      <c r="A75" t="s">
        <v>197</v>
      </c>
      <c r="B75" t="s">
        <v>64</v>
      </c>
      <c r="C75" t="s">
        <v>29</v>
      </c>
      <c r="D75" s="64" t="s">
        <v>198</v>
      </c>
      <c r="E75" t="s">
        <v>51</v>
      </c>
      <c r="F75">
        <v>3</v>
      </c>
      <c r="G75">
        <v>6</v>
      </c>
      <c r="H75">
        <v>93.29</v>
      </c>
    </row>
    <row r="76" spans="1:8" ht="14.4" x14ac:dyDescent="0.3">
      <c r="A76" t="s">
        <v>199</v>
      </c>
      <c r="B76" t="s">
        <v>28</v>
      </c>
      <c r="C76" t="s">
        <v>29</v>
      </c>
      <c r="D76" s="64" t="s">
        <v>200</v>
      </c>
      <c r="E76" t="s">
        <v>75</v>
      </c>
      <c r="F76">
        <v>1</v>
      </c>
      <c r="G76">
        <v>6</v>
      </c>
      <c r="H76">
        <v>93.26</v>
      </c>
    </row>
    <row r="77" spans="1:8" ht="14.4" x14ac:dyDescent="0.3">
      <c r="A77" t="s">
        <v>201</v>
      </c>
      <c r="B77" t="s">
        <v>28</v>
      </c>
      <c r="C77" t="s">
        <v>29</v>
      </c>
      <c r="D77" s="64" t="s">
        <v>202</v>
      </c>
      <c r="E77" t="s">
        <v>56</v>
      </c>
      <c r="F77">
        <v>0</v>
      </c>
      <c r="G77">
        <v>1</v>
      </c>
      <c r="H77">
        <v>60.29</v>
      </c>
    </row>
    <row r="78" spans="1:8" ht="14.4" x14ac:dyDescent="0.3">
      <c r="A78" t="s">
        <v>203</v>
      </c>
      <c r="B78" t="s">
        <v>28</v>
      </c>
      <c r="C78" t="s">
        <v>38</v>
      </c>
      <c r="D78" s="64" t="s">
        <v>204</v>
      </c>
      <c r="E78" t="s">
        <v>51</v>
      </c>
      <c r="F78">
        <v>1</v>
      </c>
      <c r="G78">
        <v>5</v>
      </c>
      <c r="H78">
        <v>86.33</v>
      </c>
    </row>
    <row r="79" spans="1:8" ht="14.4" x14ac:dyDescent="0.3">
      <c r="A79" t="s">
        <v>205</v>
      </c>
      <c r="B79" t="s">
        <v>28</v>
      </c>
      <c r="C79" t="s">
        <v>29</v>
      </c>
      <c r="D79" s="64" t="s">
        <v>206</v>
      </c>
      <c r="E79" t="s">
        <v>31</v>
      </c>
      <c r="F79">
        <v>0</v>
      </c>
      <c r="G79">
        <v>2</v>
      </c>
      <c r="H79">
        <v>67.650000000000006</v>
      </c>
    </row>
    <row r="80" spans="1:8" ht="14.4" x14ac:dyDescent="0.3">
      <c r="A80" t="s">
        <v>207</v>
      </c>
      <c r="B80" t="s">
        <v>37</v>
      </c>
      <c r="C80" t="s">
        <v>38</v>
      </c>
      <c r="D80" s="64" t="s">
        <v>208</v>
      </c>
      <c r="E80" t="s">
        <v>51</v>
      </c>
      <c r="F80">
        <v>3</v>
      </c>
      <c r="G80">
        <v>3</v>
      </c>
      <c r="H80">
        <v>73.319999999999993</v>
      </c>
    </row>
    <row r="81" spans="1:8" ht="14.4" x14ac:dyDescent="0.3">
      <c r="A81" t="s">
        <v>209</v>
      </c>
      <c r="B81" t="s">
        <v>68</v>
      </c>
      <c r="C81" t="s">
        <v>65</v>
      </c>
      <c r="D81" s="64" t="s">
        <v>210</v>
      </c>
      <c r="E81" t="s">
        <v>80</v>
      </c>
      <c r="F81">
        <v>3</v>
      </c>
      <c r="G81">
        <v>1</v>
      </c>
      <c r="H81">
        <v>59.88</v>
      </c>
    </row>
    <row r="82" spans="1:8" ht="14.4" x14ac:dyDescent="0.3">
      <c r="A82" t="s">
        <v>211</v>
      </c>
      <c r="B82" t="s">
        <v>37</v>
      </c>
      <c r="C82" t="s">
        <v>65</v>
      </c>
      <c r="D82" s="64" t="s">
        <v>212</v>
      </c>
      <c r="E82" t="s">
        <v>80</v>
      </c>
      <c r="F82">
        <v>4</v>
      </c>
      <c r="G82">
        <v>4</v>
      </c>
      <c r="H82">
        <v>79.260000000000005</v>
      </c>
    </row>
    <row r="83" spans="1:8" ht="14.4" x14ac:dyDescent="0.3">
      <c r="A83" t="s">
        <v>213</v>
      </c>
      <c r="B83" t="s">
        <v>37</v>
      </c>
      <c r="C83" t="s">
        <v>38</v>
      </c>
      <c r="D83" s="64" t="s">
        <v>214</v>
      </c>
      <c r="E83" t="s">
        <v>56</v>
      </c>
      <c r="F83">
        <v>1</v>
      </c>
      <c r="G83">
        <v>5</v>
      </c>
      <c r="H83">
        <v>86.18</v>
      </c>
    </row>
    <row r="84" spans="1:8" ht="14.4" x14ac:dyDescent="0.3">
      <c r="A84" t="s">
        <v>215</v>
      </c>
      <c r="B84" t="s">
        <v>68</v>
      </c>
      <c r="C84" t="s">
        <v>38</v>
      </c>
      <c r="D84" s="64" t="s">
        <v>216</v>
      </c>
      <c r="E84" t="s">
        <v>40</v>
      </c>
      <c r="F84">
        <v>4</v>
      </c>
      <c r="G84">
        <v>1</v>
      </c>
      <c r="H84">
        <v>59.81</v>
      </c>
    </row>
    <row r="85" spans="1:8" ht="14.4" x14ac:dyDescent="0.3">
      <c r="A85" t="s">
        <v>217</v>
      </c>
      <c r="B85" t="s">
        <v>68</v>
      </c>
      <c r="C85" t="s">
        <v>38</v>
      </c>
      <c r="D85" s="64" t="s">
        <v>218</v>
      </c>
      <c r="E85" t="s">
        <v>75</v>
      </c>
      <c r="F85">
        <v>1</v>
      </c>
      <c r="G85">
        <v>0</v>
      </c>
      <c r="H85">
        <v>54.07</v>
      </c>
    </row>
    <row r="86" spans="1:8" ht="14.4" x14ac:dyDescent="0.3">
      <c r="A86" t="s">
        <v>219</v>
      </c>
      <c r="B86" t="s">
        <v>64</v>
      </c>
      <c r="C86" t="s">
        <v>65</v>
      </c>
      <c r="D86" s="64" t="s">
        <v>220</v>
      </c>
      <c r="E86" t="s">
        <v>51</v>
      </c>
      <c r="F86">
        <v>4</v>
      </c>
      <c r="G86">
        <v>0</v>
      </c>
      <c r="H86">
        <v>53.98</v>
      </c>
    </row>
    <row r="87" spans="1:8" ht="14.4" x14ac:dyDescent="0.3">
      <c r="A87" t="s">
        <v>221</v>
      </c>
      <c r="B87" t="s">
        <v>37</v>
      </c>
      <c r="C87" t="s">
        <v>29</v>
      </c>
      <c r="D87" s="64" t="s">
        <v>222</v>
      </c>
      <c r="E87" t="s">
        <v>94</v>
      </c>
      <c r="F87">
        <v>2</v>
      </c>
      <c r="G87">
        <v>6</v>
      </c>
      <c r="H87">
        <v>93.14</v>
      </c>
    </row>
    <row r="88" spans="1:8" ht="14.4" x14ac:dyDescent="0.3">
      <c r="A88" t="s">
        <v>223</v>
      </c>
      <c r="B88" t="s">
        <v>64</v>
      </c>
      <c r="C88" t="s">
        <v>38</v>
      </c>
      <c r="D88" s="64" t="s">
        <v>224</v>
      </c>
      <c r="E88" t="s">
        <v>94</v>
      </c>
      <c r="F88">
        <v>2</v>
      </c>
      <c r="G88">
        <v>3</v>
      </c>
      <c r="H88">
        <v>73.22</v>
      </c>
    </row>
    <row r="89" spans="1:8" ht="14.4" x14ac:dyDescent="0.3">
      <c r="A89" t="s">
        <v>225</v>
      </c>
      <c r="B89" t="s">
        <v>28</v>
      </c>
      <c r="C89" t="s">
        <v>29</v>
      </c>
      <c r="D89" s="64" t="s">
        <v>226</v>
      </c>
      <c r="E89" t="s">
        <v>75</v>
      </c>
      <c r="F89">
        <v>2</v>
      </c>
      <c r="G89">
        <v>2</v>
      </c>
      <c r="H89">
        <v>67.62</v>
      </c>
    </row>
    <row r="90" spans="1:8" ht="14.4" x14ac:dyDescent="0.3">
      <c r="A90" t="s">
        <v>227</v>
      </c>
      <c r="B90" t="s">
        <v>28</v>
      </c>
      <c r="C90" t="s">
        <v>38</v>
      </c>
      <c r="D90" s="64" t="s">
        <v>228</v>
      </c>
      <c r="E90" t="s">
        <v>51</v>
      </c>
      <c r="F90">
        <v>2</v>
      </c>
      <c r="G90">
        <v>3</v>
      </c>
      <c r="H90">
        <v>73.19</v>
      </c>
    </row>
    <row r="91" spans="1:8" ht="14.4" x14ac:dyDescent="0.3">
      <c r="A91" t="s">
        <v>229</v>
      </c>
      <c r="B91" t="s">
        <v>37</v>
      </c>
      <c r="C91" t="s">
        <v>38</v>
      </c>
      <c r="D91" s="64" t="s">
        <v>230</v>
      </c>
      <c r="E91" t="s">
        <v>80</v>
      </c>
      <c r="F91">
        <v>0</v>
      </c>
      <c r="G91">
        <v>3</v>
      </c>
      <c r="H91">
        <v>73.06</v>
      </c>
    </row>
    <row r="92" spans="1:8" ht="14.4" x14ac:dyDescent="0.3">
      <c r="A92" t="s">
        <v>231</v>
      </c>
      <c r="B92" t="s">
        <v>68</v>
      </c>
      <c r="C92" t="s">
        <v>38</v>
      </c>
      <c r="D92" s="64" t="s">
        <v>232</v>
      </c>
      <c r="E92" t="s">
        <v>80</v>
      </c>
      <c r="F92">
        <v>2</v>
      </c>
      <c r="G92">
        <v>3</v>
      </c>
      <c r="H92">
        <v>72.41</v>
      </c>
    </row>
    <row r="93" spans="1:8" ht="14.4" x14ac:dyDescent="0.3">
      <c r="A93" t="s">
        <v>233</v>
      </c>
      <c r="B93" t="s">
        <v>68</v>
      </c>
      <c r="C93" t="s">
        <v>38</v>
      </c>
      <c r="D93" s="64" t="s">
        <v>234</v>
      </c>
      <c r="E93" t="s">
        <v>80</v>
      </c>
      <c r="F93">
        <v>3</v>
      </c>
      <c r="G93">
        <v>3</v>
      </c>
      <c r="H93">
        <v>72.39</v>
      </c>
    </row>
    <row r="94" spans="1:8" ht="14.4" x14ac:dyDescent="0.3">
      <c r="A94" t="s">
        <v>235</v>
      </c>
      <c r="B94" t="s">
        <v>37</v>
      </c>
      <c r="C94" t="s">
        <v>38</v>
      </c>
      <c r="D94" s="64" t="s">
        <v>236</v>
      </c>
      <c r="E94" t="s">
        <v>75</v>
      </c>
      <c r="F94">
        <v>3</v>
      </c>
      <c r="G94">
        <v>4</v>
      </c>
      <c r="H94">
        <v>79.099999999999994</v>
      </c>
    </row>
    <row r="95" spans="1:8" ht="14.4" x14ac:dyDescent="0.3">
      <c r="A95" t="s">
        <v>237</v>
      </c>
      <c r="B95" t="s">
        <v>28</v>
      </c>
      <c r="C95" t="s">
        <v>38</v>
      </c>
      <c r="D95" s="64" t="s">
        <v>238</v>
      </c>
      <c r="E95" t="s">
        <v>94</v>
      </c>
      <c r="F95">
        <v>0</v>
      </c>
      <c r="G95">
        <v>4</v>
      </c>
      <c r="H95">
        <v>79.03</v>
      </c>
    </row>
    <row r="96" spans="1:8" ht="14.4" x14ac:dyDescent="0.3">
      <c r="A96" t="s">
        <v>239</v>
      </c>
      <c r="B96" t="s">
        <v>28</v>
      </c>
      <c r="C96" t="s">
        <v>38</v>
      </c>
      <c r="D96" s="64" t="s">
        <v>240</v>
      </c>
      <c r="E96" t="s">
        <v>56</v>
      </c>
      <c r="F96">
        <v>2</v>
      </c>
      <c r="G96">
        <v>6</v>
      </c>
      <c r="H96">
        <v>93.12</v>
      </c>
    </row>
    <row r="97" spans="1:8" ht="14.4" x14ac:dyDescent="0.3">
      <c r="A97" t="s">
        <v>241</v>
      </c>
      <c r="B97" t="s">
        <v>64</v>
      </c>
      <c r="C97" t="s">
        <v>65</v>
      </c>
      <c r="D97" s="64" t="s">
        <v>242</v>
      </c>
      <c r="E97" t="s">
        <v>56</v>
      </c>
      <c r="F97">
        <v>2</v>
      </c>
      <c r="G97">
        <v>1</v>
      </c>
      <c r="H97">
        <v>59.73</v>
      </c>
    </row>
    <row r="98" spans="1:8" ht="14.4" x14ac:dyDescent="0.3">
      <c r="A98" t="s">
        <v>243</v>
      </c>
      <c r="B98" t="s">
        <v>37</v>
      </c>
      <c r="C98" t="s">
        <v>38</v>
      </c>
      <c r="D98" s="64" t="s">
        <v>244</v>
      </c>
      <c r="E98" t="s">
        <v>75</v>
      </c>
      <c r="F98">
        <v>2</v>
      </c>
      <c r="G98">
        <v>0</v>
      </c>
      <c r="H98">
        <v>53.9</v>
      </c>
    </row>
    <row r="99" spans="1:8" ht="14.4" x14ac:dyDescent="0.3">
      <c r="A99" t="s">
        <v>245</v>
      </c>
      <c r="B99" t="s">
        <v>28</v>
      </c>
      <c r="C99" t="s">
        <v>38</v>
      </c>
      <c r="D99" s="64" t="s">
        <v>246</v>
      </c>
      <c r="E99" t="s">
        <v>94</v>
      </c>
      <c r="F99">
        <v>4</v>
      </c>
      <c r="G99">
        <v>3</v>
      </c>
      <c r="H99">
        <v>72.239999999999995</v>
      </c>
    </row>
    <row r="100" spans="1:8" ht="14.4" x14ac:dyDescent="0.3">
      <c r="A100" t="s">
        <v>247</v>
      </c>
      <c r="B100" t="s">
        <v>37</v>
      </c>
      <c r="C100" t="s">
        <v>38</v>
      </c>
      <c r="D100" s="64" t="s">
        <v>248</v>
      </c>
      <c r="E100" t="s">
        <v>31</v>
      </c>
      <c r="F100">
        <v>1</v>
      </c>
      <c r="G100">
        <v>6</v>
      </c>
      <c r="H100">
        <v>93.08</v>
      </c>
    </row>
    <row r="101" spans="1:8" ht="14.4" x14ac:dyDescent="0.3">
      <c r="A101" t="s">
        <v>249</v>
      </c>
      <c r="B101" t="s">
        <v>68</v>
      </c>
      <c r="C101" t="s">
        <v>65</v>
      </c>
      <c r="D101" s="64" t="s">
        <v>250</v>
      </c>
      <c r="E101" t="s">
        <v>94</v>
      </c>
      <c r="F101">
        <v>4</v>
      </c>
      <c r="G101">
        <v>1</v>
      </c>
      <c r="H101">
        <v>58.69</v>
      </c>
    </row>
    <row r="102" spans="1:8" ht="14.4" x14ac:dyDescent="0.3">
      <c r="A102" t="s">
        <v>251</v>
      </c>
      <c r="B102" t="s">
        <v>28</v>
      </c>
      <c r="C102" t="s">
        <v>38</v>
      </c>
      <c r="D102" s="64" t="s">
        <v>252</v>
      </c>
      <c r="E102" t="s">
        <v>56</v>
      </c>
      <c r="F102">
        <v>1</v>
      </c>
      <c r="G102">
        <v>0</v>
      </c>
      <c r="H102">
        <v>53.78</v>
      </c>
    </row>
    <row r="103" spans="1:8" ht="14.4" x14ac:dyDescent="0.3">
      <c r="A103" t="s">
        <v>253</v>
      </c>
      <c r="B103" t="s">
        <v>68</v>
      </c>
      <c r="C103" t="s">
        <v>29</v>
      </c>
      <c r="D103" s="64" t="s">
        <v>254</v>
      </c>
      <c r="E103" t="s">
        <v>80</v>
      </c>
      <c r="F103">
        <v>2</v>
      </c>
      <c r="G103">
        <v>5</v>
      </c>
      <c r="H103">
        <v>86.03</v>
      </c>
    </row>
    <row r="104" spans="1:8" ht="14.4" x14ac:dyDescent="0.3">
      <c r="A104" t="s">
        <v>255</v>
      </c>
      <c r="B104" t="s">
        <v>68</v>
      </c>
      <c r="C104" t="s">
        <v>29</v>
      </c>
      <c r="D104" s="64" t="s">
        <v>256</v>
      </c>
      <c r="E104" t="s">
        <v>75</v>
      </c>
      <c r="F104">
        <v>2</v>
      </c>
      <c r="G104">
        <v>2</v>
      </c>
      <c r="H104">
        <v>67.599999999999994</v>
      </c>
    </row>
    <row r="105" spans="1:8" ht="14.4" x14ac:dyDescent="0.3">
      <c r="A105" t="s">
        <v>257</v>
      </c>
      <c r="B105" t="s">
        <v>68</v>
      </c>
      <c r="C105" t="s">
        <v>38</v>
      </c>
      <c r="D105" s="64" t="s">
        <v>258</v>
      </c>
      <c r="E105" t="s">
        <v>80</v>
      </c>
      <c r="F105">
        <v>4</v>
      </c>
      <c r="G105">
        <v>4</v>
      </c>
      <c r="H105">
        <v>79</v>
      </c>
    </row>
    <row r="106" spans="1:8" ht="14.4" x14ac:dyDescent="0.3">
      <c r="A106" t="s">
        <v>259</v>
      </c>
      <c r="B106" t="s">
        <v>68</v>
      </c>
      <c r="C106" t="s">
        <v>38</v>
      </c>
      <c r="D106" s="64" t="s">
        <v>260</v>
      </c>
      <c r="E106" t="s">
        <v>80</v>
      </c>
      <c r="F106">
        <v>4</v>
      </c>
      <c r="G106">
        <v>5</v>
      </c>
      <c r="H106">
        <v>85.91</v>
      </c>
    </row>
    <row r="107" spans="1:8" ht="14.4" x14ac:dyDescent="0.3">
      <c r="A107" t="s">
        <v>261</v>
      </c>
      <c r="B107" t="s">
        <v>64</v>
      </c>
      <c r="C107" t="s">
        <v>65</v>
      </c>
      <c r="D107" s="64" t="s">
        <v>262</v>
      </c>
      <c r="E107" t="s">
        <v>31</v>
      </c>
      <c r="F107">
        <v>1</v>
      </c>
      <c r="G107">
        <v>0</v>
      </c>
      <c r="H107">
        <v>53.5</v>
      </c>
    </row>
    <row r="108" spans="1:8" ht="14.4" x14ac:dyDescent="0.3">
      <c r="A108" t="s">
        <v>263</v>
      </c>
      <c r="B108" t="s">
        <v>64</v>
      </c>
      <c r="C108" t="s">
        <v>38</v>
      </c>
      <c r="D108" s="64" t="s">
        <v>264</v>
      </c>
      <c r="E108" t="s">
        <v>51</v>
      </c>
      <c r="F108">
        <v>3</v>
      </c>
      <c r="G108">
        <v>5</v>
      </c>
      <c r="H108">
        <v>85.79</v>
      </c>
    </row>
    <row r="109" spans="1:8" ht="14.4" x14ac:dyDescent="0.3">
      <c r="A109" t="s">
        <v>265</v>
      </c>
      <c r="B109" t="s">
        <v>68</v>
      </c>
      <c r="C109" t="s">
        <v>29</v>
      </c>
      <c r="D109" s="64" t="s">
        <v>266</v>
      </c>
      <c r="E109" t="s">
        <v>31</v>
      </c>
      <c r="F109">
        <v>1</v>
      </c>
      <c r="G109">
        <v>2</v>
      </c>
      <c r="H109">
        <v>67.28</v>
      </c>
    </row>
    <row r="110" spans="1:8" ht="14.4" x14ac:dyDescent="0.3">
      <c r="A110" t="s">
        <v>267</v>
      </c>
      <c r="B110" t="s">
        <v>64</v>
      </c>
      <c r="C110" t="s">
        <v>38</v>
      </c>
      <c r="D110" s="64" t="s">
        <v>268</v>
      </c>
      <c r="E110" t="s">
        <v>40</v>
      </c>
      <c r="F110">
        <v>4</v>
      </c>
      <c r="G110">
        <v>6</v>
      </c>
      <c r="H110">
        <v>93.04</v>
      </c>
    </row>
    <row r="111" spans="1:8" ht="14.4" x14ac:dyDescent="0.3">
      <c r="A111" t="s">
        <v>269</v>
      </c>
      <c r="B111" t="s">
        <v>68</v>
      </c>
      <c r="C111" t="s">
        <v>82</v>
      </c>
      <c r="D111" s="64" t="s">
        <v>270</v>
      </c>
      <c r="E111" t="s">
        <v>75</v>
      </c>
      <c r="F111">
        <v>0</v>
      </c>
      <c r="G111">
        <v>0</v>
      </c>
      <c r="H111">
        <v>53.42</v>
      </c>
    </row>
    <row r="112" spans="1:8" ht="14.4" x14ac:dyDescent="0.3">
      <c r="A112" t="s">
        <v>271</v>
      </c>
      <c r="B112" t="s">
        <v>37</v>
      </c>
      <c r="C112" t="s">
        <v>29</v>
      </c>
      <c r="D112" s="64" t="s">
        <v>272</v>
      </c>
      <c r="E112" t="s">
        <v>94</v>
      </c>
      <c r="F112">
        <v>0</v>
      </c>
      <c r="G112">
        <v>5</v>
      </c>
      <c r="H112">
        <v>85.55</v>
      </c>
    </row>
    <row r="113" spans="1:8" ht="14.4" x14ac:dyDescent="0.3">
      <c r="A113" t="s">
        <v>273</v>
      </c>
      <c r="B113" t="s">
        <v>64</v>
      </c>
      <c r="C113" t="s">
        <v>38</v>
      </c>
      <c r="D113" s="64" t="s">
        <v>274</v>
      </c>
      <c r="E113" t="s">
        <v>94</v>
      </c>
      <c r="F113">
        <v>4</v>
      </c>
      <c r="G113">
        <v>4</v>
      </c>
      <c r="H113">
        <v>78.75</v>
      </c>
    </row>
    <row r="114" spans="1:8" ht="14.4" x14ac:dyDescent="0.3">
      <c r="A114" t="s">
        <v>275</v>
      </c>
      <c r="B114" t="s">
        <v>28</v>
      </c>
      <c r="C114" t="s">
        <v>65</v>
      </c>
      <c r="D114" s="64" t="s">
        <v>276</v>
      </c>
      <c r="E114" t="s">
        <v>31</v>
      </c>
      <c r="F114">
        <v>0</v>
      </c>
      <c r="G114">
        <v>4</v>
      </c>
      <c r="H114">
        <v>78.680000000000007</v>
      </c>
    </row>
    <row r="115" spans="1:8" ht="14.4" x14ac:dyDescent="0.3">
      <c r="A115" t="s">
        <v>277</v>
      </c>
      <c r="B115" t="s">
        <v>68</v>
      </c>
      <c r="C115" t="s">
        <v>29</v>
      </c>
      <c r="D115" s="64" t="s">
        <v>278</v>
      </c>
      <c r="E115" t="s">
        <v>31</v>
      </c>
      <c r="F115">
        <v>3</v>
      </c>
      <c r="G115">
        <v>1</v>
      </c>
      <c r="H115">
        <v>58.67</v>
      </c>
    </row>
    <row r="116" spans="1:8" ht="14.4" x14ac:dyDescent="0.3">
      <c r="A116" t="s">
        <v>279</v>
      </c>
      <c r="B116" t="s">
        <v>28</v>
      </c>
      <c r="C116" t="s">
        <v>38</v>
      </c>
      <c r="D116" s="64" t="s">
        <v>280</v>
      </c>
      <c r="E116" t="s">
        <v>40</v>
      </c>
      <c r="F116">
        <v>1</v>
      </c>
      <c r="G116">
        <v>5</v>
      </c>
      <c r="H116">
        <v>85.5</v>
      </c>
    </row>
    <row r="117" spans="1:8" ht="14.4" x14ac:dyDescent="0.3">
      <c r="A117" t="s">
        <v>281</v>
      </c>
      <c r="B117" t="s">
        <v>37</v>
      </c>
      <c r="C117" t="s">
        <v>38</v>
      </c>
      <c r="D117" s="64" t="s">
        <v>282</v>
      </c>
      <c r="E117" t="s">
        <v>51</v>
      </c>
      <c r="F117">
        <v>1</v>
      </c>
      <c r="G117">
        <v>3</v>
      </c>
      <c r="H117">
        <v>72.099999999999994</v>
      </c>
    </row>
    <row r="118" spans="1:8" ht="14.4" x14ac:dyDescent="0.3">
      <c r="A118" t="s">
        <v>283</v>
      </c>
      <c r="B118" t="s">
        <v>37</v>
      </c>
      <c r="C118" t="s">
        <v>29</v>
      </c>
      <c r="D118" s="64" t="s">
        <v>284</v>
      </c>
      <c r="E118" t="s">
        <v>51</v>
      </c>
      <c r="F118">
        <v>0</v>
      </c>
      <c r="G118">
        <v>5</v>
      </c>
      <c r="H118">
        <v>85.09</v>
      </c>
    </row>
    <row r="119" spans="1:8" ht="14.4" x14ac:dyDescent="0.3">
      <c r="A119" t="s">
        <v>285</v>
      </c>
      <c r="B119" t="s">
        <v>64</v>
      </c>
      <c r="C119" t="s">
        <v>38</v>
      </c>
      <c r="D119" s="64" t="s">
        <v>286</v>
      </c>
      <c r="E119" t="s">
        <v>40</v>
      </c>
      <c r="F119">
        <v>1</v>
      </c>
      <c r="G119">
        <v>6</v>
      </c>
      <c r="H119">
        <v>92.99</v>
      </c>
    </row>
    <row r="120" spans="1:8" ht="14.4" x14ac:dyDescent="0.3">
      <c r="A120" t="s">
        <v>287</v>
      </c>
      <c r="B120" t="s">
        <v>68</v>
      </c>
      <c r="C120" t="s">
        <v>38</v>
      </c>
      <c r="D120" s="64" t="s">
        <v>288</v>
      </c>
      <c r="E120" t="s">
        <v>75</v>
      </c>
      <c r="F120">
        <v>4</v>
      </c>
      <c r="G120">
        <v>0</v>
      </c>
      <c r="H120">
        <v>53.15</v>
      </c>
    </row>
    <row r="121" spans="1:8" ht="14.4" x14ac:dyDescent="0.3">
      <c r="A121" t="s">
        <v>289</v>
      </c>
      <c r="B121" t="s">
        <v>37</v>
      </c>
      <c r="C121" t="s">
        <v>65</v>
      </c>
      <c r="D121" s="64" t="s">
        <v>290</v>
      </c>
      <c r="E121" t="s">
        <v>94</v>
      </c>
      <c r="F121">
        <v>2</v>
      </c>
      <c r="G121">
        <v>0</v>
      </c>
      <c r="H121">
        <v>53.07</v>
      </c>
    </row>
    <row r="122" spans="1:8" ht="14.4" x14ac:dyDescent="0.3">
      <c r="A122" t="s">
        <v>291</v>
      </c>
      <c r="B122" t="s">
        <v>68</v>
      </c>
      <c r="C122" t="s">
        <v>38</v>
      </c>
      <c r="D122" s="64" t="s">
        <v>292</v>
      </c>
      <c r="E122" t="s">
        <v>75</v>
      </c>
      <c r="F122">
        <v>0</v>
      </c>
      <c r="G122">
        <v>6</v>
      </c>
      <c r="H122">
        <v>92.93</v>
      </c>
    </row>
    <row r="123" spans="1:8" ht="14.4" x14ac:dyDescent="0.3">
      <c r="A123" t="s">
        <v>293</v>
      </c>
      <c r="B123" t="s">
        <v>64</v>
      </c>
      <c r="C123" t="s">
        <v>29</v>
      </c>
      <c r="D123" s="64" t="s">
        <v>294</v>
      </c>
      <c r="E123" t="s">
        <v>94</v>
      </c>
      <c r="F123">
        <v>1</v>
      </c>
      <c r="G123">
        <v>5</v>
      </c>
      <c r="H123">
        <v>84.82</v>
      </c>
    </row>
    <row r="124" spans="1:8" ht="14.4" x14ac:dyDescent="0.3">
      <c r="A124" t="s">
        <v>295</v>
      </c>
      <c r="B124" t="s">
        <v>64</v>
      </c>
      <c r="C124" t="s">
        <v>38</v>
      </c>
      <c r="D124" s="64" t="s">
        <v>296</v>
      </c>
      <c r="E124" t="s">
        <v>75</v>
      </c>
      <c r="F124">
        <v>0</v>
      </c>
      <c r="G124">
        <v>6</v>
      </c>
      <c r="H124">
        <v>92.72</v>
      </c>
    </row>
    <row r="125" spans="1:8" ht="14.4" x14ac:dyDescent="0.3">
      <c r="A125" t="s">
        <v>297</v>
      </c>
      <c r="B125" t="s">
        <v>64</v>
      </c>
      <c r="C125" t="s">
        <v>38</v>
      </c>
      <c r="D125" s="64" t="s">
        <v>298</v>
      </c>
      <c r="E125" t="s">
        <v>40</v>
      </c>
      <c r="F125">
        <v>0</v>
      </c>
      <c r="G125">
        <v>2</v>
      </c>
      <c r="H125">
        <v>67.28</v>
      </c>
    </row>
    <row r="126" spans="1:8" ht="14.4" x14ac:dyDescent="0.3">
      <c r="A126" t="s">
        <v>299</v>
      </c>
      <c r="B126" t="s">
        <v>64</v>
      </c>
      <c r="C126" t="s">
        <v>38</v>
      </c>
      <c r="D126" s="64" t="s">
        <v>300</v>
      </c>
      <c r="E126" t="s">
        <v>40</v>
      </c>
      <c r="F126">
        <v>2</v>
      </c>
      <c r="G126">
        <v>6</v>
      </c>
      <c r="H126">
        <v>91.97</v>
      </c>
    </row>
    <row r="127" spans="1:8" ht="14.4" x14ac:dyDescent="0.3">
      <c r="A127" t="s">
        <v>301</v>
      </c>
      <c r="B127" t="s">
        <v>37</v>
      </c>
      <c r="C127" t="s">
        <v>38</v>
      </c>
      <c r="D127" s="64" t="s">
        <v>302</v>
      </c>
      <c r="E127" t="s">
        <v>75</v>
      </c>
      <c r="F127">
        <v>4</v>
      </c>
      <c r="G127">
        <v>4</v>
      </c>
      <c r="H127">
        <v>78.489999999999995</v>
      </c>
    </row>
    <row r="128" spans="1:8" ht="14.4" x14ac:dyDescent="0.3">
      <c r="A128" t="s">
        <v>303</v>
      </c>
      <c r="B128" t="s">
        <v>28</v>
      </c>
      <c r="C128" t="s">
        <v>38</v>
      </c>
      <c r="D128" s="64" t="s">
        <v>304</v>
      </c>
      <c r="E128" t="s">
        <v>31</v>
      </c>
      <c r="F128">
        <v>0</v>
      </c>
      <c r="G128">
        <v>6</v>
      </c>
      <c r="H128">
        <v>91.92</v>
      </c>
    </row>
    <row r="129" spans="1:8" ht="14.4" x14ac:dyDescent="0.3">
      <c r="A129" t="s">
        <v>305</v>
      </c>
      <c r="B129" t="s">
        <v>64</v>
      </c>
      <c r="C129" t="s">
        <v>38</v>
      </c>
      <c r="D129" s="64" t="s">
        <v>306</v>
      </c>
      <c r="E129" t="s">
        <v>80</v>
      </c>
      <c r="F129">
        <v>1</v>
      </c>
      <c r="G129">
        <v>0</v>
      </c>
      <c r="H129">
        <v>53.02</v>
      </c>
    </row>
    <row r="130" spans="1:8" ht="14.4" x14ac:dyDescent="0.3">
      <c r="A130" t="s">
        <v>307</v>
      </c>
      <c r="B130" t="s">
        <v>64</v>
      </c>
      <c r="C130" t="s">
        <v>38</v>
      </c>
      <c r="D130" s="64" t="s">
        <v>308</v>
      </c>
      <c r="E130" t="s">
        <v>80</v>
      </c>
      <c r="F130">
        <v>3</v>
      </c>
      <c r="G130">
        <v>4</v>
      </c>
      <c r="H130">
        <v>78.34</v>
      </c>
    </row>
    <row r="131" spans="1:8" ht="14.4" x14ac:dyDescent="0.3">
      <c r="A131" t="s">
        <v>309</v>
      </c>
      <c r="B131" t="s">
        <v>68</v>
      </c>
      <c r="C131" t="s">
        <v>38</v>
      </c>
      <c r="D131" s="64" t="s">
        <v>310</v>
      </c>
      <c r="E131" t="s">
        <v>51</v>
      </c>
      <c r="F131">
        <v>0</v>
      </c>
      <c r="G131">
        <v>0</v>
      </c>
      <c r="H131">
        <v>52.92</v>
      </c>
    </row>
    <row r="132" spans="1:8" ht="14.4" x14ac:dyDescent="0.3">
      <c r="A132" t="s">
        <v>311</v>
      </c>
      <c r="B132" t="s">
        <v>28</v>
      </c>
      <c r="C132" t="s">
        <v>29</v>
      </c>
      <c r="D132" s="64" t="s">
        <v>312</v>
      </c>
      <c r="E132" t="s">
        <v>80</v>
      </c>
      <c r="F132">
        <v>0</v>
      </c>
      <c r="G132">
        <v>1</v>
      </c>
      <c r="H132">
        <v>58.51</v>
      </c>
    </row>
    <row r="133" spans="1:8" ht="14.4" x14ac:dyDescent="0.3">
      <c r="A133" t="s">
        <v>313</v>
      </c>
      <c r="B133" t="s">
        <v>68</v>
      </c>
      <c r="C133" t="s">
        <v>38</v>
      </c>
      <c r="D133" s="64" t="s">
        <v>314</v>
      </c>
      <c r="E133" t="s">
        <v>51</v>
      </c>
      <c r="F133">
        <v>2</v>
      </c>
      <c r="G133">
        <v>3</v>
      </c>
      <c r="H133">
        <v>71.819999999999993</v>
      </c>
    </row>
    <row r="134" spans="1:8" ht="14.4" x14ac:dyDescent="0.3">
      <c r="A134" t="s">
        <v>315</v>
      </c>
      <c r="B134" t="s">
        <v>64</v>
      </c>
      <c r="C134" t="s">
        <v>65</v>
      </c>
      <c r="D134" s="64" t="s">
        <v>316</v>
      </c>
      <c r="E134" t="s">
        <v>40</v>
      </c>
      <c r="F134">
        <v>4</v>
      </c>
      <c r="G134">
        <v>0</v>
      </c>
      <c r="H134">
        <v>52.77</v>
      </c>
    </row>
    <row r="135" spans="1:8" ht="14.4" x14ac:dyDescent="0.3">
      <c r="A135" t="s">
        <v>317</v>
      </c>
      <c r="B135" t="s">
        <v>28</v>
      </c>
      <c r="C135" t="s">
        <v>38</v>
      </c>
      <c r="D135" s="64" t="s">
        <v>318</v>
      </c>
      <c r="E135" t="s">
        <v>80</v>
      </c>
      <c r="F135">
        <v>3</v>
      </c>
      <c r="G135">
        <v>4</v>
      </c>
      <c r="H135">
        <v>78.05</v>
      </c>
    </row>
    <row r="136" spans="1:8" ht="14.4" x14ac:dyDescent="0.3">
      <c r="A136" t="s">
        <v>319</v>
      </c>
      <c r="B136" t="s">
        <v>68</v>
      </c>
      <c r="C136" t="s">
        <v>29</v>
      </c>
      <c r="D136" s="64" t="s">
        <v>320</v>
      </c>
      <c r="E136" t="s">
        <v>56</v>
      </c>
      <c r="F136">
        <v>1</v>
      </c>
      <c r="G136">
        <v>1</v>
      </c>
      <c r="H136">
        <v>58.35</v>
      </c>
    </row>
    <row r="137" spans="1:8" ht="14.4" x14ac:dyDescent="0.3">
      <c r="A137" t="s">
        <v>321</v>
      </c>
      <c r="B137" t="s">
        <v>28</v>
      </c>
      <c r="C137" t="s">
        <v>65</v>
      </c>
      <c r="D137" s="64" t="s">
        <v>322</v>
      </c>
      <c r="E137" t="s">
        <v>80</v>
      </c>
      <c r="F137">
        <v>3</v>
      </c>
      <c r="G137">
        <v>0</v>
      </c>
      <c r="H137">
        <v>52.47</v>
      </c>
    </row>
    <row r="138" spans="1:8" ht="14.4" x14ac:dyDescent="0.3">
      <c r="A138" t="s">
        <v>323</v>
      </c>
      <c r="B138" t="s">
        <v>64</v>
      </c>
      <c r="C138" t="s">
        <v>65</v>
      </c>
      <c r="D138" s="64" t="s">
        <v>324</v>
      </c>
      <c r="E138" t="s">
        <v>94</v>
      </c>
      <c r="F138">
        <v>1</v>
      </c>
      <c r="G138">
        <v>2</v>
      </c>
      <c r="H138">
        <v>66.95</v>
      </c>
    </row>
    <row r="139" spans="1:8" ht="14.4" x14ac:dyDescent="0.3">
      <c r="A139" t="s">
        <v>325</v>
      </c>
      <c r="B139" t="s">
        <v>37</v>
      </c>
      <c r="C139" t="s">
        <v>38</v>
      </c>
      <c r="D139" s="64" t="s">
        <v>326</v>
      </c>
      <c r="E139" t="s">
        <v>94</v>
      </c>
      <c r="F139">
        <v>4</v>
      </c>
      <c r="G139">
        <v>6</v>
      </c>
      <c r="H139">
        <v>91.85</v>
      </c>
    </row>
    <row r="140" spans="1:8" ht="14.4" x14ac:dyDescent="0.3">
      <c r="A140" t="s">
        <v>327</v>
      </c>
      <c r="B140" t="s">
        <v>28</v>
      </c>
      <c r="C140" t="s">
        <v>65</v>
      </c>
      <c r="D140" s="64" t="s">
        <v>328</v>
      </c>
      <c r="E140" t="s">
        <v>75</v>
      </c>
      <c r="F140">
        <v>1</v>
      </c>
      <c r="G140">
        <v>3</v>
      </c>
      <c r="H140">
        <v>71.77</v>
      </c>
    </row>
    <row r="141" spans="1:8" ht="14.4" x14ac:dyDescent="0.3">
      <c r="A141" t="s">
        <v>329</v>
      </c>
      <c r="B141" t="s">
        <v>28</v>
      </c>
      <c r="C141" t="s">
        <v>29</v>
      </c>
      <c r="D141" s="64" t="s">
        <v>330</v>
      </c>
      <c r="E141" t="s">
        <v>75</v>
      </c>
      <c r="F141">
        <v>2</v>
      </c>
      <c r="G141">
        <v>0</v>
      </c>
      <c r="H141">
        <v>52.37</v>
      </c>
    </row>
    <row r="142" spans="1:8" ht="14.4" x14ac:dyDescent="0.3">
      <c r="A142" t="s">
        <v>331</v>
      </c>
      <c r="B142" t="s">
        <v>37</v>
      </c>
      <c r="C142" t="s">
        <v>29</v>
      </c>
      <c r="D142" s="64" t="s">
        <v>332</v>
      </c>
      <c r="E142" t="s">
        <v>56</v>
      </c>
      <c r="F142">
        <v>2</v>
      </c>
      <c r="G142">
        <v>1</v>
      </c>
      <c r="H142">
        <v>58.3</v>
      </c>
    </row>
    <row r="143" spans="1:8" ht="14.4" x14ac:dyDescent="0.3">
      <c r="A143" t="s">
        <v>333</v>
      </c>
      <c r="B143" t="s">
        <v>37</v>
      </c>
      <c r="C143" t="s">
        <v>38</v>
      </c>
      <c r="D143" s="64" t="s">
        <v>334</v>
      </c>
      <c r="E143" t="s">
        <v>75</v>
      </c>
      <c r="F143">
        <v>2</v>
      </c>
      <c r="G143">
        <v>2</v>
      </c>
      <c r="H143">
        <v>66.41</v>
      </c>
    </row>
    <row r="144" spans="1:8" ht="14.4" x14ac:dyDescent="0.3">
      <c r="A144" t="s">
        <v>335</v>
      </c>
      <c r="B144" t="s">
        <v>68</v>
      </c>
      <c r="C144" t="s">
        <v>29</v>
      </c>
      <c r="D144" s="64" t="s">
        <v>336</v>
      </c>
      <c r="E144" t="s">
        <v>51</v>
      </c>
      <c r="F144">
        <v>2</v>
      </c>
      <c r="G144">
        <v>5</v>
      </c>
      <c r="H144">
        <v>84.69</v>
      </c>
    </row>
    <row r="145" spans="1:8" ht="14.4" x14ac:dyDescent="0.3">
      <c r="A145" t="s">
        <v>337</v>
      </c>
      <c r="B145" t="s">
        <v>64</v>
      </c>
      <c r="C145" t="s">
        <v>82</v>
      </c>
      <c r="D145" s="64" t="s">
        <v>338</v>
      </c>
      <c r="E145" t="s">
        <v>51</v>
      </c>
      <c r="F145">
        <v>1</v>
      </c>
      <c r="G145">
        <v>1</v>
      </c>
      <c r="H145">
        <v>58.19</v>
      </c>
    </row>
    <row r="146" spans="1:8" ht="14.4" x14ac:dyDescent="0.3">
      <c r="A146" t="s">
        <v>339</v>
      </c>
      <c r="B146" t="s">
        <v>68</v>
      </c>
      <c r="C146" t="s">
        <v>38</v>
      </c>
      <c r="D146" s="64" t="s">
        <v>340</v>
      </c>
      <c r="E146" t="s">
        <v>80</v>
      </c>
      <c r="F146">
        <v>4</v>
      </c>
      <c r="G146">
        <v>6</v>
      </c>
      <c r="H146">
        <v>91.2</v>
      </c>
    </row>
    <row r="147" spans="1:8" ht="14.4" x14ac:dyDescent="0.3">
      <c r="A147" t="s">
        <v>341</v>
      </c>
      <c r="B147" t="s">
        <v>64</v>
      </c>
      <c r="C147" t="s">
        <v>65</v>
      </c>
      <c r="D147" s="64" t="s">
        <v>342</v>
      </c>
      <c r="E147" t="s">
        <v>31</v>
      </c>
      <c r="F147">
        <v>1</v>
      </c>
      <c r="G147">
        <v>1</v>
      </c>
      <c r="H147">
        <v>58.08</v>
      </c>
    </row>
    <row r="148" spans="1:8" ht="14.4" x14ac:dyDescent="0.3">
      <c r="A148" t="s">
        <v>343</v>
      </c>
      <c r="B148" t="s">
        <v>68</v>
      </c>
      <c r="C148" t="s">
        <v>38</v>
      </c>
      <c r="D148" s="64" t="s">
        <v>344</v>
      </c>
      <c r="E148" t="s">
        <v>31</v>
      </c>
      <c r="F148">
        <v>1</v>
      </c>
      <c r="G148">
        <v>2</v>
      </c>
      <c r="H148">
        <v>66.34</v>
      </c>
    </row>
    <row r="149" spans="1:8" ht="14.4" x14ac:dyDescent="0.3">
      <c r="A149" t="s">
        <v>345</v>
      </c>
      <c r="B149" t="s">
        <v>37</v>
      </c>
      <c r="C149" t="s">
        <v>65</v>
      </c>
      <c r="D149" s="64" t="s">
        <v>346</v>
      </c>
      <c r="E149" t="s">
        <v>40</v>
      </c>
      <c r="F149">
        <v>2</v>
      </c>
      <c r="G149">
        <v>1</v>
      </c>
      <c r="H149">
        <v>57.82</v>
      </c>
    </row>
    <row r="150" spans="1:8" ht="14.4" x14ac:dyDescent="0.3">
      <c r="A150" t="s">
        <v>347</v>
      </c>
      <c r="B150" t="s">
        <v>64</v>
      </c>
      <c r="C150" t="s">
        <v>29</v>
      </c>
      <c r="D150" s="64" t="s">
        <v>348</v>
      </c>
      <c r="E150" t="s">
        <v>51</v>
      </c>
      <c r="F150">
        <v>2</v>
      </c>
      <c r="G150">
        <v>2</v>
      </c>
      <c r="H150">
        <v>66.319999999999993</v>
      </c>
    </row>
    <row r="151" spans="1:8" ht="14.4" x14ac:dyDescent="0.3">
      <c r="A151" t="s">
        <v>349</v>
      </c>
      <c r="B151" t="s">
        <v>28</v>
      </c>
      <c r="C151" t="s">
        <v>38</v>
      </c>
      <c r="D151" s="64" t="s">
        <v>350</v>
      </c>
      <c r="E151" t="s">
        <v>94</v>
      </c>
      <c r="F151">
        <v>0</v>
      </c>
      <c r="G151">
        <v>0</v>
      </c>
      <c r="H151">
        <v>52.32</v>
      </c>
    </row>
    <row r="152" spans="1:8" ht="14.4" x14ac:dyDescent="0.3">
      <c r="A152" t="s">
        <v>351</v>
      </c>
      <c r="B152" t="s">
        <v>68</v>
      </c>
      <c r="C152" t="s">
        <v>38</v>
      </c>
      <c r="D152" s="64" t="s">
        <v>352</v>
      </c>
      <c r="E152" t="s">
        <v>51</v>
      </c>
      <c r="F152">
        <v>4</v>
      </c>
      <c r="G152">
        <v>2</v>
      </c>
      <c r="H152">
        <v>65.92</v>
      </c>
    </row>
    <row r="153" spans="1:8" ht="14.4" x14ac:dyDescent="0.3">
      <c r="A153" t="s">
        <v>353</v>
      </c>
      <c r="B153" t="s">
        <v>64</v>
      </c>
      <c r="C153" t="s">
        <v>38</v>
      </c>
      <c r="D153" s="64" t="s">
        <v>354</v>
      </c>
      <c r="E153" t="s">
        <v>56</v>
      </c>
      <c r="F153">
        <v>3</v>
      </c>
      <c r="G153">
        <v>2</v>
      </c>
      <c r="H153">
        <v>65.819999999999993</v>
      </c>
    </row>
    <row r="154" spans="1:8" ht="14.4" x14ac:dyDescent="0.3">
      <c r="A154" t="s">
        <v>355</v>
      </c>
      <c r="B154" t="s">
        <v>64</v>
      </c>
      <c r="C154" t="s">
        <v>38</v>
      </c>
      <c r="D154" s="64" t="s">
        <v>356</v>
      </c>
      <c r="E154" t="s">
        <v>40</v>
      </c>
      <c r="F154">
        <v>1</v>
      </c>
      <c r="G154">
        <v>3</v>
      </c>
      <c r="H154">
        <v>71.650000000000006</v>
      </c>
    </row>
    <row r="155" spans="1:8" ht="14.4" x14ac:dyDescent="0.3">
      <c r="A155" t="s">
        <v>357</v>
      </c>
      <c r="B155" t="s">
        <v>64</v>
      </c>
      <c r="C155" t="s">
        <v>29</v>
      </c>
      <c r="D155" s="64" t="s">
        <v>358</v>
      </c>
      <c r="E155" t="s">
        <v>31</v>
      </c>
      <c r="F155">
        <v>0</v>
      </c>
      <c r="G155">
        <v>2</v>
      </c>
      <c r="H155">
        <v>65.53</v>
      </c>
    </row>
    <row r="156" spans="1:8" ht="14.4" x14ac:dyDescent="0.3">
      <c r="A156" t="s">
        <v>359</v>
      </c>
      <c r="B156" t="s">
        <v>37</v>
      </c>
      <c r="C156" t="s">
        <v>38</v>
      </c>
      <c r="D156" s="64" t="s">
        <v>360</v>
      </c>
      <c r="E156" t="s">
        <v>94</v>
      </c>
      <c r="F156">
        <v>0</v>
      </c>
      <c r="G156">
        <v>2</v>
      </c>
      <c r="H156">
        <v>65.5</v>
      </c>
    </row>
    <row r="157" spans="1:8" ht="14.4" x14ac:dyDescent="0.3">
      <c r="A157" t="s">
        <v>361</v>
      </c>
      <c r="B157" t="s">
        <v>28</v>
      </c>
      <c r="C157" t="s">
        <v>38</v>
      </c>
      <c r="D157" s="64" t="s">
        <v>362</v>
      </c>
      <c r="E157" t="s">
        <v>40</v>
      </c>
      <c r="F157">
        <v>1</v>
      </c>
      <c r="G157">
        <v>5</v>
      </c>
      <c r="H157">
        <v>84.69</v>
      </c>
    </row>
    <row r="158" spans="1:8" ht="14.4" x14ac:dyDescent="0.3">
      <c r="A158" t="s">
        <v>363</v>
      </c>
      <c r="B158" t="s">
        <v>37</v>
      </c>
      <c r="C158" t="s">
        <v>82</v>
      </c>
      <c r="D158" s="64" t="s">
        <v>364</v>
      </c>
      <c r="E158" t="s">
        <v>40</v>
      </c>
      <c r="F158">
        <v>0</v>
      </c>
      <c r="G158">
        <v>0</v>
      </c>
      <c r="H158">
        <v>52.2</v>
      </c>
    </row>
    <row r="159" spans="1:8" ht="14.4" x14ac:dyDescent="0.3">
      <c r="A159" t="s">
        <v>365</v>
      </c>
      <c r="B159" t="s">
        <v>64</v>
      </c>
      <c r="C159" t="s">
        <v>38</v>
      </c>
      <c r="D159" s="64" t="s">
        <v>366</v>
      </c>
      <c r="E159" t="s">
        <v>51</v>
      </c>
      <c r="F159">
        <v>0</v>
      </c>
      <c r="G159">
        <v>6</v>
      </c>
      <c r="H159">
        <v>90.97</v>
      </c>
    </row>
    <row r="160" spans="1:8" ht="14.4" x14ac:dyDescent="0.3">
      <c r="A160" t="s">
        <v>367</v>
      </c>
      <c r="B160" t="s">
        <v>64</v>
      </c>
      <c r="C160" t="s">
        <v>65</v>
      </c>
      <c r="D160" s="64" t="s">
        <v>368</v>
      </c>
      <c r="E160" t="s">
        <v>31</v>
      </c>
      <c r="F160">
        <v>0</v>
      </c>
      <c r="G160">
        <v>3</v>
      </c>
      <c r="H160">
        <v>71.59</v>
      </c>
    </row>
    <row r="161" spans="1:8" ht="14.4" x14ac:dyDescent="0.3">
      <c r="A161" t="s">
        <v>369</v>
      </c>
      <c r="B161" t="s">
        <v>37</v>
      </c>
      <c r="C161" t="s">
        <v>38</v>
      </c>
      <c r="D161" s="64" t="s">
        <v>370</v>
      </c>
      <c r="E161" t="s">
        <v>40</v>
      </c>
      <c r="F161">
        <v>4</v>
      </c>
      <c r="G161">
        <v>5</v>
      </c>
      <c r="H161">
        <v>84.69</v>
      </c>
    </row>
    <row r="162" spans="1:8" ht="14.4" x14ac:dyDescent="0.3">
      <c r="A162" t="s">
        <v>371</v>
      </c>
      <c r="B162" t="s">
        <v>28</v>
      </c>
      <c r="C162" t="s">
        <v>29</v>
      </c>
      <c r="D162" s="64" t="s">
        <v>372</v>
      </c>
      <c r="E162" t="s">
        <v>80</v>
      </c>
      <c r="F162">
        <v>3</v>
      </c>
      <c r="G162">
        <v>4</v>
      </c>
      <c r="H162">
        <v>78.03</v>
      </c>
    </row>
    <row r="163" spans="1:8" ht="14.4" x14ac:dyDescent="0.3">
      <c r="A163" t="s">
        <v>373</v>
      </c>
      <c r="B163" t="s">
        <v>28</v>
      </c>
      <c r="C163" t="s">
        <v>29</v>
      </c>
      <c r="D163" s="64" t="s">
        <v>374</v>
      </c>
      <c r="E163" t="s">
        <v>56</v>
      </c>
      <c r="F163">
        <v>0</v>
      </c>
      <c r="G163">
        <v>0</v>
      </c>
      <c r="H163">
        <v>52.11</v>
      </c>
    </row>
    <row r="164" spans="1:8" ht="14.4" x14ac:dyDescent="0.3">
      <c r="A164" t="s">
        <v>375</v>
      </c>
      <c r="B164" t="s">
        <v>64</v>
      </c>
      <c r="C164" t="s">
        <v>38</v>
      </c>
      <c r="D164" s="64" t="s">
        <v>376</v>
      </c>
      <c r="E164" t="s">
        <v>75</v>
      </c>
      <c r="F164">
        <v>3</v>
      </c>
      <c r="G164">
        <v>0</v>
      </c>
      <c r="H164">
        <v>52.03</v>
      </c>
    </row>
    <row r="165" spans="1:8" ht="14.4" x14ac:dyDescent="0.3">
      <c r="A165" t="s">
        <v>377</v>
      </c>
      <c r="B165" t="s">
        <v>37</v>
      </c>
      <c r="C165" t="s">
        <v>38</v>
      </c>
      <c r="D165" s="64" t="s">
        <v>378</v>
      </c>
      <c r="E165" t="s">
        <v>94</v>
      </c>
      <c r="F165">
        <v>1</v>
      </c>
      <c r="G165">
        <v>4</v>
      </c>
      <c r="H165">
        <v>77.47</v>
      </c>
    </row>
    <row r="166" spans="1:8" ht="14.4" x14ac:dyDescent="0.3">
      <c r="A166" t="s">
        <v>379</v>
      </c>
      <c r="B166" t="s">
        <v>64</v>
      </c>
      <c r="C166" t="s">
        <v>38</v>
      </c>
      <c r="D166" s="64" t="s">
        <v>380</v>
      </c>
      <c r="E166" t="s">
        <v>80</v>
      </c>
      <c r="F166">
        <v>2</v>
      </c>
      <c r="G166">
        <v>6</v>
      </c>
      <c r="H166">
        <v>90.89</v>
      </c>
    </row>
    <row r="167" spans="1:8" ht="14.4" x14ac:dyDescent="0.3">
      <c r="A167" t="s">
        <v>381</v>
      </c>
      <c r="B167" t="s">
        <v>64</v>
      </c>
      <c r="C167" t="s">
        <v>29</v>
      </c>
      <c r="D167" s="64" t="s">
        <v>382</v>
      </c>
      <c r="E167" t="s">
        <v>31</v>
      </c>
      <c r="F167">
        <v>0</v>
      </c>
      <c r="G167">
        <v>2</v>
      </c>
      <c r="H167">
        <v>65.14</v>
      </c>
    </row>
    <row r="168" spans="1:8" ht="14.4" x14ac:dyDescent="0.3">
      <c r="A168" t="s">
        <v>383</v>
      </c>
      <c r="B168" t="s">
        <v>37</v>
      </c>
      <c r="C168" t="s">
        <v>29</v>
      </c>
      <c r="D168" s="64" t="s">
        <v>384</v>
      </c>
      <c r="E168" t="s">
        <v>56</v>
      </c>
      <c r="F168">
        <v>4</v>
      </c>
      <c r="G168">
        <v>5</v>
      </c>
      <c r="H168">
        <v>84.16</v>
      </c>
    </row>
    <row r="169" spans="1:8" ht="14.4" x14ac:dyDescent="0.3">
      <c r="A169" t="s">
        <v>385</v>
      </c>
      <c r="B169" t="s">
        <v>64</v>
      </c>
      <c r="C169" t="s">
        <v>29</v>
      </c>
      <c r="D169" s="64" t="s">
        <v>386</v>
      </c>
      <c r="E169" t="s">
        <v>51</v>
      </c>
      <c r="F169">
        <v>1</v>
      </c>
      <c r="G169">
        <v>1</v>
      </c>
      <c r="H169">
        <v>57.29</v>
      </c>
    </row>
    <row r="170" spans="1:8" ht="14.4" x14ac:dyDescent="0.3">
      <c r="A170" t="s">
        <v>387</v>
      </c>
      <c r="B170" t="s">
        <v>68</v>
      </c>
      <c r="C170" t="s">
        <v>38</v>
      </c>
      <c r="D170" s="64" t="s">
        <v>388</v>
      </c>
      <c r="E170" t="s">
        <v>31</v>
      </c>
      <c r="F170">
        <v>3</v>
      </c>
      <c r="G170">
        <v>3</v>
      </c>
      <c r="H170">
        <v>71.45</v>
      </c>
    </row>
    <row r="171" spans="1:8" ht="14.4" x14ac:dyDescent="0.3">
      <c r="A171" t="s">
        <v>389</v>
      </c>
      <c r="B171" t="s">
        <v>68</v>
      </c>
      <c r="C171" t="s">
        <v>29</v>
      </c>
      <c r="D171" s="64" t="s">
        <v>390</v>
      </c>
      <c r="E171" t="s">
        <v>75</v>
      </c>
      <c r="F171">
        <v>1</v>
      </c>
      <c r="G171">
        <v>1</v>
      </c>
      <c r="H171">
        <v>57.22</v>
      </c>
    </row>
    <row r="172" spans="1:8" ht="14.4" x14ac:dyDescent="0.3">
      <c r="A172" t="s">
        <v>391</v>
      </c>
      <c r="B172" t="s">
        <v>64</v>
      </c>
      <c r="C172" t="s">
        <v>38</v>
      </c>
      <c r="D172" s="64" t="s">
        <v>392</v>
      </c>
      <c r="E172" t="s">
        <v>31</v>
      </c>
      <c r="F172">
        <v>0</v>
      </c>
      <c r="G172">
        <v>4</v>
      </c>
      <c r="H172">
        <v>77.040000000000006</v>
      </c>
    </row>
    <row r="173" spans="1:8" ht="14.4" x14ac:dyDescent="0.3">
      <c r="A173" t="s">
        <v>393</v>
      </c>
      <c r="B173" t="s">
        <v>37</v>
      </c>
      <c r="C173" t="s">
        <v>82</v>
      </c>
      <c r="D173" s="64" t="s">
        <v>394</v>
      </c>
      <c r="E173" t="s">
        <v>40</v>
      </c>
      <c r="F173">
        <v>0</v>
      </c>
      <c r="G173">
        <v>0</v>
      </c>
      <c r="H173">
        <v>52</v>
      </c>
    </row>
    <row r="174" spans="1:8" ht="14.4" x14ac:dyDescent="0.3">
      <c r="A174" t="s">
        <v>395</v>
      </c>
      <c r="B174" t="s">
        <v>28</v>
      </c>
      <c r="C174" t="s">
        <v>38</v>
      </c>
      <c r="D174" s="64" t="s">
        <v>396</v>
      </c>
      <c r="E174" t="s">
        <v>40</v>
      </c>
      <c r="F174">
        <v>2</v>
      </c>
      <c r="G174">
        <v>6</v>
      </c>
      <c r="H174">
        <v>90.79</v>
      </c>
    </row>
    <row r="175" spans="1:8" ht="14.4" x14ac:dyDescent="0.3">
      <c r="A175" t="s">
        <v>397</v>
      </c>
      <c r="B175" t="s">
        <v>28</v>
      </c>
      <c r="C175" t="s">
        <v>29</v>
      </c>
      <c r="D175" s="64" t="s">
        <v>398</v>
      </c>
      <c r="E175" t="s">
        <v>51</v>
      </c>
      <c r="F175">
        <v>1</v>
      </c>
      <c r="G175">
        <v>0</v>
      </c>
      <c r="H175">
        <v>51.99</v>
      </c>
    </row>
    <row r="176" spans="1:8" ht="14.4" x14ac:dyDescent="0.3">
      <c r="A176" t="s">
        <v>399</v>
      </c>
      <c r="B176" t="s">
        <v>37</v>
      </c>
      <c r="C176" t="s">
        <v>38</v>
      </c>
      <c r="D176" s="64" t="s">
        <v>400</v>
      </c>
      <c r="E176" t="s">
        <v>40</v>
      </c>
      <c r="F176">
        <v>0</v>
      </c>
      <c r="G176">
        <v>3</v>
      </c>
      <c r="H176">
        <v>71.34</v>
      </c>
    </row>
    <row r="177" spans="1:8" ht="14.4" x14ac:dyDescent="0.3">
      <c r="A177" t="s">
        <v>401</v>
      </c>
      <c r="B177" t="s">
        <v>28</v>
      </c>
      <c r="C177" t="s">
        <v>29</v>
      </c>
      <c r="D177" s="64" t="s">
        <v>402</v>
      </c>
      <c r="E177" t="s">
        <v>31</v>
      </c>
      <c r="F177">
        <v>4</v>
      </c>
      <c r="G177">
        <v>0</v>
      </c>
      <c r="H177">
        <v>51.69</v>
      </c>
    </row>
    <row r="178" spans="1:8" ht="14.4" x14ac:dyDescent="0.3">
      <c r="A178" t="s">
        <v>403</v>
      </c>
      <c r="B178" t="s">
        <v>37</v>
      </c>
      <c r="C178" t="s">
        <v>38</v>
      </c>
      <c r="D178" s="64" t="s">
        <v>404</v>
      </c>
      <c r="E178" t="s">
        <v>80</v>
      </c>
      <c r="F178">
        <v>3</v>
      </c>
      <c r="G178">
        <v>0</v>
      </c>
      <c r="H178">
        <v>51.65</v>
      </c>
    </row>
    <row r="179" spans="1:8" ht="14.4" x14ac:dyDescent="0.3">
      <c r="A179" t="s">
        <v>405</v>
      </c>
      <c r="B179" t="s">
        <v>68</v>
      </c>
      <c r="C179" t="s">
        <v>65</v>
      </c>
      <c r="D179" s="64" t="s">
        <v>406</v>
      </c>
      <c r="E179" t="s">
        <v>80</v>
      </c>
      <c r="F179">
        <v>1</v>
      </c>
      <c r="G179">
        <v>3</v>
      </c>
      <c r="H179">
        <v>71.290000000000006</v>
      </c>
    </row>
    <row r="180" spans="1:8" ht="14.4" x14ac:dyDescent="0.3">
      <c r="A180" t="s">
        <v>407</v>
      </c>
      <c r="B180" t="s">
        <v>68</v>
      </c>
      <c r="C180" t="s">
        <v>29</v>
      </c>
      <c r="D180" s="64" t="s">
        <v>408</v>
      </c>
      <c r="E180" t="s">
        <v>51</v>
      </c>
      <c r="F180">
        <v>1</v>
      </c>
      <c r="G180">
        <v>5</v>
      </c>
      <c r="H180">
        <v>84.13</v>
      </c>
    </row>
    <row r="181" spans="1:8" ht="14.4" x14ac:dyDescent="0.3">
      <c r="A181" t="s">
        <v>409</v>
      </c>
      <c r="B181" t="s">
        <v>28</v>
      </c>
      <c r="C181" t="s">
        <v>29</v>
      </c>
      <c r="D181" s="64" t="s">
        <v>410</v>
      </c>
      <c r="E181" t="s">
        <v>31</v>
      </c>
      <c r="F181">
        <v>2</v>
      </c>
      <c r="G181">
        <v>5</v>
      </c>
      <c r="H181">
        <v>84.05</v>
      </c>
    </row>
    <row r="182" spans="1:8" ht="14.4" x14ac:dyDescent="0.3">
      <c r="A182" t="s">
        <v>411</v>
      </c>
      <c r="B182" t="s">
        <v>37</v>
      </c>
      <c r="C182" t="s">
        <v>65</v>
      </c>
      <c r="D182" s="64" t="s">
        <v>412</v>
      </c>
      <c r="E182" t="s">
        <v>31</v>
      </c>
      <c r="F182">
        <v>2</v>
      </c>
      <c r="G182">
        <v>3</v>
      </c>
      <c r="H182">
        <v>71.2</v>
      </c>
    </row>
    <row r="183" spans="1:8" ht="14.4" x14ac:dyDescent="0.3">
      <c r="A183" t="s">
        <v>413</v>
      </c>
      <c r="B183" t="s">
        <v>37</v>
      </c>
      <c r="C183" t="s">
        <v>38</v>
      </c>
      <c r="D183" s="64" t="s">
        <v>414</v>
      </c>
      <c r="E183" t="s">
        <v>40</v>
      </c>
      <c r="F183">
        <v>4</v>
      </c>
      <c r="G183">
        <v>6</v>
      </c>
      <c r="H183">
        <v>90.67</v>
      </c>
    </row>
    <row r="184" spans="1:8" ht="14.4" x14ac:dyDescent="0.3">
      <c r="A184" t="s">
        <v>415</v>
      </c>
      <c r="B184" t="s">
        <v>28</v>
      </c>
      <c r="C184" t="s">
        <v>38</v>
      </c>
      <c r="D184" s="64" t="s">
        <v>416</v>
      </c>
      <c r="E184" t="s">
        <v>94</v>
      </c>
      <c r="F184">
        <v>4</v>
      </c>
      <c r="G184">
        <v>4</v>
      </c>
      <c r="H184">
        <v>76.92</v>
      </c>
    </row>
    <row r="185" spans="1:8" ht="14.4" x14ac:dyDescent="0.3">
      <c r="A185" t="s">
        <v>417</v>
      </c>
      <c r="B185" t="s">
        <v>68</v>
      </c>
      <c r="C185" t="s">
        <v>65</v>
      </c>
      <c r="D185" s="64" t="s">
        <v>418</v>
      </c>
      <c r="E185" t="s">
        <v>75</v>
      </c>
      <c r="F185">
        <v>0</v>
      </c>
      <c r="G185">
        <v>0</v>
      </c>
      <c r="H185">
        <v>51.59</v>
      </c>
    </row>
    <row r="186" spans="1:8" ht="14.4" x14ac:dyDescent="0.3">
      <c r="A186" t="s">
        <v>419</v>
      </c>
      <c r="B186" t="s">
        <v>68</v>
      </c>
      <c r="C186" t="s">
        <v>38</v>
      </c>
      <c r="D186" s="64" t="s">
        <v>420</v>
      </c>
      <c r="E186" t="s">
        <v>51</v>
      </c>
      <c r="F186">
        <v>0</v>
      </c>
      <c r="G186">
        <v>6</v>
      </c>
      <c r="H186">
        <v>90.65</v>
      </c>
    </row>
    <row r="187" spans="1:8" ht="14.4" x14ac:dyDescent="0.3">
      <c r="A187" t="s">
        <v>421</v>
      </c>
      <c r="B187" t="s">
        <v>28</v>
      </c>
      <c r="C187" t="s">
        <v>29</v>
      </c>
      <c r="D187" s="64" t="s">
        <v>422</v>
      </c>
      <c r="E187" t="s">
        <v>40</v>
      </c>
      <c r="F187">
        <v>4</v>
      </c>
      <c r="G187">
        <v>0</v>
      </c>
      <c r="H187">
        <v>51.57</v>
      </c>
    </row>
    <row r="188" spans="1:8" ht="14.4" x14ac:dyDescent="0.3">
      <c r="A188" t="s">
        <v>423</v>
      </c>
      <c r="B188" t="s">
        <v>28</v>
      </c>
      <c r="C188" t="s">
        <v>38</v>
      </c>
      <c r="D188" s="64" t="s">
        <v>424</v>
      </c>
      <c r="E188" t="s">
        <v>31</v>
      </c>
      <c r="F188">
        <v>4</v>
      </c>
      <c r="G188">
        <v>4</v>
      </c>
      <c r="H188">
        <v>76.88</v>
      </c>
    </row>
    <row r="189" spans="1:8" ht="14.4" x14ac:dyDescent="0.3">
      <c r="A189" t="s">
        <v>425</v>
      </c>
      <c r="B189" t="s">
        <v>28</v>
      </c>
      <c r="C189" t="s">
        <v>29</v>
      </c>
      <c r="D189" s="64" t="s">
        <v>426</v>
      </c>
      <c r="E189" t="s">
        <v>75</v>
      </c>
      <c r="F189">
        <v>3</v>
      </c>
      <c r="G189">
        <v>5</v>
      </c>
      <c r="H189">
        <v>83.92</v>
      </c>
    </row>
    <row r="190" spans="1:8" ht="14.4" x14ac:dyDescent="0.3">
      <c r="A190" t="s">
        <v>427</v>
      </c>
      <c r="B190" t="s">
        <v>64</v>
      </c>
      <c r="C190" t="s">
        <v>38</v>
      </c>
      <c r="D190" s="64" t="s">
        <v>428</v>
      </c>
      <c r="E190" t="s">
        <v>94</v>
      </c>
      <c r="F190">
        <v>2</v>
      </c>
      <c r="G190">
        <v>6</v>
      </c>
      <c r="H190">
        <v>90.53</v>
      </c>
    </row>
    <row r="191" spans="1:8" ht="14.4" x14ac:dyDescent="0.3">
      <c r="A191" t="s">
        <v>429</v>
      </c>
      <c r="B191" t="s">
        <v>28</v>
      </c>
      <c r="C191" t="s">
        <v>29</v>
      </c>
      <c r="D191" s="64" t="s">
        <v>430</v>
      </c>
      <c r="E191" t="s">
        <v>51</v>
      </c>
      <c r="F191">
        <v>0</v>
      </c>
      <c r="G191">
        <v>2</v>
      </c>
      <c r="H191">
        <v>65.11</v>
      </c>
    </row>
    <row r="192" spans="1:8" ht="14.4" x14ac:dyDescent="0.3">
      <c r="A192" t="s">
        <v>431</v>
      </c>
      <c r="B192" t="s">
        <v>68</v>
      </c>
      <c r="C192" t="s">
        <v>29</v>
      </c>
      <c r="D192" s="64" t="s">
        <v>432</v>
      </c>
      <c r="E192" t="s">
        <v>75</v>
      </c>
      <c r="F192">
        <v>2</v>
      </c>
      <c r="G192">
        <v>2</v>
      </c>
      <c r="H192">
        <v>65.03</v>
      </c>
    </row>
    <row r="193" spans="1:8" ht="14.4" x14ac:dyDescent="0.3">
      <c r="A193" t="s">
        <v>433</v>
      </c>
      <c r="B193" t="s">
        <v>37</v>
      </c>
      <c r="C193" t="s">
        <v>38</v>
      </c>
      <c r="D193" s="64" t="s">
        <v>434</v>
      </c>
      <c r="E193" t="s">
        <v>75</v>
      </c>
      <c r="F193">
        <v>2</v>
      </c>
      <c r="G193">
        <v>2</v>
      </c>
      <c r="H193">
        <v>64.81</v>
      </c>
    </row>
    <row r="194" spans="1:8" ht="14.4" x14ac:dyDescent="0.3">
      <c r="A194" t="s">
        <v>435</v>
      </c>
      <c r="B194" t="s">
        <v>68</v>
      </c>
      <c r="C194" t="s">
        <v>38</v>
      </c>
      <c r="D194" s="64" t="s">
        <v>436</v>
      </c>
      <c r="E194" t="s">
        <v>51</v>
      </c>
      <c r="F194">
        <v>4</v>
      </c>
      <c r="G194">
        <v>5</v>
      </c>
      <c r="H194">
        <v>83.65</v>
      </c>
    </row>
    <row r="195" spans="1:8" ht="14.4" x14ac:dyDescent="0.3">
      <c r="A195" t="s">
        <v>437</v>
      </c>
      <c r="B195" t="s">
        <v>28</v>
      </c>
      <c r="C195" t="s">
        <v>29</v>
      </c>
      <c r="D195" s="64" t="s">
        <v>438</v>
      </c>
      <c r="E195" t="s">
        <v>94</v>
      </c>
      <c r="F195">
        <v>3</v>
      </c>
      <c r="G195">
        <v>5</v>
      </c>
      <c r="H195">
        <v>83.53</v>
      </c>
    </row>
    <row r="196" spans="1:8" ht="14.4" x14ac:dyDescent="0.3">
      <c r="A196" t="s">
        <v>439</v>
      </c>
      <c r="B196" t="s">
        <v>37</v>
      </c>
      <c r="C196" t="s">
        <v>38</v>
      </c>
      <c r="D196" s="64" t="s">
        <v>440</v>
      </c>
      <c r="E196" t="s">
        <v>40</v>
      </c>
      <c r="F196">
        <v>1</v>
      </c>
      <c r="G196">
        <v>4</v>
      </c>
      <c r="H196">
        <v>76.510000000000005</v>
      </c>
    </row>
    <row r="197" spans="1:8" ht="14.4" x14ac:dyDescent="0.3">
      <c r="A197" t="s">
        <v>441</v>
      </c>
      <c r="B197" t="s">
        <v>28</v>
      </c>
      <c r="C197" t="s">
        <v>29</v>
      </c>
      <c r="D197" s="64" t="s">
        <v>442</v>
      </c>
      <c r="E197" t="s">
        <v>75</v>
      </c>
      <c r="F197">
        <v>3</v>
      </c>
      <c r="G197">
        <v>0</v>
      </c>
      <c r="H197">
        <v>51.54</v>
      </c>
    </row>
    <row r="198" spans="1:8" ht="14.4" x14ac:dyDescent="0.3">
      <c r="A198" t="s">
        <v>443</v>
      </c>
      <c r="B198" t="s">
        <v>28</v>
      </c>
      <c r="C198" t="s">
        <v>29</v>
      </c>
      <c r="D198" s="64" t="s">
        <v>444</v>
      </c>
      <c r="E198" t="s">
        <v>40</v>
      </c>
      <c r="F198">
        <v>3</v>
      </c>
      <c r="G198">
        <v>4</v>
      </c>
      <c r="H198">
        <v>76.48</v>
      </c>
    </row>
    <row r="199" spans="1:8" ht="14.4" x14ac:dyDescent="0.3">
      <c r="A199" t="s">
        <v>445</v>
      </c>
      <c r="B199" t="s">
        <v>68</v>
      </c>
      <c r="C199" t="s">
        <v>29</v>
      </c>
      <c r="D199" s="64" t="s">
        <v>446</v>
      </c>
      <c r="E199" t="s">
        <v>75</v>
      </c>
      <c r="F199">
        <v>2</v>
      </c>
      <c r="G199">
        <v>4</v>
      </c>
      <c r="H199">
        <v>76.47</v>
      </c>
    </row>
    <row r="200" spans="1:8" ht="14.4" x14ac:dyDescent="0.3">
      <c r="A200" t="s">
        <v>447</v>
      </c>
      <c r="B200" t="s">
        <v>64</v>
      </c>
      <c r="C200" t="s">
        <v>29</v>
      </c>
      <c r="D200" s="64" t="s">
        <v>448</v>
      </c>
      <c r="E200" t="s">
        <v>75</v>
      </c>
      <c r="F200">
        <v>3</v>
      </c>
      <c r="G200">
        <v>5</v>
      </c>
      <c r="H200">
        <v>83.45</v>
      </c>
    </row>
    <row r="201" spans="1:8" ht="14.4" x14ac:dyDescent="0.3">
      <c r="A201" t="s">
        <v>449</v>
      </c>
      <c r="B201" t="s">
        <v>28</v>
      </c>
      <c r="C201" t="s">
        <v>38</v>
      </c>
      <c r="D201" s="64" t="s">
        <v>450</v>
      </c>
      <c r="E201" t="s">
        <v>56</v>
      </c>
      <c r="F201">
        <v>0</v>
      </c>
      <c r="G201">
        <v>2</v>
      </c>
      <c r="H201">
        <v>64.69</v>
      </c>
    </row>
    <row r="202" spans="1:8" ht="14.4" x14ac:dyDescent="0.3">
      <c r="A202" t="s">
        <v>451</v>
      </c>
      <c r="B202" t="s">
        <v>28</v>
      </c>
      <c r="C202" t="s">
        <v>65</v>
      </c>
      <c r="D202" s="64" t="s">
        <v>452</v>
      </c>
      <c r="E202" t="s">
        <v>31</v>
      </c>
      <c r="F202">
        <v>2</v>
      </c>
      <c r="G202">
        <v>1</v>
      </c>
      <c r="H202">
        <v>57.08</v>
      </c>
    </row>
    <row r="203" spans="1:8" ht="14.4" x14ac:dyDescent="0.3">
      <c r="A203" t="s">
        <v>453</v>
      </c>
      <c r="B203" t="s">
        <v>68</v>
      </c>
      <c r="C203" t="s">
        <v>38</v>
      </c>
      <c r="D203" s="64" t="s">
        <v>454</v>
      </c>
      <c r="E203" t="s">
        <v>56</v>
      </c>
      <c r="F203">
        <v>0</v>
      </c>
      <c r="G203">
        <v>0</v>
      </c>
      <c r="H203">
        <v>50.83</v>
      </c>
    </row>
    <row r="204" spans="1:8" ht="14.4" x14ac:dyDescent="0.3">
      <c r="A204" t="s">
        <v>455</v>
      </c>
      <c r="B204" t="s">
        <v>68</v>
      </c>
      <c r="C204" t="s">
        <v>29</v>
      </c>
      <c r="D204" s="64" t="s">
        <v>456</v>
      </c>
      <c r="E204" t="s">
        <v>94</v>
      </c>
      <c r="F204">
        <v>1</v>
      </c>
      <c r="G204">
        <v>5</v>
      </c>
      <c r="H204">
        <v>83.38</v>
      </c>
    </row>
    <row r="205" spans="1:8" ht="14.4" x14ac:dyDescent="0.3">
      <c r="A205" t="s">
        <v>457</v>
      </c>
      <c r="B205" t="s">
        <v>37</v>
      </c>
      <c r="C205" t="s">
        <v>29</v>
      </c>
      <c r="D205" s="64" t="s">
        <v>458</v>
      </c>
      <c r="E205" t="s">
        <v>80</v>
      </c>
      <c r="F205">
        <v>2</v>
      </c>
      <c r="G205">
        <v>2</v>
      </c>
      <c r="H205">
        <v>64.16</v>
      </c>
    </row>
    <row r="206" spans="1:8" ht="14.4" x14ac:dyDescent="0.3">
      <c r="A206" t="s">
        <v>459</v>
      </c>
      <c r="B206" t="s">
        <v>37</v>
      </c>
      <c r="C206" t="s">
        <v>38</v>
      </c>
      <c r="D206" s="64" t="s">
        <v>460</v>
      </c>
      <c r="E206" t="s">
        <v>94</v>
      </c>
      <c r="F206">
        <v>1</v>
      </c>
      <c r="G206">
        <v>6</v>
      </c>
      <c r="H206">
        <v>90.38</v>
      </c>
    </row>
    <row r="207" spans="1:8" ht="14.4" x14ac:dyDescent="0.3">
      <c r="A207" t="s">
        <v>461</v>
      </c>
      <c r="B207" t="s">
        <v>28</v>
      </c>
      <c r="C207" t="s">
        <v>38</v>
      </c>
      <c r="D207" s="64" t="s">
        <v>462</v>
      </c>
      <c r="E207" t="s">
        <v>56</v>
      </c>
      <c r="F207">
        <v>2</v>
      </c>
      <c r="G207">
        <v>1</v>
      </c>
      <c r="H207">
        <v>56.96</v>
      </c>
    </row>
    <row r="208" spans="1:8" ht="14.4" x14ac:dyDescent="0.3">
      <c r="A208" t="s">
        <v>463</v>
      </c>
      <c r="B208" t="s">
        <v>64</v>
      </c>
      <c r="C208" t="s">
        <v>65</v>
      </c>
      <c r="D208" s="64" t="s">
        <v>464</v>
      </c>
      <c r="E208" t="s">
        <v>80</v>
      </c>
      <c r="F208">
        <v>4</v>
      </c>
      <c r="G208">
        <v>1</v>
      </c>
      <c r="H208">
        <v>56.3</v>
      </c>
    </row>
    <row r="209" spans="1:8" ht="14.4" x14ac:dyDescent="0.3">
      <c r="A209" t="s">
        <v>465</v>
      </c>
      <c r="B209" t="s">
        <v>68</v>
      </c>
      <c r="C209" t="s">
        <v>29</v>
      </c>
      <c r="D209" s="64" t="s">
        <v>466</v>
      </c>
      <c r="E209" t="s">
        <v>94</v>
      </c>
      <c r="F209">
        <v>3</v>
      </c>
      <c r="G209">
        <v>5</v>
      </c>
      <c r="H209">
        <v>83.2</v>
      </c>
    </row>
    <row r="210" spans="1:8" ht="14.4" x14ac:dyDescent="0.3">
      <c r="A210" t="s">
        <v>467</v>
      </c>
      <c r="B210" t="s">
        <v>37</v>
      </c>
      <c r="C210" t="s">
        <v>65</v>
      </c>
      <c r="D210" s="64" t="s">
        <v>468</v>
      </c>
      <c r="E210" t="s">
        <v>51</v>
      </c>
      <c r="F210">
        <v>4</v>
      </c>
      <c r="G210">
        <v>3</v>
      </c>
      <c r="H210">
        <v>71.03</v>
      </c>
    </row>
    <row r="211" spans="1:8" ht="14.4" x14ac:dyDescent="0.3">
      <c r="A211" t="s">
        <v>469</v>
      </c>
      <c r="B211" t="s">
        <v>68</v>
      </c>
      <c r="C211" t="s">
        <v>38</v>
      </c>
      <c r="D211" s="64" t="s">
        <v>470</v>
      </c>
      <c r="E211" t="s">
        <v>80</v>
      </c>
      <c r="F211">
        <v>1</v>
      </c>
      <c r="G211">
        <v>0</v>
      </c>
      <c r="H211">
        <v>50.43</v>
      </c>
    </row>
    <row r="212" spans="1:8" ht="14.4" x14ac:dyDescent="0.3">
      <c r="A212" t="s">
        <v>471</v>
      </c>
      <c r="B212" t="s">
        <v>68</v>
      </c>
      <c r="C212" t="s">
        <v>29</v>
      </c>
      <c r="D212" s="64" t="s">
        <v>472</v>
      </c>
      <c r="E212" t="s">
        <v>75</v>
      </c>
      <c r="F212">
        <v>3</v>
      </c>
      <c r="G212">
        <v>1</v>
      </c>
      <c r="H212">
        <v>56.08</v>
      </c>
    </row>
    <row r="213" spans="1:8" ht="14.4" x14ac:dyDescent="0.3">
      <c r="A213" t="s">
        <v>473</v>
      </c>
      <c r="B213" t="s">
        <v>37</v>
      </c>
      <c r="C213" t="s">
        <v>29</v>
      </c>
      <c r="D213" s="64" t="s">
        <v>474</v>
      </c>
      <c r="E213" t="s">
        <v>94</v>
      </c>
      <c r="F213">
        <v>2</v>
      </c>
      <c r="G213">
        <v>5</v>
      </c>
      <c r="H213">
        <v>83.08</v>
      </c>
    </row>
    <row r="214" spans="1:8" ht="14.4" x14ac:dyDescent="0.3">
      <c r="A214" t="s">
        <v>475</v>
      </c>
      <c r="B214" t="s">
        <v>68</v>
      </c>
      <c r="C214" t="s">
        <v>29</v>
      </c>
      <c r="D214" s="64" t="s">
        <v>476</v>
      </c>
      <c r="E214" t="s">
        <v>80</v>
      </c>
      <c r="F214">
        <v>3</v>
      </c>
      <c r="G214">
        <v>5</v>
      </c>
      <c r="H214">
        <v>83.03</v>
      </c>
    </row>
    <row r="215" spans="1:8" ht="14.4" x14ac:dyDescent="0.3">
      <c r="A215" t="s">
        <v>477</v>
      </c>
      <c r="B215" t="s">
        <v>37</v>
      </c>
      <c r="C215" t="s">
        <v>65</v>
      </c>
      <c r="D215" s="64" t="s">
        <v>478</v>
      </c>
      <c r="E215" t="s">
        <v>94</v>
      </c>
      <c r="F215">
        <v>0</v>
      </c>
      <c r="G215">
        <v>2</v>
      </c>
      <c r="H215">
        <v>64.08</v>
      </c>
    </row>
    <row r="216" spans="1:8" ht="14.4" x14ac:dyDescent="0.3">
      <c r="A216" t="s">
        <v>479</v>
      </c>
      <c r="B216" t="s">
        <v>68</v>
      </c>
      <c r="C216" t="s">
        <v>38</v>
      </c>
      <c r="D216" s="64" t="s">
        <v>480</v>
      </c>
      <c r="E216" t="s">
        <v>75</v>
      </c>
      <c r="F216">
        <v>3</v>
      </c>
      <c r="G216">
        <v>6</v>
      </c>
      <c r="H216">
        <v>90.27</v>
      </c>
    </row>
    <row r="217" spans="1:8" ht="14.4" x14ac:dyDescent="0.3">
      <c r="A217" t="s">
        <v>481</v>
      </c>
      <c r="B217" t="s">
        <v>64</v>
      </c>
      <c r="C217" t="s">
        <v>65</v>
      </c>
      <c r="D217" s="64" t="s">
        <v>482</v>
      </c>
      <c r="E217" t="s">
        <v>94</v>
      </c>
      <c r="F217">
        <v>0</v>
      </c>
      <c r="G217">
        <v>3</v>
      </c>
      <c r="H217">
        <v>70.95</v>
      </c>
    </row>
    <row r="218" spans="1:8" ht="14.4" x14ac:dyDescent="0.3">
      <c r="A218" t="s">
        <v>483</v>
      </c>
      <c r="B218" t="s">
        <v>37</v>
      </c>
      <c r="C218" t="s">
        <v>82</v>
      </c>
      <c r="D218" s="64" t="s">
        <v>484</v>
      </c>
      <c r="E218" t="s">
        <v>94</v>
      </c>
      <c r="F218">
        <v>0</v>
      </c>
      <c r="G218">
        <v>0</v>
      </c>
      <c r="H218">
        <v>50.41</v>
      </c>
    </row>
    <row r="219" spans="1:8" ht="14.4" x14ac:dyDescent="0.3">
      <c r="A219" t="s">
        <v>485</v>
      </c>
      <c r="B219" t="s">
        <v>64</v>
      </c>
      <c r="C219" t="s">
        <v>38</v>
      </c>
      <c r="D219" s="64" t="s">
        <v>486</v>
      </c>
      <c r="E219" t="s">
        <v>31</v>
      </c>
      <c r="F219">
        <v>0</v>
      </c>
      <c r="G219">
        <v>4</v>
      </c>
      <c r="H219">
        <v>76.13</v>
      </c>
    </row>
    <row r="220" spans="1:8" ht="14.4" x14ac:dyDescent="0.3">
      <c r="A220" t="s">
        <v>487</v>
      </c>
      <c r="B220" t="s">
        <v>68</v>
      </c>
      <c r="C220" t="s">
        <v>38</v>
      </c>
      <c r="D220" s="64" t="s">
        <v>488</v>
      </c>
      <c r="E220" t="s">
        <v>80</v>
      </c>
      <c r="F220">
        <v>1</v>
      </c>
      <c r="G220">
        <v>6</v>
      </c>
      <c r="H220">
        <v>90.25</v>
      </c>
    </row>
    <row r="221" spans="1:8" ht="14.4" x14ac:dyDescent="0.3">
      <c r="A221" t="s">
        <v>489</v>
      </c>
      <c r="B221" t="s">
        <v>37</v>
      </c>
      <c r="C221" t="s">
        <v>29</v>
      </c>
      <c r="D221" s="64" t="s">
        <v>490</v>
      </c>
      <c r="E221" t="s">
        <v>80</v>
      </c>
      <c r="F221">
        <v>4</v>
      </c>
      <c r="G221">
        <v>6</v>
      </c>
      <c r="H221">
        <v>89.82</v>
      </c>
    </row>
    <row r="222" spans="1:8" ht="14.4" x14ac:dyDescent="0.3">
      <c r="A222" t="s">
        <v>491</v>
      </c>
      <c r="B222" t="s">
        <v>28</v>
      </c>
      <c r="C222" t="s">
        <v>65</v>
      </c>
      <c r="D222" s="64" t="s">
        <v>492</v>
      </c>
      <c r="E222" t="s">
        <v>56</v>
      </c>
      <c r="F222">
        <v>2</v>
      </c>
      <c r="G222">
        <v>2</v>
      </c>
      <c r="H222">
        <v>63.37</v>
      </c>
    </row>
    <row r="223" spans="1:8" ht="14.4" x14ac:dyDescent="0.3">
      <c r="A223" t="s">
        <v>493</v>
      </c>
      <c r="B223" t="s">
        <v>28</v>
      </c>
      <c r="C223" t="s">
        <v>38</v>
      </c>
      <c r="D223" s="64" t="s">
        <v>494</v>
      </c>
      <c r="E223" t="s">
        <v>31</v>
      </c>
      <c r="F223">
        <v>3</v>
      </c>
      <c r="G223">
        <v>1</v>
      </c>
      <c r="H223">
        <v>55.95</v>
      </c>
    </row>
    <row r="224" spans="1:8" ht="14.4" x14ac:dyDescent="0.3">
      <c r="A224" t="s">
        <v>495</v>
      </c>
      <c r="B224" t="s">
        <v>28</v>
      </c>
      <c r="C224" t="s">
        <v>65</v>
      </c>
      <c r="D224" s="64" t="s">
        <v>496</v>
      </c>
      <c r="E224" t="s">
        <v>80</v>
      </c>
      <c r="F224">
        <v>4</v>
      </c>
      <c r="G224">
        <v>1</v>
      </c>
      <c r="H224">
        <v>55.78</v>
      </c>
    </row>
    <row r="225" spans="1:8" ht="14.4" x14ac:dyDescent="0.3">
      <c r="A225" t="s">
        <v>497</v>
      </c>
      <c r="B225" t="s">
        <v>64</v>
      </c>
      <c r="C225" t="s">
        <v>65</v>
      </c>
      <c r="D225" s="64" t="s">
        <v>498</v>
      </c>
      <c r="E225" t="s">
        <v>31</v>
      </c>
      <c r="F225">
        <v>2</v>
      </c>
      <c r="G225">
        <v>2</v>
      </c>
      <c r="H225">
        <v>62.75</v>
      </c>
    </row>
    <row r="226" spans="1:8" ht="14.4" x14ac:dyDescent="0.3">
      <c r="A226" t="s">
        <v>499</v>
      </c>
      <c r="B226" t="s">
        <v>37</v>
      </c>
      <c r="C226" t="s">
        <v>38</v>
      </c>
      <c r="D226" s="64" t="s">
        <v>500</v>
      </c>
      <c r="E226" t="s">
        <v>94</v>
      </c>
      <c r="F226">
        <v>2</v>
      </c>
      <c r="G226">
        <v>5</v>
      </c>
      <c r="H226">
        <v>82.95</v>
      </c>
    </row>
    <row r="227" spans="1:8" ht="14.4" x14ac:dyDescent="0.3">
      <c r="A227" t="s">
        <v>501</v>
      </c>
      <c r="B227" t="s">
        <v>64</v>
      </c>
      <c r="C227" t="s">
        <v>29</v>
      </c>
      <c r="D227" s="64" t="s">
        <v>502</v>
      </c>
      <c r="E227" t="s">
        <v>40</v>
      </c>
      <c r="F227">
        <v>0</v>
      </c>
      <c r="G227">
        <v>1</v>
      </c>
      <c r="H227">
        <v>55.6</v>
      </c>
    </row>
    <row r="228" spans="1:8" ht="14.4" x14ac:dyDescent="0.3">
      <c r="A228" t="s">
        <v>503</v>
      </c>
      <c r="B228" t="s">
        <v>64</v>
      </c>
      <c r="C228" t="s">
        <v>65</v>
      </c>
      <c r="D228" s="64" t="s">
        <v>504</v>
      </c>
      <c r="E228" t="s">
        <v>75</v>
      </c>
      <c r="F228">
        <v>1</v>
      </c>
      <c r="G228">
        <v>3</v>
      </c>
      <c r="H228">
        <v>70.849999999999994</v>
      </c>
    </row>
    <row r="229" spans="1:8" ht="14.4" x14ac:dyDescent="0.3">
      <c r="A229" t="s">
        <v>505</v>
      </c>
      <c r="B229" t="s">
        <v>37</v>
      </c>
      <c r="C229" t="s">
        <v>38</v>
      </c>
      <c r="D229" s="64" t="s">
        <v>506</v>
      </c>
      <c r="E229" t="s">
        <v>94</v>
      </c>
      <c r="F229">
        <v>1</v>
      </c>
      <c r="G229">
        <v>0</v>
      </c>
      <c r="H229">
        <v>50.24</v>
      </c>
    </row>
    <row r="230" spans="1:8" ht="14.4" x14ac:dyDescent="0.3">
      <c r="A230" t="s">
        <v>507</v>
      </c>
      <c r="B230" t="s">
        <v>68</v>
      </c>
      <c r="C230" t="s">
        <v>38</v>
      </c>
      <c r="D230" s="64" t="s">
        <v>508</v>
      </c>
      <c r="E230" t="s">
        <v>75</v>
      </c>
      <c r="F230">
        <v>4</v>
      </c>
      <c r="G230">
        <v>6</v>
      </c>
      <c r="H230">
        <v>89.79</v>
      </c>
    </row>
    <row r="231" spans="1:8" ht="14.4" x14ac:dyDescent="0.3">
      <c r="A231" t="s">
        <v>509</v>
      </c>
      <c r="B231" t="s">
        <v>68</v>
      </c>
      <c r="C231" t="s">
        <v>29</v>
      </c>
      <c r="D231" s="64" t="s">
        <v>510</v>
      </c>
      <c r="E231" t="s">
        <v>56</v>
      </c>
      <c r="F231">
        <v>1</v>
      </c>
      <c r="G231">
        <v>6</v>
      </c>
      <c r="H231">
        <v>89.73</v>
      </c>
    </row>
    <row r="232" spans="1:8" ht="14.4" x14ac:dyDescent="0.3">
      <c r="A232" t="s">
        <v>511</v>
      </c>
      <c r="B232" t="s">
        <v>64</v>
      </c>
      <c r="C232" t="s">
        <v>29</v>
      </c>
      <c r="D232" s="64" t="s">
        <v>512</v>
      </c>
      <c r="E232" t="s">
        <v>56</v>
      </c>
      <c r="F232">
        <v>3</v>
      </c>
      <c r="G232">
        <v>3</v>
      </c>
      <c r="H232">
        <v>70.790000000000006</v>
      </c>
    </row>
    <row r="233" spans="1:8" ht="14.4" x14ac:dyDescent="0.3">
      <c r="A233" t="s">
        <v>513</v>
      </c>
      <c r="B233" t="s">
        <v>68</v>
      </c>
      <c r="C233" t="s">
        <v>29</v>
      </c>
      <c r="D233" s="64" t="s">
        <v>514</v>
      </c>
      <c r="E233" t="s">
        <v>56</v>
      </c>
      <c r="F233">
        <v>1</v>
      </c>
      <c r="G233">
        <v>1</v>
      </c>
      <c r="H233">
        <v>55.42</v>
      </c>
    </row>
    <row r="234" spans="1:8" ht="14.4" x14ac:dyDescent="0.3">
      <c r="A234" t="s">
        <v>515</v>
      </c>
      <c r="B234" t="s">
        <v>37</v>
      </c>
      <c r="C234" t="s">
        <v>38</v>
      </c>
      <c r="D234" s="64" t="s">
        <v>516</v>
      </c>
      <c r="E234" t="s">
        <v>56</v>
      </c>
      <c r="F234">
        <v>4</v>
      </c>
      <c r="G234">
        <v>6</v>
      </c>
      <c r="H234">
        <v>89.67</v>
      </c>
    </row>
    <row r="235" spans="1:8" ht="14.4" x14ac:dyDescent="0.3">
      <c r="A235" t="s">
        <v>517</v>
      </c>
      <c r="B235" t="s">
        <v>64</v>
      </c>
      <c r="C235" t="s">
        <v>38</v>
      </c>
      <c r="D235" s="64" t="s">
        <v>518</v>
      </c>
      <c r="E235" t="s">
        <v>80</v>
      </c>
      <c r="F235">
        <v>1</v>
      </c>
      <c r="G235">
        <v>4</v>
      </c>
      <c r="H235">
        <v>75.8</v>
      </c>
    </row>
    <row r="236" spans="1:8" ht="14.4" x14ac:dyDescent="0.3">
      <c r="A236" t="s">
        <v>519</v>
      </c>
      <c r="B236" t="s">
        <v>68</v>
      </c>
      <c r="C236" t="s">
        <v>29</v>
      </c>
      <c r="D236" s="64" t="s">
        <v>520</v>
      </c>
      <c r="E236" t="s">
        <v>75</v>
      </c>
      <c r="F236">
        <v>3</v>
      </c>
      <c r="G236">
        <v>0</v>
      </c>
      <c r="H236">
        <v>50.23</v>
      </c>
    </row>
    <row r="237" spans="1:8" ht="14.4" x14ac:dyDescent="0.3">
      <c r="A237" t="s">
        <v>521</v>
      </c>
      <c r="B237" t="s">
        <v>28</v>
      </c>
      <c r="C237" t="s">
        <v>29</v>
      </c>
      <c r="D237" s="64" t="s">
        <v>522</v>
      </c>
      <c r="E237" t="s">
        <v>56</v>
      </c>
      <c r="F237">
        <v>0</v>
      </c>
      <c r="G237">
        <v>0</v>
      </c>
      <c r="H237">
        <v>50.23</v>
      </c>
    </row>
    <row r="238" spans="1:8" ht="14.4" x14ac:dyDescent="0.3">
      <c r="A238" t="s">
        <v>523</v>
      </c>
      <c r="B238" t="s">
        <v>64</v>
      </c>
      <c r="C238" t="s">
        <v>29</v>
      </c>
      <c r="D238" s="64" t="s">
        <v>524</v>
      </c>
      <c r="E238" t="s">
        <v>40</v>
      </c>
      <c r="F238">
        <v>4</v>
      </c>
      <c r="G238">
        <v>6</v>
      </c>
      <c r="H238">
        <v>89.56</v>
      </c>
    </row>
    <row r="239" spans="1:8" ht="14.4" x14ac:dyDescent="0.3">
      <c r="A239" t="s">
        <v>525</v>
      </c>
      <c r="B239" t="s">
        <v>28</v>
      </c>
      <c r="C239" t="s">
        <v>38</v>
      </c>
      <c r="D239" s="64" t="s">
        <v>526</v>
      </c>
      <c r="E239" t="s">
        <v>75</v>
      </c>
      <c r="F239">
        <v>0</v>
      </c>
      <c r="G239">
        <v>2</v>
      </c>
      <c r="H239">
        <v>62.66</v>
      </c>
    </row>
    <row r="240" spans="1:8" ht="14.4" x14ac:dyDescent="0.3">
      <c r="A240" t="s">
        <v>527</v>
      </c>
      <c r="B240" t="s">
        <v>37</v>
      </c>
      <c r="C240" t="s">
        <v>29</v>
      </c>
      <c r="D240" s="64" t="s">
        <v>528</v>
      </c>
      <c r="E240" t="s">
        <v>80</v>
      </c>
      <c r="F240">
        <v>0</v>
      </c>
      <c r="G240">
        <v>6</v>
      </c>
      <c r="H240">
        <v>89.45</v>
      </c>
    </row>
    <row r="241" spans="1:8" ht="14.4" x14ac:dyDescent="0.3">
      <c r="A241" t="s">
        <v>529</v>
      </c>
      <c r="B241" t="s">
        <v>37</v>
      </c>
      <c r="C241" t="s">
        <v>29</v>
      </c>
      <c r="D241" s="64" t="s">
        <v>530</v>
      </c>
      <c r="E241" t="s">
        <v>51</v>
      </c>
      <c r="F241">
        <v>0</v>
      </c>
      <c r="G241">
        <v>2</v>
      </c>
      <c r="H241">
        <v>62.48</v>
      </c>
    </row>
    <row r="242" spans="1:8" ht="14.4" x14ac:dyDescent="0.3">
      <c r="A242" t="s">
        <v>531</v>
      </c>
      <c r="B242" t="s">
        <v>68</v>
      </c>
      <c r="C242" t="s">
        <v>29</v>
      </c>
      <c r="D242" s="64" t="s">
        <v>532</v>
      </c>
      <c r="E242" t="s">
        <v>40</v>
      </c>
      <c r="F242">
        <v>2</v>
      </c>
      <c r="G242">
        <v>6</v>
      </c>
      <c r="H242">
        <v>89.07</v>
      </c>
    </row>
    <row r="243" spans="1:8" ht="14.4" x14ac:dyDescent="0.3">
      <c r="A243" t="s">
        <v>533</v>
      </c>
      <c r="B243" t="s">
        <v>28</v>
      </c>
      <c r="C243" t="s">
        <v>38</v>
      </c>
      <c r="D243" s="64" t="s">
        <v>534</v>
      </c>
      <c r="E243" t="s">
        <v>51</v>
      </c>
      <c r="F243">
        <v>2</v>
      </c>
      <c r="G243">
        <v>4</v>
      </c>
      <c r="H243">
        <v>75.760000000000005</v>
      </c>
    </row>
    <row r="244" spans="1:8" ht="14.4" x14ac:dyDescent="0.3">
      <c r="A244" t="s">
        <v>535</v>
      </c>
      <c r="B244" t="s">
        <v>64</v>
      </c>
      <c r="C244" t="s">
        <v>29</v>
      </c>
      <c r="D244" s="64" t="s">
        <v>536</v>
      </c>
      <c r="E244" t="s">
        <v>80</v>
      </c>
      <c r="F244">
        <v>0</v>
      </c>
      <c r="G244">
        <v>5</v>
      </c>
      <c r="H244">
        <v>82.95</v>
      </c>
    </row>
    <row r="245" spans="1:8" ht="14.4" x14ac:dyDescent="0.3">
      <c r="A245" t="s">
        <v>537</v>
      </c>
      <c r="B245" t="s">
        <v>28</v>
      </c>
      <c r="C245" t="s">
        <v>38</v>
      </c>
      <c r="D245" s="64" t="s">
        <v>538</v>
      </c>
      <c r="E245" t="s">
        <v>40</v>
      </c>
      <c r="F245">
        <v>4</v>
      </c>
      <c r="G245">
        <v>0</v>
      </c>
      <c r="H245">
        <v>50.15</v>
      </c>
    </row>
    <row r="246" spans="1:8" ht="14.4" x14ac:dyDescent="0.3">
      <c r="A246" t="s">
        <v>539</v>
      </c>
      <c r="B246" t="s">
        <v>28</v>
      </c>
      <c r="C246" t="s">
        <v>29</v>
      </c>
      <c r="D246" s="64" t="s">
        <v>540</v>
      </c>
      <c r="E246" t="s">
        <v>56</v>
      </c>
      <c r="F246">
        <v>3</v>
      </c>
      <c r="G246">
        <v>6</v>
      </c>
      <c r="H246">
        <v>88.9</v>
      </c>
    </row>
    <row r="247" spans="1:8" ht="14.4" x14ac:dyDescent="0.3">
      <c r="A247" t="s">
        <v>541</v>
      </c>
      <c r="B247" t="s">
        <v>28</v>
      </c>
      <c r="C247" t="s">
        <v>38</v>
      </c>
      <c r="D247" s="64" t="s">
        <v>542</v>
      </c>
      <c r="E247" t="s">
        <v>56</v>
      </c>
      <c r="F247">
        <v>3</v>
      </c>
      <c r="G247">
        <v>4</v>
      </c>
      <c r="H247">
        <v>75.709999999999994</v>
      </c>
    </row>
    <row r="248" spans="1:8" ht="14.4" x14ac:dyDescent="0.3">
      <c r="A248" t="s">
        <v>543</v>
      </c>
      <c r="B248" t="s">
        <v>37</v>
      </c>
      <c r="C248" t="s">
        <v>65</v>
      </c>
      <c r="D248" s="64" t="s">
        <v>544</v>
      </c>
      <c r="E248" t="s">
        <v>56</v>
      </c>
      <c r="F248">
        <v>1</v>
      </c>
      <c r="G248">
        <v>2</v>
      </c>
      <c r="H248">
        <v>62.28</v>
      </c>
    </row>
    <row r="249" spans="1:8" ht="14.4" x14ac:dyDescent="0.3">
      <c r="A249" t="s">
        <v>545</v>
      </c>
      <c r="B249" t="s">
        <v>37</v>
      </c>
      <c r="C249" t="s">
        <v>65</v>
      </c>
      <c r="D249" s="64" t="s">
        <v>546</v>
      </c>
      <c r="E249" t="s">
        <v>94</v>
      </c>
      <c r="F249">
        <v>4</v>
      </c>
      <c r="G249">
        <v>2</v>
      </c>
      <c r="H249">
        <v>62.23</v>
      </c>
    </row>
    <row r="250" spans="1:8" ht="14.4" x14ac:dyDescent="0.3">
      <c r="A250" t="s">
        <v>547</v>
      </c>
      <c r="B250" t="s">
        <v>68</v>
      </c>
      <c r="C250" t="s">
        <v>29</v>
      </c>
      <c r="D250" s="64" t="s">
        <v>548</v>
      </c>
      <c r="E250" t="s">
        <v>40</v>
      </c>
      <c r="F250">
        <v>2</v>
      </c>
      <c r="G250">
        <v>0</v>
      </c>
      <c r="H250">
        <v>50.11</v>
      </c>
    </row>
    <row r="251" spans="1:8" ht="14.4" x14ac:dyDescent="0.3">
      <c r="A251" t="s">
        <v>549</v>
      </c>
      <c r="B251" t="s">
        <v>68</v>
      </c>
      <c r="C251" t="s">
        <v>65</v>
      </c>
      <c r="D251" s="64" t="s">
        <v>550</v>
      </c>
      <c r="E251" t="s">
        <v>94</v>
      </c>
      <c r="F251">
        <v>0</v>
      </c>
      <c r="G251">
        <v>3</v>
      </c>
      <c r="H251">
        <v>70.69</v>
      </c>
    </row>
    <row r="252" spans="1:8" ht="14.4" x14ac:dyDescent="0.3">
      <c r="A252" t="s">
        <v>551</v>
      </c>
      <c r="B252" t="s">
        <v>37</v>
      </c>
      <c r="C252" t="s">
        <v>29</v>
      </c>
      <c r="D252" s="64" t="s">
        <v>552</v>
      </c>
      <c r="E252" t="s">
        <v>56</v>
      </c>
      <c r="F252">
        <v>1</v>
      </c>
      <c r="G252">
        <v>6</v>
      </c>
      <c r="H252">
        <v>88.75</v>
      </c>
    </row>
    <row r="253" spans="1:8" ht="14.4" x14ac:dyDescent="0.3">
      <c r="A253" t="s">
        <v>553</v>
      </c>
      <c r="B253" t="s">
        <v>37</v>
      </c>
      <c r="C253" t="s">
        <v>38</v>
      </c>
      <c r="D253" s="64" t="s">
        <v>554</v>
      </c>
      <c r="E253" t="s">
        <v>31</v>
      </c>
      <c r="F253">
        <v>3</v>
      </c>
      <c r="G253">
        <v>1</v>
      </c>
      <c r="H253">
        <v>55.42</v>
      </c>
    </row>
    <row r="254" spans="1:8" ht="14.4" x14ac:dyDescent="0.3">
      <c r="A254" t="s">
        <v>555</v>
      </c>
      <c r="B254" t="s">
        <v>37</v>
      </c>
      <c r="C254" t="s">
        <v>29</v>
      </c>
      <c r="D254" s="64" t="s">
        <v>556</v>
      </c>
      <c r="E254" t="s">
        <v>31</v>
      </c>
      <c r="F254">
        <v>2</v>
      </c>
      <c r="G254">
        <v>2</v>
      </c>
      <c r="H254">
        <v>62.15</v>
      </c>
    </row>
    <row r="255" spans="1:8" ht="14.4" x14ac:dyDescent="0.3">
      <c r="A255" t="s">
        <v>557</v>
      </c>
      <c r="B255" t="s">
        <v>37</v>
      </c>
      <c r="C255" t="s">
        <v>29</v>
      </c>
      <c r="D255" s="64" t="s">
        <v>558</v>
      </c>
      <c r="E255" t="s">
        <v>94</v>
      </c>
      <c r="F255">
        <v>2</v>
      </c>
      <c r="G255">
        <v>5</v>
      </c>
      <c r="H255">
        <v>82.9</v>
      </c>
    </row>
    <row r="256" spans="1:8" ht="14.4" x14ac:dyDescent="0.3">
      <c r="A256" t="s">
        <v>559</v>
      </c>
      <c r="B256" t="s">
        <v>64</v>
      </c>
      <c r="C256" t="s">
        <v>38</v>
      </c>
      <c r="D256" s="64" t="s">
        <v>560</v>
      </c>
      <c r="E256" t="s">
        <v>80</v>
      </c>
      <c r="F256">
        <v>0</v>
      </c>
      <c r="G256">
        <v>5</v>
      </c>
      <c r="H256">
        <v>82.58</v>
      </c>
    </row>
    <row r="257" spans="1:8" ht="14.4" x14ac:dyDescent="0.3">
      <c r="A257" t="s">
        <v>561</v>
      </c>
      <c r="B257" t="s">
        <v>64</v>
      </c>
      <c r="C257" t="s">
        <v>29</v>
      </c>
      <c r="D257" s="64" t="s">
        <v>562</v>
      </c>
      <c r="E257" t="s">
        <v>51</v>
      </c>
      <c r="F257">
        <v>3</v>
      </c>
      <c r="G257">
        <v>2</v>
      </c>
      <c r="H257">
        <v>61.99</v>
      </c>
    </row>
    <row r="258" spans="1:8" ht="14.4" x14ac:dyDescent="0.3">
      <c r="A258" t="s">
        <v>563</v>
      </c>
      <c r="B258" t="s">
        <v>37</v>
      </c>
      <c r="C258" t="s">
        <v>29</v>
      </c>
      <c r="D258" s="64" t="s">
        <v>564</v>
      </c>
      <c r="E258" t="s">
        <v>31</v>
      </c>
      <c r="F258">
        <v>4</v>
      </c>
      <c r="G258">
        <v>3</v>
      </c>
      <c r="H258">
        <v>70.58</v>
      </c>
    </row>
    <row r="259" spans="1:8" ht="14.4" x14ac:dyDescent="0.3">
      <c r="A259" t="s">
        <v>565</v>
      </c>
      <c r="B259" t="s">
        <v>37</v>
      </c>
      <c r="C259" t="s">
        <v>65</v>
      </c>
      <c r="D259" s="64" t="s">
        <v>566</v>
      </c>
      <c r="E259" t="s">
        <v>40</v>
      </c>
      <c r="F259">
        <v>2</v>
      </c>
      <c r="G259">
        <v>3</v>
      </c>
      <c r="H259">
        <v>70.48</v>
      </c>
    </row>
    <row r="260" spans="1:8" ht="14.4" x14ac:dyDescent="0.3">
      <c r="A260" t="s">
        <v>567</v>
      </c>
      <c r="B260" t="s">
        <v>68</v>
      </c>
      <c r="C260" t="s">
        <v>38</v>
      </c>
      <c r="D260" s="64" t="s">
        <v>568</v>
      </c>
      <c r="E260" t="s">
        <v>31</v>
      </c>
      <c r="F260">
        <v>0</v>
      </c>
      <c r="G260">
        <v>4</v>
      </c>
      <c r="H260">
        <v>75.459999999999994</v>
      </c>
    </row>
    <row r="261" spans="1:8" ht="14.4" x14ac:dyDescent="0.3">
      <c r="A261" t="s">
        <v>569</v>
      </c>
      <c r="B261" t="s">
        <v>28</v>
      </c>
      <c r="C261" t="s">
        <v>38</v>
      </c>
      <c r="D261" s="64" t="s">
        <v>570</v>
      </c>
      <c r="E261" t="s">
        <v>94</v>
      </c>
      <c r="F261">
        <v>4</v>
      </c>
      <c r="G261">
        <v>5</v>
      </c>
      <c r="H261">
        <v>82.47</v>
      </c>
    </row>
    <row r="262" spans="1:8" ht="14.4" x14ac:dyDescent="0.3">
      <c r="A262" t="s">
        <v>571</v>
      </c>
      <c r="B262" t="s">
        <v>37</v>
      </c>
      <c r="C262" t="s">
        <v>38</v>
      </c>
      <c r="D262" s="64" t="s">
        <v>572</v>
      </c>
      <c r="E262" t="s">
        <v>75</v>
      </c>
      <c r="F262">
        <v>3</v>
      </c>
      <c r="G262">
        <v>4</v>
      </c>
      <c r="H262">
        <v>75.23</v>
      </c>
    </row>
    <row r="263" spans="1:8" ht="14.4" x14ac:dyDescent="0.3">
      <c r="A263" t="s">
        <v>573</v>
      </c>
      <c r="B263" t="s">
        <v>68</v>
      </c>
      <c r="C263" t="s">
        <v>38</v>
      </c>
      <c r="D263" s="64" t="s">
        <v>574</v>
      </c>
      <c r="E263" t="s">
        <v>80</v>
      </c>
      <c r="F263">
        <v>2</v>
      </c>
      <c r="G263">
        <v>5</v>
      </c>
      <c r="H263">
        <v>82.41</v>
      </c>
    </row>
    <row r="264" spans="1:8" ht="14.4" x14ac:dyDescent="0.3">
      <c r="A264" t="s">
        <v>575</v>
      </c>
      <c r="B264" t="s">
        <v>68</v>
      </c>
      <c r="C264" t="s">
        <v>38</v>
      </c>
      <c r="D264" s="64" t="s">
        <v>576</v>
      </c>
      <c r="E264" t="s">
        <v>31</v>
      </c>
      <c r="F264">
        <v>4</v>
      </c>
      <c r="G264">
        <v>6</v>
      </c>
      <c r="H264">
        <v>88.71</v>
      </c>
    </row>
    <row r="265" spans="1:8" ht="14.4" x14ac:dyDescent="0.3">
      <c r="A265" t="s">
        <v>577</v>
      </c>
      <c r="B265" t="s">
        <v>64</v>
      </c>
      <c r="C265" t="s">
        <v>38</v>
      </c>
      <c r="D265" s="64" t="s">
        <v>578</v>
      </c>
      <c r="E265" t="s">
        <v>56</v>
      </c>
      <c r="F265">
        <v>4</v>
      </c>
      <c r="G265">
        <v>6</v>
      </c>
      <c r="H265">
        <v>88.38</v>
      </c>
    </row>
    <row r="266" spans="1:8" ht="14.4" x14ac:dyDescent="0.3">
      <c r="A266" t="s">
        <v>579</v>
      </c>
      <c r="B266" t="s">
        <v>28</v>
      </c>
      <c r="C266" t="s">
        <v>82</v>
      </c>
      <c r="D266" s="64" t="s">
        <v>580</v>
      </c>
      <c r="E266" t="s">
        <v>56</v>
      </c>
      <c r="F266">
        <v>1</v>
      </c>
      <c r="G266">
        <v>1</v>
      </c>
      <c r="H266">
        <v>55.21</v>
      </c>
    </row>
    <row r="267" spans="1:8" ht="14.4" x14ac:dyDescent="0.3">
      <c r="A267" t="s">
        <v>581</v>
      </c>
      <c r="B267" t="s">
        <v>28</v>
      </c>
      <c r="C267" t="s">
        <v>38</v>
      </c>
      <c r="D267" s="64" t="s">
        <v>582</v>
      </c>
      <c r="E267" t="s">
        <v>56</v>
      </c>
      <c r="F267">
        <v>2</v>
      </c>
      <c r="G267">
        <v>6</v>
      </c>
      <c r="H267">
        <v>88.35</v>
      </c>
    </row>
    <row r="268" spans="1:8" ht="14.4" x14ac:dyDescent="0.3">
      <c r="A268" t="s">
        <v>583</v>
      </c>
      <c r="B268" t="s">
        <v>28</v>
      </c>
      <c r="C268" t="s">
        <v>29</v>
      </c>
      <c r="D268" s="64" t="s">
        <v>584</v>
      </c>
      <c r="E268" t="s">
        <v>94</v>
      </c>
      <c r="F268">
        <v>2</v>
      </c>
      <c r="G268">
        <v>1</v>
      </c>
      <c r="H268">
        <v>55.19</v>
      </c>
    </row>
    <row r="269" spans="1:8" ht="14.4" x14ac:dyDescent="0.3">
      <c r="A269" t="s">
        <v>585</v>
      </c>
      <c r="B269" t="s">
        <v>37</v>
      </c>
      <c r="C269" t="s">
        <v>38</v>
      </c>
      <c r="D269" s="64" t="s">
        <v>586</v>
      </c>
      <c r="E269" t="s">
        <v>56</v>
      </c>
      <c r="F269">
        <v>1</v>
      </c>
      <c r="G269">
        <v>6</v>
      </c>
      <c r="H269">
        <v>88.09</v>
      </c>
    </row>
    <row r="270" spans="1:8" ht="14.4" x14ac:dyDescent="0.3">
      <c r="A270" t="s">
        <v>587</v>
      </c>
      <c r="B270" t="s">
        <v>37</v>
      </c>
      <c r="C270" t="s">
        <v>65</v>
      </c>
      <c r="D270" s="64" t="s">
        <v>588</v>
      </c>
      <c r="E270" t="s">
        <v>75</v>
      </c>
      <c r="F270">
        <v>3</v>
      </c>
      <c r="G270">
        <v>0</v>
      </c>
      <c r="H270">
        <v>50.05</v>
      </c>
    </row>
    <row r="271" spans="1:8" ht="14.4" x14ac:dyDescent="0.3">
      <c r="A271" t="s">
        <v>589</v>
      </c>
      <c r="B271" t="s">
        <v>28</v>
      </c>
      <c r="C271" t="s">
        <v>38</v>
      </c>
      <c r="D271" s="64" t="s">
        <v>590</v>
      </c>
      <c r="E271" t="s">
        <v>31</v>
      </c>
      <c r="F271">
        <v>0</v>
      </c>
      <c r="G271">
        <v>6</v>
      </c>
      <c r="H271">
        <v>87.87</v>
      </c>
    </row>
    <row r="272" spans="1:8" ht="14.4" x14ac:dyDescent="0.3">
      <c r="A272" t="s">
        <v>591</v>
      </c>
      <c r="B272" t="s">
        <v>68</v>
      </c>
      <c r="C272" t="s">
        <v>38</v>
      </c>
      <c r="D272" s="64" t="s">
        <v>592</v>
      </c>
      <c r="E272" t="s">
        <v>40</v>
      </c>
      <c r="F272">
        <v>4</v>
      </c>
      <c r="G272">
        <v>4</v>
      </c>
      <c r="H272">
        <v>75.19</v>
      </c>
    </row>
    <row r="273" spans="1:8" ht="14.4" x14ac:dyDescent="0.3">
      <c r="A273" t="s">
        <v>593</v>
      </c>
      <c r="B273" t="s">
        <v>64</v>
      </c>
      <c r="C273" t="s">
        <v>29</v>
      </c>
      <c r="D273" s="64" t="s">
        <v>594</v>
      </c>
      <c r="E273" t="s">
        <v>31</v>
      </c>
      <c r="F273">
        <v>1</v>
      </c>
      <c r="G273">
        <v>2</v>
      </c>
      <c r="H273">
        <v>61.87</v>
      </c>
    </row>
    <row r="274" spans="1:8" ht="14.4" x14ac:dyDescent="0.3">
      <c r="A274" t="s">
        <v>595</v>
      </c>
      <c r="B274" t="s">
        <v>64</v>
      </c>
      <c r="C274" t="s">
        <v>38</v>
      </c>
      <c r="D274" s="64" t="s">
        <v>596</v>
      </c>
      <c r="E274" t="s">
        <v>40</v>
      </c>
      <c r="F274">
        <v>0</v>
      </c>
      <c r="G274">
        <v>4</v>
      </c>
      <c r="H274">
        <v>75.03</v>
      </c>
    </row>
    <row r="275" spans="1:8" ht="14.4" x14ac:dyDescent="0.3">
      <c r="A275" t="s">
        <v>597</v>
      </c>
      <c r="B275" t="s">
        <v>37</v>
      </c>
      <c r="C275" t="s">
        <v>65</v>
      </c>
      <c r="D275" s="64" t="s">
        <v>598</v>
      </c>
      <c r="E275" t="s">
        <v>40</v>
      </c>
      <c r="F275">
        <v>1</v>
      </c>
      <c r="G275">
        <v>2</v>
      </c>
      <c r="H275">
        <v>61.71</v>
      </c>
    </row>
    <row r="276" spans="1:8" ht="14.4" x14ac:dyDescent="0.3">
      <c r="A276" t="s">
        <v>599</v>
      </c>
      <c r="B276" t="s">
        <v>68</v>
      </c>
      <c r="C276" t="s">
        <v>29</v>
      </c>
      <c r="D276" s="64" t="s">
        <v>600</v>
      </c>
      <c r="E276" t="s">
        <v>40</v>
      </c>
      <c r="F276">
        <v>2</v>
      </c>
      <c r="G276">
        <v>3</v>
      </c>
      <c r="H276">
        <v>69.849999999999994</v>
      </c>
    </row>
    <row r="277" spans="1:8" ht="14.4" x14ac:dyDescent="0.3">
      <c r="A277" t="s">
        <v>601</v>
      </c>
      <c r="B277" t="s">
        <v>37</v>
      </c>
      <c r="C277" t="s">
        <v>38</v>
      </c>
      <c r="D277" s="64" t="s">
        <v>602</v>
      </c>
      <c r="E277" t="s">
        <v>94</v>
      </c>
      <c r="F277">
        <v>4</v>
      </c>
      <c r="G277">
        <v>4</v>
      </c>
      <c r="H277">
        <v>75.010000000000005</v>
      </c>
    </row>
    <row r="278" spans="1:8" ht="14.4" x14ac:dyDescent="0.3">
      <c r="A278" t="s">
        <v>603</v>
      </c>
      <c r="B278" t="s">
        <v>28</v>
      </c>
      <c r="C278" t="s">
        <v>29</v>
      </c>
      <c r="D278" s="64" t="s">
        <v>604</v>
      </c>
      <c r="E278" t="s">
        <v>94</v>
      </c>
      <c r="F278">
        <v>0</v>
      </c>
      <c r="G278">
        <v>3</v>
      </c>
      <c r="H278">
        <v>69.67</v>
      </c>
    </row>
    <row r="279" spans="1:8" ht="14.4" x14ac:dyDescent="0.3">
      <c r="A279" t="s">
        <v>605</v>
      </c>
      <c r="B279" t="s">
        <v>37</v>
      </c>
      <c r="C279" t="s">
        <v>65</v>
      </c>
      <c r="D279" s="64" t="s">
        <v>606</v>
      </c>
      <c r="E279" t="s">
        <v>56</v>
      </c>
      <c r="F279">
        <v>0</v>
      </c>
      <c r="G279">
        <v>1</v>
      </c>
      <c r="H279">
        <v>55.14</v>
      </c>
    </row>
    <row r="280" spans="1:8" ht="14.4" x14ac:dyDescent="0.3">
      <c r="A280" t="s">
        <v>607</v>
      </c>
      <c r="B280" t="s">
        <v>37</v>
      </c>
      <c r="C280" t="s">
        <v>82</v>
      </c>
      <c r="D280" s="64" t="s">
        <v>608</v>
      </c>
      <c r="E280" t="s">
        <v>51</v>
      </c>
      <c r="F280">
        <v>0</v>
      </c>
      <c r="G280">
        <v>1</v>
      </c>
      <c r="H280">
        <v>54.93</v>
      </c>
    </row>
    <row r="281" spans="1:8" ht="14.4" x14ac:dyDescent="0.3">
      <c r="A281" t="s">
        <v>609</v>
      </c>
      <c r="B281" t="s">
        <v>37</v>
      </c>
      <c r="C281" t="s">
        <v>29</v>
      </c>
      <c r="D281" s="64" t="s">
        <v>610</v>
      </c>
      <c r="E281" t="s">
        <v>40</v>
      </c>
      <c r="F281">
        <v>0</v>
      </c>
      <c r="G281">
        <v>0</v>
      </c>
      <c r="H281">
        <v>50.01</v>
      </c>
    </row>
    <row r="282" spans="1:8" ht="14.4" x14ac:dyDescent="0.3">
      <c r="A282" t="s">
        <v>611</v>
      </c>
      <c r="B282" t="s">
        <v>37</v>
      </c>
      <c r="C282" t="s">
        <v>38</v>
      </c>
      <c r="D282" s="64" t="s">
        <v>612</v>
      </c>
      <c r="E282" t="s">
        <v>40</v>
      </c>
      <c r="F282">
        <v>0</v>
      </c>
      <c r="G282">
        <v>6</v>
      </c>
      <c r="H282">
        <v>87.81</v>
      </c>
    </row>
    <row r="283" spans="1:8" ht="14.4" x14ac:dyDescent="0.3">
      <c r="A283" t="s">
        <v>613</v>
      </c>
      <c r="B283" t="s">
        <v>64</v>
      </c>
      <c r="C283" t="s">
        <v>38</v>
      </c>
      <c r="D283" s="64" t="s">
        <v>614</v>
      </c>
      <c r="E283" t="s">
        <v>80</v>
      </c>
      <c r="F283">
        <v>1</v>
      </c>
      <c r="G283">
        <v>4</v>
      </c>
      <c r="H283">
        <v>74.47</v>
      </c>
    </row>
    <row r="284" spans="1:8" ht="14.4" x14ac:dyDescent="0.3">
      <c r="A284" t="s">
        <v>615</v>
      </c>
      <c r="B284" t="s">
        <v>68</v>
      </c>
      <c r="C284" t="s">
        <v>29</v>
      </c>
      <c r="D284" s="64" t="s">
        <v>616</v>
      </c>
      <c r="E284" t="s">
        <v>31</v>
      </c>
      <c r="F284">
        <v>4</v>
      </c>
      <c r="G284">
        <v>3</v>
      </c>
      <c r="H284">
        <v>69.45</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04AE7-C158-4C42-BB79-FCE98D6012CC}">
  <dimension ref="A1:AS281"/>
  <sheetViews>
    <sheetView workbookViewId="0">
      <selection activeCell="AQ26" sqref="AQ26"/>
    </sheetView>
  </sheetViews>
  <sheetFormatPr defaultRowHeight="14.4" x14ac:dyDescent="0.3"/>
  <cols>
    <col min="12" max="12" width="9.109375" customWidth="1"/>
    <col min="13" max="14" width="0" hidden="1" customWidth="1"/>
    <col min="16" max="16" width="0" hidden="1" customWidth="1"/>
    <col min="19" max="20" width="0" hidden="1" customWidth="1"/>
    <col min="22" max="22" width="19.5546875" hidden="1" customWidth="1"/>
    <col min="23" max="33" width="0" hidden="1" customWidth="1"/>
    <col min="35" max="36" width="0" hidden="1" customWidth="1"/>
    <col min="39" max="40" width="17.6640625" bestFit="1" customWidth="1"/>
    <col min="41" max="41" width="19.5546875" bestFit="1" customWidth="1"/>
    <col min="42" max="42" width="14" bestFit="1" customWidth="1"/>
    <col min="43" max="43" width="32" bestFit="1" customWidth="1"/>
    <col min="44" max="44" width="19.5546875" bestFit="1" customWidth="1"/>
    <col min="45" max="45" width="32" bestFit="1" customWidth="1"/>
    <col min="46" max="46" width="19.5546875" bestFit="1" customWidth="1"/>
    <col min="47" max="47" width="32" bestFit="1" customWidth="1"/>
    <col min="48" max="48" width="19.5546875" bestFit="1" customWidth="1"/>
    <col min="49" max="49" width="37.33203125" bestFit="1" customWidth="1"/>
    <col min="50" max="50" width="24.88671875" bestFit="1" customWidth="1"/>
    <col min="51" max="51" width="14" bestFit="1" customWidth="1"/>
    <col min="52" max="52" width="32" bestFit="1" customWidth="1"/>
    <col min="53" max="53" width="24.88671875" bestFit="1" customWidth="1"/>
    <col min="54" max="54" width="19.109375" bestFit="1" customWidth="1"/>
    <col min="55" max="55" width="37.33203125" bestFit="1" customWidth="1"/>
    <col min="56" max="57" width="7.6640625" bestFit="1" customWidth="1"/>
    <col min="58" max="58" width="7.88671875" bestFit="1" customWidth="1"/>
    <col min="59" max="59" width="15.6640625" bestFit="1" customWidth="1"/>
    <col min="60" max="60" width="14" bestFit="1" customWidth="1"/>
    <col min="61" max="62" width="7.6640625" bestFit="1" customWidth="1"/>
    <col min="63" max="63" width="7.88671875" bestFit="1" customWidth="1"/>
    <col min="64" max="64" width="14.5546875" bestFit="1" customWidth="1"/>
    <col min="65" max="65" width="10.33203125" bestFit="1" customWidth="1"/>
    <col min="66" max="67" width="7.6640625" bestFit="1" customWidth="1"/>
    <col min="68" max="68" width="7.88671875" bestFit="1" customWidth="1"/>
    <col min="69" max="69" width="13.6640625" bestFit="1" customWidth="1"/>
    <col min="70" max="70" width="13.44140625" bestFit="1" customWidth="1"/>
    <col min="71" max="72" width="7.6640625" bestFit="1" customWidth="1"/>
    <col min="73" max="73" width="7.88671875" bestFit="1" customWidth="1"/>
    <col min="74" max="74" width="16.5546875" bestFit="1" customWidth="1"/>
    <col min="75" max="75" width="12.33203125" bestFit="1" customWidth="1"/>
    <col min="76" max="77" width="7.6640625" bestFit="1" customWidth="1"/>
    <col min="78" max="78" width="7.88671875" bestFit="1" customWidth="1"/>
    <col min="79" max="79" width="15.6640625" bestFit="1" customWidth="1"/>
    <col min="80" max="80" width="32" bestFit="1" customWidth="1"/>
    <col min="81" max="82" width="7.6640625" bestFit="1" customWidth="1"/>
    <col min="83" max="83" width="7.88671875" bestFit="1" customWidth="1"/>
    <col min="84" max="84" width="14.5546875" bestFit="1" customWidth="1"/>
    <col min="85" max="85" width="10.33203125" bestFit="1" customWidth="1"/>
    <col min="86" max="87" width="7.6640625" bestFit="1" customWidth="1"/>
    <col min="88" max="88" width="7.88671875" bestFit="1" customWidth="1"/>
    <col min="89" max="89" width="13.6640625" bestFit="1" customWidth="1"/>
    <col min="90" max="90" width="13.44140625" bestFit="1" customWidth="1"/>
    <col min="91" max="92" width="7.6640625" bestFit="1" customWidth="1"/>
    <col min="93" max="93" width="7.88671875" bestFit="1" customWidth="1"/>
    <col min="94" max="94" width="16.5546875" bestFit="1" customWidth="1"/>
    <col min="95" max="95" width="12.33203125" bestFit="1" customWidth="1"/>
    <col min="96" max="97" width="7.6640625" bestFit="1" customWidth="1"/>
    <col min="98" max="98" width="7.88671875" bestFit="1" customWidth="1"/>
    <col min="99" max="99" width="15.6640625" bestFit="1" customWidth="1"/>
    <col min="100" max="100" width="24.88671875" bestFit="1" customWidth="1"/>
    <col min="101" max="101" width="19.109375" bestFit="1" customWidth="1"/>
    <col min="102" max="102" width="37.33203125" bestFit="1" customWidth="1"/>
  </cols>
  <sheetData>
    <row r="1" spans="1:42" ht="57.6" x14ac:dyDescent="0.3">
      <c r="A1" s="19" t="s">
        <v>679</v>
      </c>
      <c r="J1" s="2" t="s">
        <v>0</v>
      </c>
      <c r="K1" s="2" t="s">
        <v>1</v>
      </c>
      <c r="L1" s="2" t="s">
        <v>2</v>
      </c>
      <c r="M1" s="2" t="s">
        <v>3</v>
      </c>
      <c r="N1" s="2" t="s">
        <v>4</v>
      </c>
      <c r="O1" s="2" t="s">
        <v>5</v>
      </c>
      <c r="P1" s="2" t="s">
        <v>6</v>
      </c>
      <c r="Q1" s="2" t="s">
        <v>7</v>
      </c>
      <c r="R1" s="2" t="s">
        <v>8</v>
      </c>
      <c r="S1" s="2" t="s">
        <v>9</v>
      </c>
      <c r="T1" s="2" t="s">
        <v>10</v>
      </c>
      <c r="U1" s="2" t="s">
        <v>11</v>
      </c>
      <c r="V1" s="2" t="s">
        <v>12</v>
      </c>
      <c r="W1" s="2" t="s">
        <v>13</v>
      </c>
      <c r="X1" s="2" t="s">
        <v>14</v>
      </c>
      <c r="Y1" s="2" t="s">
        <v>15</v>
      </c>
      <c r="Z1" s="2" t="s">
        <v>16</v>
      </c>
      <c r="AA1" s="2" t="s">
        <v>17</v>
      </c>
      <c r="AB1" s="2" t="s">
        <v>18</v>
      </c>
      <c r="AC1" s="2" t="s">
        <v>19</v>
      </c>
      <c r="AD1" s="2" t="s">
        <v>20</v>
      </c>
      <c r="AE1" s="2" t="s">
        <v>21</v>
      </c>
      <c r="AF1" s="2" t="s">
        <v>22</v>
      </c>
      <c r="AG1" s="2" t="s">
        <v>23</v>
      </c>
      <c r="AH1" s="2" t="s">
        <v>24</v>
      </c>
      <c r="AI1" s="2" t="s">
        <v>25</v>
      </c>
      <c r="AJ1" s="2" t="s">
        <v>26</v>
      </c>
    </row>
    <row r="2" spans="1:42" x14ac:dyDescent="0.3">
      <c r="A2" s="18" t="s">
        <v>680</v>
      </c>
      <c r="J2" t="s">
        <v>27</v>
      </c>
      <c r="K2" t="s">
        <v>28</v>
      </c>
      <c r="L2" t="s">
        <v>29</v>
      </c>
      <c r="M2" t="s">
        <v>30</v>
      </c>
      <c r="N2" t="s">
        <v>31</v>
      </c>
      <c r="O2" t="s">
        <v>32</v>
      </c>
      <c r="P2">
        <v>71</v>
      </c>
      <c r="Q2">
        <v>0</v>
      </c>
      <c r="R2">
        <v>2</v>
      </c>
      <c r="S2">
        <v>69.209999999999994</v>
      </c>
      <c r="T2">
        <v>11.7</v>
      </c>
      <c r="U2">
        <v>14.47</v>
      </c>
      <c r="W2" t="s">
        <v>33</v>
      </c>
      <c r="Z2">
        <v>0</v>
      </c>
      <c r="AA2">
        <v>3</v>
      </c>
      <c r="AB2" t="s">
        <v>34</v>
      </c>
      <c r="AC2">
        <v>29</v>
      </c>
      <c r="AD2">
        <v>188</v>
      </c>
      <c r="AE2">
        <v>79</v>
      </c>
      <c r="AF2" t="s">
        <v>35</v>
      </c>
      <c r="AG2">
        <v>66.099999999999994</v>
      </c>
      <c r="AH2">
        <v>7.58</v>
      </c>
      <c r="AI2">
        <v>1.08</v>
      </c>
      <c r="AJ2">
        <v>98.33</v>
      </c>
    </row>
    <row r="3" spans="1:42" x14ac:dyDescent="0.3">
      <c r="A3" s="18" t="s">
        <v>681</v>
      </c>
      <c r="J3" t="s">
        <v>36</v>
      </c>
      <c r="K3" t="s">
        <v>37</v>
      </c>
      <c r="L3" t="s">
        <v>38</v>
      </c>
      <c r="M3" t="s">
        <v>39</v>
      </c>
      <c r="N3" t="s">
        <v>40</v>
      </c>
      <c r="O3" t="s">
        <v>41</v>
      </c>
      <c r="P3">
        <v>34</v>
      </c>
      <c r="Q3">
        <v>2</v>
      </c>
      <c r="R3">
        <v>6</v>
      </c>
      <c r="S3">
        <v>94.97</v>
      </c>
      <c r="T3">
        <v>19.899999999999999</v>
      </c>
      <c r="U3">
        <v>6.66</v>
      </c>
      <c r="W3" t="s">
        <v>42</v>
      </c>
      <c r="X3" s="1">
        <v>45025</v>
      </c>
      <c r="Y3">
        <v>57</v>
      </c>
      <c r="Z3">
        <v>0</v>
      </c>
      <c r="AA3">
        <v>2</v>
      </c>
      <c r="AB3" t="s">
        <v>43</v>
      </c>
      <c r="AC3">
        <v>27</v>
      </c>
      <c r="AD3">
        <v>195</v>
      </c>
      <c r="AE3">
        <v>86</v>
      </c>
      <c r="AF3" t="s">
        <v>44</v>
      </c>
      <c r="AG3">
        <v>63</v>
      </c>
      <c r="AH3">
        <v>6.16</v>
      </c>
      <c r="AI3">
        <v>0.65</v>
      </c>
      <c r="AJ3">
        <v>89.25</v>
      </c>
      <c r="AM3" s="4" t="s">
        <v>5</v>
      </c>
      <c r="AN3" s="4" t="s">
        <v>1</v>
      </c>
      <c r="AO3" t="s">
        <v>645</v>
      </c>
      <c r="AP3" t="s">
        <v>646</v>
      </c>
    </row>
    <row r="4" spans="1:42" x14ac:dyDescent="0.3">
      <c r="J4" t="s">
        <v>45</v>
      </c>
      <c r="K4" t="s">
        <v>37</v>
      </c>
      <c r="L4" t="s">
        <v>29</v>
      </c>
      <c r="M4" t="s">
        <v>46</v>
      </c>
      <c r="N4" t="s">
        <v>31</v>
      </c>
      <c r="O4" t="s">
        <v>41</v>
      </c>
      <c r="P4">
        <v>91</v>
      </c>
      <c r="Q4">
        <v>2</v>
      </c>
      <c r="R4">
        <v>2</v>
      </c>
      <c r="S4">
        <v>68.989999999999995</v>
      </c>
      <c r="T4">
        <v>11.6</v>
      </c>
      <c r="U4">
        <v>12.71</v>
      </c>
      <c r="V4" s="1">
        <v>45154</v>
      </c>
      <c r="W4" t="s">
        <v>47</v>
      </c>
      <c r="Z4">
        <v>0</v>
      </c>
      <c r="AA4">
        <v>0</v>
      </c>
      <c r="AB4" t="s">
        <v>34</v>
      </c>
      <c r="AC4">
        <v>24</v>
      </c>
      <c r="AD4">
        <v>197</v>
      </c>
      <c r="AE4">
        <v>74</v>
      </c>
      <c r="AF4" t="s">
        <v>48</v>
      </c>
      <c r="AG4">
        <v>63.7</v>
      </c>
      <c r="AH4">
        <v>7.9</v>
      </c>
      <c r="AI4">
        <v>1.31</v>
      </c>
      <c r="AJ4">
        <v>90.14</v>
      </c>
      <c r="AM4" t="s">
        <v>41</v>
      </c>
      <c r="AN4" t="s">
        <v>28</v>
      </c>
      <c r="AO4">
        <v>75</v>
      </c>
      <c r="AP4">
        <v>100</v>
      </c>
    </row>
    <row r="5" spans="1:42" x14ac:dyDescent="0.3">
      <c r="J5" t="s">
        <v>49</v>
      </c>
      <c r="K5" t="s">
        <v>28</v>
      </c>
      <c r="L5" t="s">
        <v>29</v>
      </c>
      <c r="M5" t="s">
        <v>50</v>
      </c>
      <c r="N5" t="s">
        <v>51</v>
      </c>
      <c r="O5" t="s">
        <v>32</v>
      </c>
      <c r="P5">
        <v>80</v>
      </c>
      <c r="Q5">
        <v>0</v>
      </c>
      <c r="R5">
        <v>5</v>
      </c>
      <c r="S5">
        <v>87.71</v>
      </c>
      <c r="T5">
        <v>17.899999999999999</v>
      </c>
      <c r="U5">
        <v>12.09</v>
      </c>
      <c r="W5" t="s">
        <v>42</v>
      </c>
      <c r="X5" s="1">
        <v>44973</v>
      </c>
      <c r="Z5">
        <v>0</v>
      </c>
      <c r="AA5">
        <v>4</v>
      </c>
      <c r="AB5" t="s">
        <v>52</v>
      </c>
      <c r="AC5">
        <v>30</v>
      </c>
      <c r="AD5">
        <v>198</v>
      </c>
      <c r="AE5">
        <v>65</v>
      </c>
      <c r="AF5" t="s">
        <v>53</v>
      </c>
      <c r="AG5">
        <v>59.9</v>
      </c>
      <c r="AH5">
        <v>8.17</v>
      </c>
      <c r="AI5">
        <v>1.1399999999999999</v>
      </c>
      <c r="AJ5">
        <v>88.97</v>
      </c>
      <c r="AN5" t="s">
        <v>64</v>
      </c>
      <c r="AO5">
        <v>56</v>
      </c>
      <c r="AP5">
        <v>117</v>
      </c>
    </row>
    <row r="6" spans="1:42" x14ac:dyDescent="0.3">
      <c r="J6" t="s">
        <v>54</v>
      </c>
      <c r="K6" t="s">
        <v>28</v>
      </c>
      <c r="L6" t="s">
        <v>38</v>
      </c>
      <c r="M6" t="s">
        <v>55</v>
      </c>
      <c r="N6" t="s">
        <v>56</v>
      </c>
      <c r="O6" t="s">
        <v>41</v>
      </c>
      <c r="P6">
        <v>40</v>
      </c>
      <c r="Q6">
        <v>4</v>
      </c>
      <c r="R6">
        <v>5</v>
      </c>
      <c r="S6">
        <v>87.7</v>
      </c>
      <c r="T6">
        <v>17.8</v>
      </c>
      <c r="U6">
        <v>9.74</v>
      </c>
      <c r="W6" t="s">
        <v>33</v>
      </c>
      <c r="X6" s="1">
        <v>44943</v>
      </c>
      <c r="Z6">
        <v>0</v>
      </c>
      <c r="AA6">
        <v>4</v>
      </c>
      <c r="AB6" t="s">
        <v>34</v>
      </c>
      <c r="AC6">
        <v>24</v>
      </c>
      <c r="AD6">
        <v>196</v>
      </c>
      <c r="AE6">
        <v>73</v>
      </c>
      <c r="AF6" t="s">
        <v>53</v>
      </c>
      <c r="AG6">
        <v>47.8</v>
      </c>
      <c r="AH6">
        <v>6.91</v>
      </c>
      <c r="AI6">
        <v>0.89</v>
      </c>
      <c r="AJ6">
        <v>75.97</v>
      </c>
      <c r="AN6" t="s">
        <v>37</v>
      </c>
      <c r="AO6">
        <v>56</v>
      </c>
      <c r="AP6">
        <v>109</v>
      </c>
    </row>
    <row r="7" spans="1:42" x14ac:dyDescent="0.3">
      <c r="J7" t="s">
        <v>57</v>
      </c>
      <c r="K7" t="s">
        <v>37</v>
      </c>
      <c r="L7" t="s">
        <v>38</v>
      </c>
      <c r="M7" t="s">
        <v>58</v>
      </c>
      <c r="N7" t="s">
        <v>31</v>
      </c>
      <c r="O7" t="s">
        <v>41</v>
      </c>
      <c r="P7">
        <v>94</v>
      </c>
      <c r="Q7">
        <v>0</v>
      </c>
      <c r="R7">
        <v>2</v>
      </c>
      <c r="S7">
        <v>68.98</v>
      </c>
      <c r="T7">
        <v>11.6</v>
      </c>
      <c r="U7">
        <v>5.58</v>
      </c>
      <c r="W7" t="s">
        <v>42</v>
      </c>
      <c r="Y7">
        <v>22</v>
      </c>
      <c r="Z7">
        <v>0</v>
      </c>
      <c r="AA7">
        <v>0</v>
      </c>
      <c r="AB7" t="s">
        <v>52</v>
      </c>
      <c r="AC7">
        <v>34</v>
      </c>
      <c r="AD7">
        <v>194</v>
      </c>
      <c r="AE7">
        <v>70</v>
      </c>
      <c r="AF7" t="s">
        <v>53</v>
      </c>
      <c r="AG7">
        <v>67.2</v>
      </c>
      <c r="AH7">
        <v>9.86</v>
      </c>
      <c r="AI7">
        <v>1.17</v>
      </c>
      <c r="AJ7">
        <v>82.55</v>
      </c>
      <c r="AN7" t="s">
        <v>68</v>
      </c>
      <c r="AO7">
        <v>76</v>
      </c>
      <c r="AP7">
        <v>110</v>
      </c>
    </row>
    <row r="8" spans="1:42" x14ac:dyDescent="0.3">
      <c r="J8" t="s">
        <v>59</v>
      </c>
      <c r="K8" t="s">
        <v>28</v>
      </c>
      <c r="L8" t="s">
        <v>38</v>
      </c>
      <c r="M8" t="s">
        <v>60</v>
      </c>
      <c r="N8" t="s">
        <v>56</v>
      </c>
      <c r="O8" t="s">
        <v>32</v>
      </c>
      <c r="P8">
        <v>94</v>
      </c>
      <c r="Q8">
        <v>1</v>
      </c>
      <c r="R8">
        <v>6</v>
      </c>
      <c r="S8">
        <v>94.84</v>
      </c>
      <c r="T8">
        <v>19.899999999999999</v>
      </c>
      <c r="U8">
        <v>5.75</v>
      </c>
      <c r="W8" t="s">
        <v>42</v>
      </c>
      <c r="Z8">
        <v>0</v>
      </c>
      <c r="AA8">
        <v>0</v>
      </c>
      <c r="AB8" t="s">
        <v>61</v>
      </c>
      <c r="AC8">
        <v>27</v>
      </c>
      <c r="AD8">
        <v>166</v>
      </c>
      <c r="AE8">
        <v>98</v>
      </c>
      <c r="AF8" t="s">
        <v>62</v>
      </c>
      <c r="AG8">
        <v>60.1</v>
      </c>
      <c r="AH8">
        <v>9.64</v>
      </c>
      <c r="AI8">
        <v>0.76</v>
      </c>
      <c r="AJ8">
        <v>92.53</v>
      </c>
      <c r="AM8" t="s">
        <v>682</v>
      </c>
      <c r="AO8" s="43">
        <v>263</v>
      </c>
      <c r="AP8">
        <v>436</v>
      </c>
    </row>
    <row r="9" spans="1:42" x14ac:dyDescent="0.3">
      <c r="J9" t="s">
        <v>63</v>
      </c>
      <c r="K9" t="s">
        <v>64</v>
      </c>
      <c r="L9" t="s">
        <v>65</v>
      </c>
      <c r="M9" t="s">
        <v>66</v>
      </c>
      <c r="N9" t="s">
        <v>31</v>
      </c>
      <c r="O9" t="s">
        <v>41</v>
      </c>
      <c r="P9">
        <v>43</v>
      </c>
      <c r="Q9">
        <v>0</v>
      </c>
      <c r="R9">
        <v>2</v>
      </c>
      <c r="S9">
        <v>68.98</v>
      </c>
      <c r="T9">
        <v>11.5</v>
      </c>
      <c r="U9">
        <v>13.52</v>
      </c>
      <c r="V9" s="1">
        <v>45247</v>
      </c>
      <c r="W9" t="s">
        <v>33</v>
      </c>
      <c r="Z9">
        <v>0</v>
      </c>
      <c r="AA9">
        <v>4</v>
      </c>
      <c r="AB9" t="s">
        <v>52</v>
      </c>
      <c r="AC9">
        <v>27</v>
      </c>
      <c r="AD9">
        <v>186</v>
      </c>
      <c r="AE9">
        <v>68</v>
      </c>
      <c r="AF9" t="s">
        <v>48</v>
      </c>
      <c r="AG9">
        <v>56.8</v>
      </c>
      <c r="AH9">
        <v>8.89</v>
      </c>
      <c r="AI9">
        <v>0.85</v>
      </c>
      <c r="AJ9">
        <v>73.040000000000006</v>
      </c>
      <c r="AM9" t="s">
        <v>32</v>
      </c>
      <c r="AN9" t="s">
        <v>28</v>
      </c>
      <c r="AO9">
        <v>54</v>
      </c>
      <c r="AP9">
        <v>112</v>
      </c>
    </row>
    <row r="10" spans="1:42" x14ac:dyDescent="0.3">
      <c r="J10" t="s">
        <v>67</v>
      </c>
      <c r="K10" t="s">
        <v>68</v>
      </c>
      <c r="L10" t="s">
        <v>29</v>
      </c>
      <c r="M10" t="s">
        <v>69</v>
      </c>
      <c r="N10" t="s">
        <v>56</v>
      </c>
      <c r="O10" t="s">
        <v>32</v>
      </c>
      <c r="P10">
        <v>22</v>
      </c>
      <c r="Q10">
        <v>2</v>
      </c>
      <c r="R10">
        <v>1</v>
      </c>
      <c r="S10">
        <v>61.65</v>
      </c>
      <c r="T10">
        <v>9.3000000000000007</v>
      </c>
      <c r="U10">
        <v>14.9</v>
      </c>
      <c r="W10" t="s">
        <v>43</v>
      </c>
      <c r="Z10">
        <v>0</v>
      </c>
      <c r="AA10">
        <v>2</v>
      </c>
      <c r="AB10" t="s">
        <v>34</v>
      </c>
      <c r="AC10">
        <v>21</v>
      </c>
      <c r="AD10">
        <v>187</v>
      </c>
      <c r="AE10">
        <v>85</v>
      </c>
      <c r="AF10" t="s">
        <v>70</v>
      </c>
      <c r="AG10">
        <v>43.3</v>
      </c>
      <c r="AH10">
        <v>8.1300000000000008</v>
      </c>
      <c r="AI10">
        <v>1.42</v>
      </c>
      <c r="AJ10">
        <v>78.34</v>
      </c>
      <c r="AN10" t="s">
        <v>64</v>
      </c>
      <c r="AO10">
        <v>53</v>
      </c>
      <c r="AP10">
        <v>87</v>
      </c>
    </row>
    <row r="11" spans="1:42" x14ac:dyDescent="0.3">
      <c r="J11" t="s">
        <v>71</v>
      </c>
      <c r="K11" t="s">
        <v>37</v>
      </c>
      <c r="L11" t="s">
        <v>29</v>
      </c>
      <c r="M11" t="s">
        <v>72</v>
      </c>
      <c r="N11" t="s">
        <v>51</v>
      </c>
      <c r="O11" t="s">
        <v>32</v>
      </c>
      <c r="P11">
        <v>41</v>
      </c>
      <c r="Q11">
        <v>0</v>
      </c>
      <c r="R11">
        <v>3</v>
      </c>
      <c r="S11">
        <v>74.290000000000006</v>
      </c>
      <c r="T11">
        <v>13.8</v>
      </c>
      <c r="U11">
        <v>11.76</v>
      </c>
      <c r="W11" t="s">
        <v>42</v>
      </c>
      <c r="Z11">
        <v>0</v>
      </c>
      <c r="AA11">
        <v>4</v>
      </c>
      <c r="AB11" t="s">
        <v>43</v>
      </c>
      <c r="AC11">
        <v>37</v>
      </c>
      <c r="AD11">
        <v>181</v>
      </c>
      <c r="AE11">
        <v>75</v>
      </c>
      <c r="AF11" t="s">
        <v>53</v>
      </c>
      <c r="AG11">
        <v>53.4</v>
      </c>
      <c r="AH11">
        <v>9.48</v>
      </c>
      <c r="AI11">
        <v>0.79</v>
      </c>
      <c r="AJ11">
        <v>78.290000000000006</v>
      </c>
      <c r="AN11" t="s">
        <v>37</v>
      </c>
      <c r="AO11">
        <v>75</v>
      </c>
      <c r="AP11">
        <v>133</v>
      </c>
    </row>
    <row r="12" spans="1:42" x14ac:dyDescent="0.3">
      <c r="J12" t="s">
        <v>73</v>
      </c>
      <c r="K12" t="s">
        <v>37</v>
      </c>
      <c r="L12" t="s">
        <v>38</v>
      </c>
      <c r="M12" t="s">
        <v>74</v>
      </c>
      <c r="N12" t="s">
        <v>75</v>
      </c>
      <c r="O12" t="s">
        <v>32</v>
      </c>
      <c r="P12">
        <v>72</v>
      </c>
      <c r="Q12">
        <v>4</v>
      </c>
      <c r="R12">
        <v>6</v>
      </c>
      <c r="S12">
        <v>94.62</v>
      </c>
      <c r="T12">
        <v>19.899999999999999</v>
      </c>
      <c r="U12">
        <v>9.4600000000000009</v>
      </c>
      <c r="W12" t="s">
        <v>33</v>
      </c>
      <c r="Z12">
        <v>0</v>
      </c>
      <c r="AA12">
        <v>0</v>
      </c>
      <c r="AB12" t="s">
        <v>61</v>
      </c>
      <c r="AC12">
        <v>21</v>
      </c>
      <c r="AD12">
        <v>173</v>
      </c>
      <c r="AE12">
        <v>64</v>
      </c>
      <c r="AF12" t="s">
        <v>53</v>
      </c>
      <c r="AG12">
        <v>53.8</v>
      </c>
      <c r="AH12">
        <v>6.52</v>
      </c>
      <c r="AI12">
        <v>0.97</v>
      </c>
      <c r="AJ12">
        <v>82.96</v>
      </c>
      <c r="AN12" t="s">
        <v>68</v>
      </c>
      <c r="AO12">
        <v>69</v>
      </c>
      <c r="AP12">
        <v>107</v>
      </c>
    </row>
    <row r="13" spans="1:42" x14ac:dyDescent="0.3">
      <c r="J13" t="s">
        <v>76</v>
      </c>
      <c r="K13" t="s">
        <v>64</v>
      </c>
      <c r="L13" t="s">
        <v>29</v>
      </c>
      <c r="M13" t="s">
        <v>77</v>
      </c>
      <c r="N13" t="s">
        <v>56</v>
      </c>
      <c r="O13" t="s">
        <v>41</v>
      </c>
      <c r="P13">
        <v>21</v>
      </c>
      <c r="Q13">
        <v>3</v>
      </c>
      <c r="R13">
        <v>6</v>
      </c>
      <c r="S13">
        <v>94.57</v>
      </c>
      <c r="T13">
        <v>19.8</v>
      </c>
      <c r="U13">
        <v>11.48</v>
      </c>
      <c r="W13" t="s">
        <v>33</v>
      </c>
      <c r="Z13">
        <v>0</v>
      </c>
      <c r="AA13">
        <v>3</v>
      </c>
      <c r="AB13" t="s">
        <v>61</v>
      </c>
      <c r="AC13">
        <v>39</v>
      </c>
      <c r="AD13">
        <v>166</v>
      </c>
      <c r="AE13">
        <v>69</v>
      </c>
      <c r="AF13" t="s">
        <v>70</v>
      </c>
      <c r="AG13">
        <v>65.900000000000006</v>
      </c>
      <c r="AH13">
        <v>9.16</v>
      </c>
      <c r="AI13">
        <v>1.39</v>
      </c>
      <c r="AJ13">
        <v>99.41</v>
      </c>
      <c r="AM13" t="s">
        <v>683</v>
      </c>
      <c r="AO13" s="43">
        <v>251</v>
      </c>
      <c r="AP13">
        <v>439</v>
      </c>
    </row>
    <row r="14" spans="1:42" x14ac:dyDescent="0.3">
      <c r="J14" t="s">
        <v>78</v>
      </c>
      <c r="K14" t="s">
        <v>37</v>
      </c>
      <c r="L14" t="s">
        <v>29</v>
      </c>
      <c r="M14" t="s">
        <v>79</v>
      </c>
      <c r="N14" t="s">
        <v>80</v>
      </c>
      <c r="O14" t="s">
        <v>41</v>
      </c>
      <c r="P14">
        <v>49</v>
      </c>
      <c r="Q14">
        <v>0</v>
      </c>
      <c r="R14">
        <v>4</v>
      </c>
      <c r="S14">
        <v>82.2</v>
      </c>
      <c r="T14">
        <v>15.7</v>
      </c>
      <c r="U14">
        <v>10.94</v>
      </c>
      <c r="W14" t="s">
        <v>47</v>
      </c>
      <c r="Y14">
        <v>82</v>
      </c>
      <c r="Z14">
        <v>1</v>
      </c>
      <c r="AA14">
        <v>1</v>
      </c>
      <c r="AB14" t="s">
        <v>52</v>
      </c>
      <c r="AC14">
        <v>24</v>
      </c>
      <c r="AD14">
        <v>196</v>
      </c>
      <c r="AE14">
        <v>62</v>
      </c>
      <c r="AF14" t="s">
        <v>48</v>
      </c>
      <c r="AG14">
        <v>56.4</v>
      </c>
      <c r="AH14">
        <v>6.5</v>
      </c>
      <c r="AI14">
        <v>1.21</v>
      </c>
      <c r="AJ14">
        <v>72.03</v>
      </c>
      <c r="AM14" t="s">
        <v>633</v>
      </c>
      <c r="AO14">
        <v>514</v>
      </c>
      <c r="AP14">
        <v>875</v>
      </c>
    </row>
    <row r="15" spans="1:42" x14ac:dyDescent="0.3">
      <c r="J15" t="s">
        <v>81</v>
      </c>
      <c r="K15" t="s">
        <v>64</v>
      </c>
      <c r="L15" t="s">
        <v>82</v>
      </c>
      <c r="M15" t="s">
        <v>83</v>
      </c>
      <c r="N15" t="s">
        <v>75</v>
      </c>
      <c r="O15" t="s">
        <v>41</v>
      </c>
      <c r="P15">
        <v>57</v>
      </c>
      <c r="Q15">
        <v>0</v>
      </c>
      <c r="R15">
        <v>0</v>
      </c>
      <c r="S15">
        <v>54.93</v>
      </c>
      <c r="T15">
        <v>6.5</v>
      </c>
      <c r="U15">
        <v>8.84</v>
      </c>
      <c r="V15" s="1">
        <v>45208</v>
      </c>
      <c r="W15" t="s">
        <v>33</v>
      </c>
      <c r="Z15">
        <v>0</v>
      </c>
      <c r="AA15">
        <v>3</v>
      </c>
      <c r="AB15" t="s">
        <v>43</v>
      </c>
      <c r="AC15">
        <v>39</v>
      </c>
      <c r="AD15">
        <v>181</v>
      </c>
      <c r="AE15">
        <v>72</v>
      </c>
      <c r="AF15" t="s">
        <v>48</v>
      </c>
      <c r="AG15">
        <v>51.4</v>
      </c>
      <c r="AH15">
        <v>9.18</v>
      </c>
      <c r="AI15">
        <v>0.56000000000000005</v>
      </c>
      <c r="AJ15">
        <v>85.56</v>
      </c>
    </row>
    <row r="16" spans="1:42" x14ac:dyDescent="0.3">
      <c r="J16" t="s">
        <v>84</v>
      </c>
      <c r="K16" t="s">
        <v>37</v>
      </c>
      <c r="L16" t="s">
        <v>38</v>
      </c>
      <c r="M16" t="s">
        <v>85</v>
      </c>
      <c r="N16" t="s">
        <v>75</v>
      </c>
      <c r="O16" t="s">
        <v>32</v>
      </c>
      <c r="P16">
        <v>21</v>
      </c>
      <c r="Q16">
        <v>4</v>
      </c>
      <c r="R16">
        <v>3</v>
      </c>
      <c r="S16">
        <v>74.23</v>
      </c>
      <c r="T16">
        <v>13.8</v>
      </c>
      <c r="U16">
        <v>5.66</v>
      </c>
      <c r="W16" t="s">
        <v>47</v>
      </c>
      <c r="X16" s="1">
        <v>44990</v>
      </c>
      <c r="Y16">
        <v>86</v>
      </c>
      <c r="Z16">
        <v>0</v>
      </c>
      <c r="AA16">
        <v>3</v>
      </c>
      <c r="AB16" t="s">
        <v>43</v>
      </c>
      <c r="AC16">
        <v>18</v>
      </c>
      <c r="AD16">
        <v>164</v>
      </c>
      <c r="AE16">
        <v>89</v>
      </c>
      <c r="AF16" t="s">
        <v>35</v>
      </c>
      <c r="AG16">
        <v>69.3</v>
      </c>
      <c r="AH16">
        <v>7.1</v>
      </c>
      <c r="AI16">
        <v>0.65</v>
      </c>
      <c r="AJ16">
        <v>75.38</v>
      </c>
    </row>
    <row r="17" spans="10:45" x14ac:dyDescent="0.3">
      <c r="J17" t="s">
        <v>86</v>
      </c>
      <c r="K17" t="s">
        <v>28</v>
      </c>
      <c r="L17" t="s">
        <v>29</v>
      </c>
      <c r="M17" t="s">
        <v>87</v>
      </c>
      <c r="N17" t="s">
        <v>56</v>
      </c>
      <c r="O17" t="s">
        <v>32</v>
      </c>
      <c r="P17">
        <v>83</v>
      </c>
      <c r="Q17">
        <v>2</v>
      </c>
      <c r="R17">
        <v>5</v>
      </c>
      <c r="S17">
        <v>87.67</v>
      </c>
      <c r="T17">
        <v>17.8</v>
      </c>
      <c r="U17">
        <v>13.22</v>
      </c>
      <c r="V17" s="1">
        <v>45213</v>
      </c>
      <c r="W17" t="s">
        <v>47</v>
      </c>
      <c r="X17" s="1">
        <v>45079</v>
      </c>
      <c r="Z17">
        <v>0</v>
      </c>
      <c r="AA17">
        <v>0</v>
      </c>
      <c r="AB17" t="s">
        <v>34</v>
      </c>
      <c r="AC17">
        <v>29</v>
      </c>
      <c r="AD17">
        <v>161</v>
      </c>
      <c r="AE17">
        <v>65</v>
      </c>
      <c r="AF17" t="s">
        <v>35</v>
      </c>
      <c r="AG17">
        <v>43.3</v>
      </c>
      <c r="AH17">
        <v>9.51</v>
      </c>
      <c r="AI17">
        <v>0.51</v>
      </c>
      <c r="AJ17">
        <v>99.12</v>
      </c>
    </row>
    <row r="18" spans="10:45" x14ac:dyDescent="0.3">
      <c r="J18" t="s">
        <v>88</v>
      </c>
      <c r="K18" t="s">
        <v>68</v>
      </c>
      <c r="L18" t="s">
        <v>38</v>
      </c>
      <c r="M18" t="s">
        <v>89</v>
      </c>
      <c r="N18" t="s">
        <v>80</v>
      </c>
      <c r="O18" t="s">
        <v>41</v>
      </c>
      <c r="P18">
        <v>79</v>
      </c>
      <c r="Q18">
        <v>4</v>
      </c>
      <c r="R18">
        <v>6</v>
      </c>
      <c r="S18">
        <v>94.51</v>
      </c>
      <c r="T18">
        <v>19.8</v>
      </c>
      <c r="U18">
        <v>8.7200000000000006</v>
      </c>
      <c r="W18" t="s">
        <v>33</v>
      </c>
      <c r="Y18">
        <v>40</v>
      </c>
      <c r="Z18">
        <v>0</v>
      </c>
      <c r="AA18">
        <v>4</v>
      </c>
      <c r="AB18" t="s">
        <v>34</v>
      </c>
      <c r="AC18">
        <v>30</v>
      </c>
      <c r="AD18">
        <v>186</v>
      </c>
      <c r="AE18">
        <v>76</v>
      </c>
      <c r="AF18" t="s">
        <v>35</v>
      </c>
      <c r="AG18">
        <v>52.7</v>
      </c>
      <c r="AH18">
        <v>9.7799999999999994</v>
      </c>
      <c r="AI18">
        <v>1.1299999999999999</v>
      </c>
      <c r="AJ18">
        <v>73.400000000000006</v>
      </c>
    </row>
    <row r="19" spans="10:45" x14ac:dyDescent="0.3">
      <c r="J19" t="s">
        <v>90</v>
      </c>
      <c r="K19" t="s">
        <v>68</v>
      </c>
      <c r="L19" t="s">
        <v>65</v>
      </c>
      <c r="M19" t="s">
        <v>91</v>
      </c>
      <c r="N19" t="s">
        <v>80</v>
      </c>
      <c r="O19" t="s">
        <v>32</v>
      </c>
      <c r="P19">
        <v>40</v>
      </c>
      <c r="Q19">
        <v>4</v>
      </c>
      <c r="R19">
        <v>2</v>
      </c>
      <c r="S19">
        <v>68.790000000000006</v>
      </c>
      <c r="T19">
        <v>11.4</v>
      </c>
      <c r="U19">
        <v>13.19</v>
      </c>
      <c r="W19" t="s">
        <v>42</v>
      </c>
      <c r="Z19">
        <v>0</v>
      </c>
      <c r="AA19">
        <v>2</v>
      </c>
      <c r="AB19" t="s">
        <v>34</v>
      </c>
      <c r="AC19">
        <v>27</v>
      </c>
      <c r="AD19">
        <v>180</v>
      </c>
      <c r="AE19">
        <v>78</v>
      </c>
      <c r="AF19" t="s">
        <v>48</v>
      </c>
      <c r="AG19">
        <v>41.3</v>
      </c>
      <c r="AH19">
        <v>6.6</v>
      </c>
      <c r="AI19">
        <v>0.95</v>
      </c>
      <c r="AJ19">
        <v>82.11</v>
      </c>
    </row>
    <row r="20" spans="10:45" x14ac:dyDescent="0.3">
      <c r="J20" t="s">
        <v>92</v>
      </c>
      <c r="K20" t="s">
        <v>64</v>
      </c>
      <c r="L20" t="s">
        <v>65</v>
      </c>
      <c r="M20" t="s">
        <v>93</v>
      </c>
      <c r="N20" t="s">
        <v>94</v>
      </c>
      <c r="O20" t="s">
        <v>41</v>
      </c>
      <c r="P20">
        <v>52</v>
      </c>
      <c r="Q20">
        <v>4</v>
      </c>
      <c r="R20">
        <v>3</v>
      </c>
      <c r="S20">
        <v>73.97</v>
      </c>
      <c r="T20">
        <v>13.7</v>
      </c>
      <c r="U20">
        <v>7.53</v>
      </c>
      <c r="W20" t="s">
        <v>33</v>
      </c>
      <c r="X20" s="1">
        <v>45187</v>
      </c>
      <c r="Y20">
        <v>84</v>
      </c>
      <c r="Z20">
        <v>0</v>
      </c>
      <c r="AA20">
        <v>3</v>
      </c>
      <c r="AB20" t="s">
        <v>34</v>
      </c>
      <c r="AC20">
        <v>32</v>
      </c>
      <c r="AD20">
        <v>197</v>
      </c>
      <c r="AE20">
        <v>94</v>
      </c>
      <c r="AF20" t="s">
        <v>44</v>
      </c>
      <c r="AG20">
        <v>62.2</v>
      </c>
      <c r="AH20">
        <v>7.85</v>
      </c>
      <c r="AI20">
        <v>0.63</v>
      </c>
      <c r="AJ20">
        <v>92.14</v>
      </c>
    </row>
    <row r="21" spans="10:45" x14ac:dyDescent="0.3">
      <c r="J21" t="s">
        <v>95</v>
      </c>
      <c r="K21" t="s">
        <v>28</v>
      </c>
      <c r="L21" t="s">
        <v>29</v>
      </c>
      <c r="M21" t="s">
        <v>96</v>
      </c>
      <c r="N21" t="s">
        <v>40</v>
      </c>
      <c r="O21" t="s">
        <v>41</v>
      </c>
      <c r="P21">
        <v>77</v>
      </c>
      <c r="Q21">
        <v>4</v>
      </c>
      <c r="R21">
        <v>4</v>
      </c>
      <c r="S21">
        <v>81.72</v>
      </c>
      <c r="T21">
        <v>15.6</v>
      </c>
      <c r="U21">
        <v>5.01</v>
      </c>
      <c r="W21" t="s">
        <v>33</v>
      </c>
      <c r="Z21">
        <v>0</v>
      </c>
      <c r="AA21">
        <v>4</v>
      </c>
      <c r="AB21" t="s">
        <v>52</v>
      </c>
      <c r="AC21">
        <v>30</v>
      </c>
      <c r="AD21">
        <v>174</v>
      </c>
      <c r="AE21">
        <v>85</v>
      </c>
      <c r="AF21" t="s">
        <v>53</v>
      </c>
      <c r="AG21">
        <v>67.5</v>
      </c>
      <c r="AH21">
        <v>9.92</v>
      </c>
      <c r="AI21">
        <v>1.46</v>
      </c>
      <c r="AJ21">
        <v>91.14</v>
      </c>
      <c r="AM21" s="4" t="s">
        <v>5</v>
      </c>
      <c r="AN21" s="4" t="s">
        <v>2</v>
      </c>
      <c r="AO21" t="s">
        <v>645</v>
      </c>
      <c r="AP21" t="s">
        <v>684</v>
      </c>
      <c r="AQ21" t="s">
        <v>685</v>
      </c>
    </row>
    <row r="22" spans="10:45" x14ac:dyDescent="0.3">
      <c r="J22" t="s">
        <v>97</v>
      </c>
      <c r="K22" t="s">
        <v>64</v>
      </c>
      <c r="L22" t="s">
        <v>29</v>
      </c>
      <c r="M22" t="s">
        <v>98</v>
      </c>
      <c r="N22" t="s">
        <v>31</v>
      </c>
      <c r="O22" t="s">
        <v>41</v>
      </c>
      <c r="P22">
        <v>41</v>
      </c>
      <c r="Q22">
        <v>1</v>
      </c>
      <c r="R22">
        <v>5</v>
      </c>
      <c r="S22">
        <v>87.38</v>
      </c>
      <c r="T22">
        <v>17.8</v>
      </c>
      <c r="U22">
        <v>6.59</v>
      </c>
      <c r="W22" t="s">
        <v>43</v>
      </c>
      <c r="X22" s="1">
        <v>45120</v>
      </c>
      <c r="Y22">
        <v>77</v>
      </c>
      <c r="Z22">
        <v>1</v>
      </c>
      <c r="AA22">
        <v>2</v>
      </c>
      <c r="AB22" t="s">
        <v>52</v>
      </c>
      <c r="AC22">
        <v>39</v>
      </c>
      <c r="AD22">
        <v>180</v>
      </c>
      <c r="AE22">
        <v>64</v>
      </c>
      <c r="AF22" t="s">
        <v>44</v>
      </c>
      <c r="AG22">
        <v>48.4</v>
      </c>
      <c r="AH22">
        <v>7.93</v>
      </c>
      <c r="AI22">
        <v>1.03</v>
      </c>
      <c r="AJ22">
        <v>82.68</v>
      </c>
      <c r="AM22" t="s">
        <v>41</v>
      </c>
      <c r="AN22" t="s">
        <v>29</v>
      </c>
      <c r="AO22">
        <v>84</v>
      </c>
      <c r="AP22">
        <v>2454</v>
      </c>
      <c r="AQ22" s="46">
        <f>(AO22/AP22)*90</f>
        <v>3.0806845965770169</v>
      </c>
      <c r="AS22" s="41"/>
    </row>
    <row r="23" spans="10:45" x14ac:dyDescent="0.3">
      <c r="J23" t="s">
        <v>99</v>
      </c>
      <c r="K23" t="s">
        <v>68</v>
      </c>
      <c r="L23" t="s">
        <v>29</v>
      </c>
      <c r="M23" t="s">
        <v>100</v>
      </c>
      <c r="N23" t="s">
        <v>75</v>
      </c>
      <c r="O23" t="s">
        <v>41</v>
      </c>
      <c r="P23">
        <v>68</v>
      </c>
      <c r="Q23">
        <v>1</v>
      </c>
      <c r="R23">
        <v>0</v>
      </c>
      <c r="S23">
        <v>54.8</v>
      </c>
      <c r="T23">
        <v>6.4</v>
      </c>
      <c r="U23">
        <v>9.69</v>
      </c>
      <c r="W23" t="s">
        <v>47</v>
      </c>
      <c r="X23" s="1">
        <v>45034</v>
      </c>
      <c r="Z23">
        <v>0</v>
      </c>
      <c r="AA23">
        <v>3</v>
      </c>
      <c r="AB23" t="s">
        <v>52</v>
      </c>
      <c r="AC23">
        <v>39</v>
      </c>
      <c r="AD23">
        <v>169</v>
      </c>
      <c r="AE23">
        <v>88</v>
      </c>
      <c r="AF23" t="s">
        <v>70</v>
      </c>
      <c r="AG23">
        <v>65.8</v>
      </c>
      <c r="AH23">
        <v>9.4499999999999993</v>
      </c>
      <c r="AI23">
        <v>0.74</v>
      </c>
      <c r="AJ23">
        <v>80.400000000000006</v>
      </c>
      <c r="AN23" t="s">
        <v>65</v>
      </c>
      <c r="AO23">
        <v>53</v>
      </c>
      <c r="AP23">
        <v>1598</v>
      </c>
      <c r="AQ23" s="46">
        <f>(AO23/AP23)*90</f>
        <v>2.9849812265331668</v>
      </c>
      <c r="AS23" s="41"/>
    </row>
    <row r="24" spans="10:45" x14ac:dyDescent="0.3">
      <c r="J24" t="s">
        <v>101</v>
      </c>
      <c r="K24" t="s">
        <v>64</v>
      </c>
      <c r="L24" t="s">
        <v>38</v>
      </c>
      <c r="M24" t="s">
        <v>102</v>
      </c>
      <c r="N24" t="s">
        <v>80</v>
      </c>
      <c r="O24" t="s">
        <v>41</v>
      </c>
      <c r="P24">
        <v>78</v>
      </c>
      <c r="Q24">
        <v>2</v>
      </c>
      <c r="R24">
        <v>0</v>
      </c>
      <c r="S24">
        <v>54.76</v>
      </c>
      <c r="T24">
        <v>6.4</v>
      </c>
      <c r="U24">
        <v>14.44</v>
      </c>
      <c r="W24" t="s">
        <v>43</v>
      </c>
      <c r="Z24">
        <v>0</v>
      </c>
      <c r="AA24">
        <v>2</v>
      </c>
      <c r="AB24" t="s">
        <v>34</v>
      </c>
      <c r="AC24">
        <v>38</v>
      </c>
      <c r="AD24">
        <v>182</v>
      </c>
      <c r="AE24">
        <v>96</v>
      </c>
      <c r="AF24" t="s">
        <v>48</v>
      </c>
      <c r="AG24">
        <v>48.8</v>
      </c>
      <c r="AH24">
        <v>8.35</v>
      </c>
      <c r="AI24">
        <v>1</v>
      </c>
      <c r="AJ24">
        <v>81.93</v>
      </c>
      <c r="AN24" t="s">
        <v>82</v>
      </c>
      <c r="AO24">
        <v>0</v>
      </c>
      <c r="AP24">
        <v>315</v>
      </c>
      <c r="AQ24" s="46">
        <f>(AO24/AP24)*90</f>
        <v>0</v>
      </c>
      <c r="AS24" s="41"/>
    </row>
    <row r="25" spans="10:45" x14ac:dyDescent="0.3">
      <c r="J25" t="s">
        <v>103</v>
      </c>
      <c r="K25" t="s">
        <v>64</v>
      </c>
      <c r="L25" t="s">
        <v>29</v>
      </c>
      <c r="M25" t="s">
        <v>104</v>
      </c>
      <c r="N25" t="s">
        <v>51</v>
      </c>
      <c r="O25" t="s">
        <v>41</v>
      </c>
      <c r="P25">
        <v>61</v>
      </c>
      <c r="Q25">
        <v>0</v>
      </c>
      <c r="R25">
        <v>4</v>
      </c>
      <c r="S25">
        <v>81.45</v>
      </c>
      <c r="T25">
        <v>15.6</v>
      </c>
      <c r="U25">
        <v>6.02</v>
      </c>
      <c r="W25" t="s">
        <v>43</v>
      </c>
      <c r="X25" s="1">
        <v>45147</v>
      </c>
      <c r="Z25">
        <v>0</v>
      </c>
      <c r="AA25">
        <v>4</v>
      </c>
      <c r="AB25" t="s">
        <v>61</v>
      </c>
      <c r="AC25">
        <v>39</v>
      </c>
      <c r="AD25">
        <v>198</v>
      </c>
      <c r="AE25">
        <v>79</v>
      </c>
      <c r="AF25" t="s">
        <v>53</v>
      </c>
      <c r="AG25">
        <v>67.3</v>
      </c>
      <c r="AH25">
        <v>7.5</v>
      </c>
      <c r="AI25">
        <v>1.18</v>
      </c>
      <c r="AJ25">
        <v>77.930000000000007</v>
      </c>
      <c r="AN25" t="s">
        <v>38</v>
      </c>
      <c r="AO25">
        <v>126</v>
      </c>
      <c r="AP25">
        <v>3444</v>
      </c>
      <c r="AQ25" s="46">
        <f>(AO25/AP25)*90</f>
        <v>3.2926829268292681</v>
      </c>
      <c r="AS25" s="41"/>
    </row>
    <row r="26" spans="10:45" x14ac:dyDescent="0.3">
      <c r="J26" t="s">
        <v>105</v>
      </c>
      <c r="K26" t="s">
        <v>28</v>
      </c>
      <c r="L26" t="s">
        <v>65</v>
      </c>
      <c r="M26" t="s">
        <v>106</v>
      </c>
      <c r="N26" t="s">
        <v>31</v>
      </c>
      <c r="O26" t="s">
        <v>41</v>
      </c>
      <c r="P26">
        <v>79</v>
      </c>
      <c r="Q26">
        <v>4</v>
      </c>
      <c r="R26">
        <v>4</v>
      </c>
      <c r="S26">
        <v>81.45</v>
      </c>
      <c r="T26">
        <v>15.5</v>
      </c>
      <c r="U26">
        <v>13.54</v>
      </c>
      <c r="W26" t="s">
        <v>42</v>
      </c>
      <c r="X26" s="1">
        <v>44964</v>
      </c>
      <c r="Y26">
        <v>13</v>
      </c>
      <c r="Z26">
        <v>0</v>
      </c>
      <c r="AA26">
        <v>1</v>
      </c>
      <c r="AB26" t="s">
        <v>43</v>
      </c>
      <c r="AC26">
        <v>26</v>
      </c>
      <c r="AD26">
        <v>164</v>
      </c>
      <c r="AE26">
        <v>80</v>
      </c>
      <c r="AF26" t="s">
        <v>44</v>
      </c>
      <c r="AG26">
        <v>62.6</v>
      </c>
      <c r="AH26">
        <v>7.14</v>
      </c>
      <c r="AI26">
        <v>0.57999999999999996</v>
      </c>
      <c r="AJ26">
        <v>76.16</v>
      </c>
      <c r="AM26" t="s">
        <v>682</v>
      </c>
      <c r="AO26">
        <v>263</v>
      </c>
      <c r="AP26">
        <v>7811</v>
      </c>
      <c r="AQ26" s="50"/>
      <c r="AS26" s="41"/>
    </row>
    <row r="27" spans="10:45" x14ac:dyDescent="0.3">
      <c r="J27" t="s">
        <v>107</v>
      </c>
      <c r="K27" t="s">
        <v>37</v>
      </c>
      <c r="L27" t="s">
        <v>65</v>
      </c>
      <c r="M27" t="s">
        <v>108</v>
      </c>
      <c r="N27" t="s">
        <v>75</v>
      </c>
      <c r="O27" t="s">
        <v>32</v>
      </c>
      <c r="P27">
        <v>34</v>
      </c>
      <c r="Q27">
        <v>0</v>
      </c>
      <c r="R27">
        <v>2</v>
      </c>
      <c r="S27">
        <v>68.58</v>
      </c>
      <c r="T27">
        <v>11.4</v>
      </c>
      <c r="U27">
        <v>10.27</v>
      </c>
      <c r="W27" t="s">
        <v>42</v>
      </c>
      <c r="Z27">
        <v>0</v>
      </c>
      <c r="AA27">
        <v>4</v>
      </c>
      <c r="AB27" t="s">
        <v>43</v>
      </c>
      <c r="AC27">
        <v>26</v>
      </c>
      <c r="AD27">
        <v>160</v>
      </c>
      <c r="AE27">
        <v>69</v>
      </c>
      <c r="AF27" t="s">
        <v>53</v>
      </c>
      <c r="AG27">
        <v>64.099999999999994</v>
      </c>
      <c r="AH27">
        <v>6.81</v>
      </c>
      <c r="AI27">
        <v>0.77</v>
      </c>
      <c r="AJ27">
        <v>84.49</v>
      </c>
      <c r="AM27" t="s">
        <v>32</v>
      </c>
      <c r="AN27" t="s">
        <v>29</v>
      </c>
      <c r="AO27">
        <v>87</v>
      </c>
      <c r="AP27">
        <v>3374</v>
      </c>
      <c r="AQ27" s="46">
        <f>(AO27/AP27)*90</f>
        <v>2.3206876111440424</v>
      </c>
      <c r="AS27" s="41"/>
    </row>
    <row r="28" spans="10:45" x14ac:dyDescent="0.3">
      <c r="J28" t="s">
        <v>109</v>
      </c>
      <c r="K28" t="s">
        <v>37</v>
      </c>
      <c r="L28" t="s">
        <v>38</v>
      </c>
      <c r="M28" t="s">
        <v>110</v>
      </c>
      <c r="N28" t="s">
        <v>40</v>
      </c>
      <c r="O28" t="s">
        <v>41</v>
      </c>
      <c r="P28">
        <v>81</v>
      </c>
      <c r="Q28">
        <v>0</v>
      </c>
      <c r="R28">
        <v>6</v>
      </c>
      <c r="S28">
        <v>94.34</v>
      </c>
      <c r="T28">
        <v>19.8</v>
      </c>
      <c r="U28">
        <v>13.26</v>
      </c>
      <c r="V28" s="1">
        <v>45122</v>
      </c>
      <c r="W28" t="s">
        <v>47</v>
      </c>
      <c r="Z28">
        <v>0</v>
      </c>
      <c r="AA28">
        <v>0</v>
      </c>
      <c r="AB28" t="s">
        <v>61</v>
      </c>
      <c r="AC28">
        <v>32</v>
      </c>
      <c r="AD28">
        <v>172</v>
      </c>
      <c r="AE28">
        <v>64</v>
      </c>
      <c r="AF28" t="s">
        <v>44</v>
      </c>
      <c r="AG28">
        <v>40.5</v>
      </c>
      <c r="AH28">
        <v>9.0500000000000007</v>
      </c>
      <c r="AI28">
        <v>1.31</v>
      </c>
      <c r="AJ28">
        <v>78.06</v>
      </c>
      <c r="AN28" t="s">
        <v>65</v>
      </c>
      <c r="AO28">
        <v>39</v>
      </c>
      <c r="AP28">
        <v>1067</v>
      </c>
      <c r="AQ28" s="46">
        <f>(AO28/AP28)*90</f>
        <v>3.2895970009372069</v>
      </c>
      <c r="AS28" s="41"/>
    </row>
    <row r="29" spans="10:45" x14ac:dyDescent="0.3">
      <c r="J29" t="s">
        <v>111</v>
      </c>
      <c r="K29" t="s">
        <v>64</v>
      </c>
      <c r="L29" t="s">
        <v>38</v>
      </c>
      <c r="M29" t="s">
        <v>112</v>
      </c>
      <c r="N29" t="s">
        <v>40</v>
      </c>
      <c r="O29" t="s">
        <v>41</v>
      </c>
      <c r="P29">
        <v>81</v>
      </c>
      <c r="Q29">
        <v>2</v>
      </c>
      <c r="R29">
        <v>0</v>
      </c>
      <c r="S29">
        <v>54.64</v>
      </c>
      <c r="T29">
        <v>6.4</v>
      </c>
      <c r="U29">
        <v>7.98</v>
      </c>
      <c r="W29" t="s">
        <v>47</v>
      </c>
      <c r="Z29">
        <v>0</v>
      </c>
      <c r="AA29">
        <v>2</v>
      </c>
      <c r="AB29" t="s">
        <v>34</v>
      </c>
      <c r="AC29">
        <v>27</v>
      </c>
      <c r="AD29">
        <v>180</v>
      </c>
      <c r="AE29">
        <v>95</v>
      </c>
      <c r="AF29" t="s">
        <v>48</v>
      </c>
      <c r="AG29">
        <v>68.900000000000006</v>
      </c>
      <c r="AH29">
        <v>7.55</v>
      </c>
      <c r="AI29">
        <v>0.96</v>
      </c>
      <c r="AJ29">
        <v>78.62</v>
      </c>
      <c r="AN29" t="s">
        <v>82</v>
      </c>
      <c r="AO29">
        <v>2</v>
      </c>
      <c r="AP29">
        <v>180</v>
      </c>
      <c r="AQ29" s="46">
        <f>(AO29/AP29)*90</f>
        <v>1</v>
      </c>
      <c r="AS29" s="41"/>
    </row>
    <row r="30" spans="10:45" x14ac:dyDescent="0.3">
      <c r="J30" t="s">
        <v>113</v>
      </c>
      <c r="K30" t="s">
        <v>68</v>
      </c>
      <c r="L30" t="s">
        <v>29</v>
      </c>
      <c r="M30" t="s">
        <v>114</v>
      </c>
      <c r="N30" t="s">
        <v>31</v>
      </c>
      <c r="O30" t="s">
        <v>41</v>
      </c>
      <c r="P30">
        <v>66</v>
      </c>
      <c r="Q30">
        <v>4</v>
      </c>
      <c r="R30">
        <v>5</v>
      </c>
      <c r="S30">
        <v>87.38</v>
      </c>
      <c r="T30">
        <v>17.8</v>
      </c>
      <c r="U30">
        <v>13.4</v>
      </c>
      <c r="W30" t="s">
        <v>47</v>
      </c>
      <c r="Z30">
        <v>1</v>
      </c>
      <c r="AA30">
        <v>1</v>
      </c>
      <c r="AB30" t="s">
        <v>34</v>
      </c>
      <c r="AC30">
        <v>27</v>
      </c>
      <c r="AD30">
        <v>185</v>
      </c>
      <c r="AE30">
        <v>65</v>
      </c>
      <c r="AF30" t="s">
        <v>62</v>
      </c>
      <c r="AG30">
        <v>61.8</v>
      </c>
      <c r="AH30">
        <v>8.0500000000000007</v>
      </c>
      <c r="AI30">
        <v>1.05</v>
      </c>
      <c r="AJ30">
        <v>89.7</v>
      </c>
      <c r="AN30" t="s">
        <v>38</v>
      </c>
      <c r="AO30">
        <v>123</v>
      </c>
      <c r="AP30">
        <v>3269</v>
      </c>
      <c r="AQ30" s="46">
        <f>(AO30/AP30)*90</f>
        <v>3.3863566840012238</v>
      </c>
      <c r="AS30" s="41"/>
    </row>
    <row r="31" spans="10:45" x14ac:dyDescent="0.3">
      <c r="J31" t="s">
        <v>115</v>
      </c>
      <c r="K31" t="s">
        <v>68</v>
      </c>
      <c r="L31" t="s">
        <v>38</v>
      </c>
      <c r="M31" t="s">
        <v>116</v>
      </c>
      <c r="N31" t="s">
        <v>40</v>
      </c>
      <c r="O31" t="s">
        <v>32</v>
      </c>
      <c r="P31">
        <v>81</v>
      </c>
      <c r="Q31">
        <v>4</v>
      </c>
      <c r="R31">
        <v>3</v>
      </c>
      <c r="S31">
        <v>73.86</v>
      </c>
      <c r="T31">
        <v>13.6</v>
      </c>
      <c r="U31">
        <v>12.73</v>
      </c>
      <c r="W31" t="s">
        <v>33</v>
      </c>
      <c r="Y31">
        <v>28</v>
      </c>
      <c r="Z31">
        <v>0</v>
      </c>
      <c r="AA31">
        <v>2</v>
      </c>
      <c r="AB31" t="s">
        <v>43</v>
      </c>
      <c r="AC31">
        <v>25</v>
      </c>
      <c r="AD31">
        <v>180</v>
      </c>
      <c r="AE31">
        <v>85</v>
      </c>
      <c r="AF31" t="s">
        <v>53</v>
      </c>
      <c r="AG31">
        <v>49.1</v>
      </c>
      <c r="AH31">
        <v>7.97</v>
      </c>
      <c r="AI31">
        <v>0.93</v>
      </c>
      <c r="AJ31">
        <v>99.06</v>
      </c>
      <c r="AM31" t="s">
        <v>683</v>
      </c>
      <c r="AO31">
        <v>251</v>
      </c>
      <c r="AP31">
        <v>7890</v>
      </c>
    </row>
    <row r="32" spans="10:45" x14ac:dyDescent="0.3">
      <c r="J32" t="s">
        <v>117</v>
      </c>
      <c r="K32" t="s">
        <v>68</v>
      </c>
      <c r="L32" t="s">
        <v>29</v>
      </c>
      <c r="M32" t="s">
        <v>118</v>
      </c>
      <c r="N32" t="s">
        <v>56</v>
      </c>
      <c r="O32" t="s">
        <v>32</v>
      </c>
      <c r="P32">
        <v>70</v>
      </c>
      <c r="Q32">
        <v>3</v>
      </c>
      <c r="R32">
        <v>5</v>
      </c>
      <c r="S32">
        <v>87.18</v>
      </c>
      <c r="T32">
        <v>17.7</v>
      </c>
      <c r="U32">
        <v>7.3</v>
      </c>
      <c r="V32" s="1">
        <v>45122</v>
      </c>
      <c r="W32" t="s">
        <v>33</v>
      </c>
      <c r="X32" s="1">
        <v>45116</v>
      </c>
      <c r="Y32">
        <v>79</v>
      </c>
      <c r="Z32">
        <v>1</v>
      </c>
      <c r="AA32">
        <v>2</v>
      </c>
      <c r="AB32" t="s">
        <v>61</v>
      </c>
      <c r="AC32">
        <v>33</v>
      </c>
      <c r="AD32">
        <v>177</v>
      </c>
      <c r="AE32">
        <v>63</v>
      </c>
      <c r="AF32" t="s">
        <v>62</v>
      </c>
      <c r="AG32">
        <v>64.900000000000006</v>
      </c>
      <c r="AH32">
        <v>8.31</v>
      </c>
      <c r="AI32">
        <v>0.54</v>
      </c>
      <c r="AJ32">
        <v>88.11</v>
      </c>
      <c r="AM32" t="s">
        <v>633</v>
      </c>
      <c r="AO32">
        <v>514</v>
      </c>
      <c r="AP32">
        <v>15701</v>
      </c>
    </row>
    <row r="33" spans="10:41" x14ac:dyDescent="0.3">
      <c r="J33" t="s">
        <v>119</v>
      </c>
      <c r="K33" t="s">
        <v>28</v>
      </c>
      <c r="L33" t="s">
        <v>29</v>
      </c>
      <c r="M33" t="s">
        <v>120</v>
      </c>
      <c r="N33" t="s">
        <v>75</v>
      </c>
      <c r="O33" t="s">
        <v>41</v>
      </c>
      <c r="P33">
        <v>74</v>
      </c>
      <c r="Q33">
        <v>0</v>
      </c>
      <c r="R33">
        <v>1</v>
      </c>
      <c r="S33">
        <v>61.64</v>
      </c>
      <c r="T33">
        <v>9.1999999999999993</v>
      </c>
      <c r="U33">
        <v>6.31</v>
      </c>
      <c r="V33" s="1">
        <v>45186</v>
      </c>
      <c r="W33" t="s">
        <v>43</v>
      </c>
      <c r="Y33">
        <v>22</v>
      </c>
      <c r="Z33">
        <v>0</v>
      </c>
      <c r="AA33">
        <v>3</v>
      </c>
      <c r="AB33" t="s">
        <v>43</v>
      </c>
      <c r="AC33">
        <v>34</v>
      </c>
      <c r="AD33">
        <v>196</v>
      </c>
      <c r="AE33">
        <v>98</v>
      </c>
      <c r="AF33" t="s">
        <v>70</v>
      </c>
      <c r="AG33">
        <v>48.4</v>
      </c>
      <c r="AH33">
        <v>9.4600000000000009</v>
      </c>
      <c r="AI33">
        <v>0.67</v>
      </c>
      <c r="AJ33">
        <v>72.31</v>
      </c>
    </row>
    <row r="34" spans="10:41" x14ac:dyDescent="0.3">
      <c r="J34" t="s">
        <v>121</v>
      </c>
      <c r="K34" t="s">
        <v>28</v>
      </c>
      <c r="L34" t="s">
        <v>65</v>
      </c>
      <c r="M34" t="s">
        <v>122</v>
      </c>
      <c r="N34" t="s">
        <v>56</v>
      </c>
      <c r="O34" t="s">
        <v>32</v>
      </c>
      <c r="P34">
        <v>83</v>
      </c>
      <c r="Q34">
        <v>0</v>
      </c>
      <c r="R34">
        <v>1</v>
      </c>
      <c r="S34">
        <v>61.37</v>
      </c>
      <c r="T34">
        <v>9.1999999999999993</v>
      </c>
      <c r="U34">
        <v>13.68</v>
      </c>
      <c r="W34" t="s">
        <v>42</v>
      </c>
      <c r="Y34">
        <v>32</v>
      </c>
      <c r="Z34">
        <v>0</v>
      </c>
      <c r="AA34">
        <v>0</v>
      </c>
      <c r="AB34" t="s">
        <v>61</v>
      </c>
      <c r="AC34">
        <v>22</v>
      </c>
      <c r="AD34">
        <v>191</v>
      </c>
      <c r="AE34">
        <v>98</v>
      </c>
      <c r="AF34" t="s">
        <v>48</v>
      </c>
      <c r="AG34">
        <v>66.2</v>
      </c>
      <c r="AH34">
        <v>9.92</v>
      </c>
      <c r="AI34">
        <v>0.95</v>
      </c>
      <c r="AJ34">
        <v>72.27</v>
      </c>
    </row>
    <row r="35" spans="10:41" x14ac:dyDescent="0.3">
      <c r="J35" t="s">
        <v>123</v>
      </c>
      <c r="K35" t="s">
        <v>68</v>
      </c>
      <c r="L35" t="s">
        <v>38</v>
      </c>
      <c r="M35" t="s">
        <v>124</v>
      </c>
      <c r="N35" t="s">
        <v>56</v>
      </c>
      <c r="O35" t="s">
        <v>32</v>
      </c>
      <c r="P35">
        <v>22</v>
      </c>
      <c r="Q35">
        <v>1</v>
      </c>
      <c r="R35">
        <v>4</v>
      </c>
      <c r="S35">
        <v>81.31</v>
      </c>
      <c r="T35">
        <v>15.5</v>
      </c>
      <c r="U35">
        <v>14.63</v>
      </c>
      <c r="W35" t="s">
        <v>33</v>
      </c>
      <c r="X35" s="1">
        <v>45185</v>
      </c>
      <c r="Z35">
        <v>0</v>
      </c>
      <c r="AA35">
        <v>2</v>
      </c>
      <c r="AB35" t="s">
        <v>43</v>
      </c>
      <c r="AC35">
        <v>21</v>
      </c>
      <c r="AD35">
        <v>195</v>
      </c>
      <c r="AE35">
        <v>94</v>
      </c>
      <c r="AF35" t="s">
        <v>62</v>
      </c>
      <c r="AG35">
        <v>43.4</v>
      </c>
      <c r="AH35">
        <v>7.63</v>
      </c>
      <c r="AI35">
        <v>0.71</v>
      </c>
      <c r="AJ35">
        <v>98.54</v>
      </c>
    </row>
    <row r="36" spans="10:41" x14ac:dyDescent="0.3">
      <c r="J36" t="s">
        <v>125</v>
      </c>
      <c r="K36" t="s">
        <v>64</v>
      </c>
      <c r="L36" t="s">
        <v>38</v>
      </c>
      <c r="M36" t="s">
        <v>126</v>
      </c>
      <c r="N36" t="s">
        <v>75</v>
      </c>
      <c r="O36" t="s">
        <v>32</v>
      </c>
      <c r="P36">
        <v>70</v>
      </c>
      <c r="Q36">
        <v>3</v>
      </c>
      <c r="R36">
        <v>2</v>
      </c>
      <c r="S36">
        <v>68.239999999999995</v>
      </c>
      <c r="T36">
        <v>11.4</v>
      </c>
      <c r="U36">
        <v>5.31</v>
      </c>
      <c r="W36" t="s">
        <v>43</v>
      </c>
      <c r="Z36">
        <v>1</v>
      </c>
      <c r="AA36">
        <v>4</v>
      </c>
      <c r="AB36" t="s">
        <v>52</v>
      </c>
      <c r="AC36">
        <v>35</v>
      </c>
      <c r="AD36">
        <v>176</v>
      </c>
      <c r="AE36">
        <v>60</v>
      </c>
      <c r="AF36" t="s">
        <v>48</v>
      </c>
      <c r="AG36">
        <v>61.1</v>
      </c>
      <c r="AH36">
        <v>9.31</v>
      </c>
      <c r="AI36">
        <v>0.55000000000000004</v>
      </c>
      <c r="AJ36">
        <v>78.92</v>
      </c>
    </row>
    <row r="37" spans="10:41" x14ac:dyDescent="0.3">
      <c r="J37" t="s">
        <v>127</v>
      </c>
      <c r="K37" t="s">
        <v>64</v>
      </c>
      <c r="L37" t="s">
        <v>65</v>
      </c>
      <c r="M37" t="s">
        <v>128</v>
      </c>
      <c r="N37" t="s">
        <v>51</v>
      </c>
      <c r="O37" t="s">
        <v>41</v>
      </c>
      <c r="P37">
        <v>26</v>
      </c>
      <c r="Q37">
        <v>1</v>
      </c>
      <c r="R37">
        <v>1</v>
      </c>
      <c r="S37">
        <v>61.28</v>
      </c>
      <c r="T37">
        <v>9.1999999999999993</v>
      </c>
      <c r="U37">
        <v>12.31</v>
      </c>
      <c r="W37" t="s">
        <v>33</v>
      </c>
      <c r="Y37">
        <v>84</v>
      </c>
      <c r="Z37">
        <v>0</v>
      </c>
      <c r="AA37">
        <v>4</v>
      </c>
      <c r="AB37" t="s">
        <v>52</v>
      </c>
      <c r="AC37">
        <v>36</v>
      </c>
      <c r="AD37">
        <v>194</v>
      </c>
      <c r="AE37">
        <v>83</v>
      </c>
      <c r="AF37" t="s">
        <v>70</v>
      </c>
      <c r="AG37">
        <v>56.2</v>
      </c>
      <c r="AH37">
        <v>9.06</v>
      </c>
      <c r="AI37">
        <v>1.34</v>
      </c>
      <c r="AJ37">
        <v>72.760000000000005</v>
      </c>
      <c r="AM37" s="66" t="s">
        <v>686</v>
      </c>
      <c r="AN37" s="44" t="s">
        <v>2</v>
      </c>
      <c r="AO37" t="s">
        <v>687</v>
      </c>
    </row>
    <row r="38" spans="10:41" x14ac:dyDescent="0.3">
      <c r="J38" t="s">
        <v>129</v>
      </c>
      <c r="K38" t="s">
        <v>28</v>
      </c>
      <c r="L38" t="s">
        <v>65</v>
      </c>
      <c r="M38" t="s">
        <v>130</v>
      </c>
      <c r="N38" t="s">
        <v>31</v>
      </c>
      <c r="O38" t="s">
        <v>32</v>
      </c>
      <c r="P38">
        <v>40</v>
      </c>
      <c r="Q38">
        <v>1</v>
      </c>
      <c r="R38">
        <v>0</v>
      </c>
      <c r="S38">
        <v>54.13</v>
      </c>
      <c r="T38">
        <v>6.4</v>
      </c>
      <c r="U38">
        <v>14.1</v>
      </c>
      <c r="W38" t="s">
        <v>47</v>
      </c>
      <c r="X38" s="1">
        <v>45194</v>
      </c>
      <c r="Z38">
        <v>0</v>
      </c>
      <c r="AA38">
        <v>3</v>
      </c>
      <c r="AB38" t="s">
        <v>52</v>
      </c>
      <c r="AC38">
        <v>21</v>
      </c>
      <c r="AD38">
        <v>170</v>
      </c>
      <c r="AE38">
        <v>95</v>
      </c>
      <c r="AF38" t="s">
        <v>35</v>
      </c>
      <c r="AG38">
        <v>42.9</v>
      </c>
      <c r="AH38">
        <v>8.2899999999999991</v>
      </c>
      <c r="AI38">
        <v>1.48</v>
      </c>
      <c r="AJ38">
        <v>87.97</v>
      </c>
      <c r="AM38" t="s">
        <v>682</v>
      </c>
      <c r="AN38" t="s">
        <v>29</v>
      </c>
      <c r="AO38" s="46">
        <v>3.08</v>
      </c>
    </row>
    <row r="39" spans="10:41" x14ac:dyDescent="0.3">
      <c r="J39" t="s">
        <v>131</v>
      </c>
      <c r="K39" t="s">
        <v>64</v>
      </c>
      <c r="L39" t="s">
        <v>29</v>
      </c>
      <c r="M39" t="s">
        <v>132</v>
      </c>
      <c r="N39" t="s">
        <v>40</v>
      </c>
      <c r="O39" t="s">
        <v>41</v>
      </c>
      <c r="P39">
        <v>92</v>
      </c>
      <c r="Q39">
        <v>1</v>
      </c>
      <c r="R39">
        <v>5</v>
      </c>
      <c r="S39">
        <v>87.13</v>
      </c>
      <c r="T39">
        <v>17.5</v>
      </c>
      <c r="U39">
        <v>13.57</v>
      </c>
      <c r="W39" t="s">
        <v>42</v>
      </c>
      <c r="Y39">
        <v>10</v>
      </c>
      <c r="Z39">
        <v>0</v>
      </c>
      <c r="AA39">
        <v>0</v>
      </c>
      <c r="AB39" t="s">
        <v>61</v>
      </c>
      <c r="AC39">
        <v>24</v>
      </c>
      <c r="AD39">
        <v>180</v>
      </c>
      <c r="AE39">
        <v>65</v>
      </c>
      <c r="AF39" t="s">
        <v>48</v>
      </c>
      <c r="AG39">
        <v>47.3</v>
      </c>
      <c r="AH39">
        <v>9.82</v>
      </c>
      <c r="AI39">
        <v>1.29</v>
      </c>
      <c r="AJ39">
        <v>88.71</v>
      </c>
      <c r="AN39" t="s">
        <v>65</v>
      </c>
      <c r="AO39" s="46">
        <v>2.98</v>
      </c>
    </row>
    <row r="40" spans="10:41" x14ac:dyDescent="0.3">
      <c r="J40" t="s">
        <v>133</v>
      </c>
      <c r="K40" t="s">
        <v>68</v>
      </c>
      <c r="L40" t="s">
        <v>29</v>
      </c>
      <c r="M40" t="s">
        <v>134</v>
      </c>
      <c r="N40" t="s">
        <v>75</v>
      </c>
      <c r="O40" t="s">
        <v>32</v>
      </c>
      <c r="P40">
        <v>58</v>
      </c>
      <c r="Q40">
        <v>2</v>
      </c>
      <c r="R40">
        <v>5</v>
      </c>
      <c r="S40">
        <v>87.02</v>
      </c>
      <c r="T40">
        <v>17.399999999999999</v>
      </c>
      <c r="U40">
        <v>14.65</v>
      </c>
      <c r="V40" s="1">
        <v>45121</v>
      </c>
      <c r="W40" t="s">
        <v>47</v>
      </c>
      <c r="X40" s="1">
        <v>45170</v>
      </c>
      <c r="Z40">
        <v>0</v>
      </c>
      <c r="AA40">
        <v>0</v>
      </c>
      <c r="AB40" t="s">
        <v>61</v>
      </c>
      <c r="AC40">
        <v>27</v>
      </c>
      <c r="AD40">
        <v>185</v>
      </c>
      <c r="AE40">
        <v>90</v>
      </c>
      <c r="AF40" t="s">
        <v>35</v>
      </c>
      <c r="AG40">
        <v>40.4</v>
      </c>
      <c r="AH40">
        <v>6.8</v>
      </c>
      <c r="AI40">
        <v>1.35</v>
      </c>
      <c r="AJ40">
        <v>89.46</v>
      </c>
      <c r="AN40" t="s">
        <v>82</v>
      </c>
      <c r="AO40" s="46">
        <v>0</v>
      </c>
    </row>
    <row r="41" spans="10:41" x14ac:dyDescent="0.3">
      <c r="J41" t="s">
        <v>135</v>
      </c>
      <c r="K41" t="s">
        <v>28</v>
      </c>
      <c r="L41" t="s">
        <v>65</v>
      </c>
      <c r="M41" t="s">
        <v>136</v>
      </c>
      <c r="N41" t="s">
        <v>94</v>
      </c>
      <c r="O41" t="s">
        <v>41</v>
      </c>
      <c r="P41">
        <v>37</v>
      </c>
      <c r="Q41">
        <v>2</v>
      </c>
      <c r="R41">
        <v>4</v>
      </c>
      <c r="S41">
        <v>81.19</v>
      </c>
      <c r="T41">
        <v>15.5</v>
      </c>
      <c r="U41">
        <v>12.6</v>
      </c>
      <c r="V41" s="1">
        <v>45264</v>
      </c>
      <c r="W41" t="s">
        <v>42</v>
      </c>
      <c r="Y41">
        <v>63</v>
      </c>
      <c r="Z41">
        <v>0</v>
      </c>
      <c r="AA41">
        <v>4</v>
      </c>
      <c r="AB41" t="s">
        <v>43</v>
      </c>
      <c r="AC41">
        <v>35</v>
      </c>
      <c r="AD41">
        <v>163</v>
      </c>
      <c r="AE41">
        <v>79</v>
      </c>
      <c r="AF41" t="s">
        <v>44</v>
      </c>
      <c r="AG41">
        <v>54.1</v>
      </c>
      <c r="AH41">
        <v>6.44</v>
      </c>
      <c r="AI41">
        <v>0.74</v>
      </c>
      <c r="AJ41">
        <v>78.02</v>
      </c>
      <c r="AN41" t="s">
        <v>38</v>
      </c>
      <c r="AO41" s="46">
        <v>3.29</v>
      </c>
    </row>
    <row r="42" spans="10:41" x14ac:dyDescent="0.3">
      <c r="J42" t="s">
        <v>137</v>
      </c>
      <c r="K42" t="s">
        <v>64</v>
      </c>
      <c r="L42" t="s">
        <v>38</v>
      </c>
      <c r="M42" t="s">
        <v>138</v>
      </c>
      <c r="N42" t="s">
        <v>56</v>
      </c>
      <c r="O42" t="s">
        <v>41</v>
      </c>
      <c r="P42">
        <v>23</v>
      </c>
      <c r="Q42">
        <v>1</v>
      </c>
      <c r="R42">
        <v>6</v>
      </c>
      <c r="S42">
        <v>94.2</v>
      </c>
      <c r="T42">
        <v>19.8</v>
      </c>
      <c r="U42">
        <v>9.42</v>
      </c>
      <c r="W42" t="s">
        <v>43</v>
      </c>
      <c r="Y42">
        <v>80</v>
      </c>
      <c r="Z42">
        <v>0</v>
      </c>
      <c r="AA42">
        <v>1</v>
      </c>
      <c r="AB42" t="s">
        <v>52</v>
      </c>
      <c r="AC42">
        <v>36</v>
      </c>
      <c r="AD42">
        <v>193</v>
      </c>
      <c r="AE42">
        <v>83</v>
      </c>
      <c r="AF42" t="s">
        <v>48</v>
      </c>
      <c r="AG42">
        <v>49</v>
      </c>
      <c r="AH42">
        <v>9.42</v>
      </c>
      <c r="AI42">
        <v>1.46</v>
      </c>
      <c r="AJ42">
        <v>70.45</v>
      </c>
      <c r="AN42" s="45"/>
      <c r="AO42" s="41"/>
    </row>
    <row r="43" spans="10:41" x14ac:dyDescent="0.3">
      <c r="J43" t="s">
        <v>139</v>
      </c>
      <c r="K43" t="s">
        <v>28</v>
      </c>
      <c r="L43" t="s">
        <v>38</v>
      </c>
      <c r="M43" t="s">
        <v>140</v>
      </c>
      <c r="N43" t="s">
        <v>75</v>
      </c>
      <c r="O43" t="s">
        <v>41</v>
      </c>
      <c r="P43">
        <v>79</v>
      </c>
      <c r="Q43">
        <v>3</v>
      </c>
      <c r="R43">
        <v>6</v>
      </c>
      <c r="S43">
        <v>94.13</v>
      </c>
      <c r="T43">
        <v>19.600000000000001</v>
      </c>
      <c r="U43">
        <v>8.1199999999999992</v>
      </c>
      <c r="W43" t="s">
        <v>42</v>
      </c>
      <c r="Z43">
        <v>0</v>
      </c>
      <c r="AA43">
        <v>3</v>
      </c>
      <c r="AB43" t="s">
        <v>52</v>
      </c>
      <c r="AC43">
        <v>21</v>
      </c>
      <c r="AD43">
        <v>177</v>
      </c>
      <c r="AE43">
        <v>84</v>
      </c>
      <c r="AF43" t="s">
        <v>48</v>
      </c>
      <c r="AG43">
        <v>58</v>
      </c>
      <c r="AH43">
        <v>7.76</v>
      </c>
      <c r="AI43">
        <v>0.7</v>
      </c>
      <c r="AJ43">
        <v>98.95</v>
      </c>
      <c r="AM43" t="s">
        <v>683</v>
      </c>
      <c r="AN43" t="s">
        <v>29</v>
      </c>
      <c r="AO43" s="46">
        <v>2.3199999999999998</v>
      </c>
    </row>
    <row r="44" spans="10:41" x14ac:dyDescent="0.3">
      <c r="J44" t="s">
        <v>141</v>
      </c>
      <c r="K44" t="s">
        <v>64</v>
      </c>
      <c r="L44" t="s">
        <v>38</v>
      </c>
      <c r="M44" t="s">
        <v>142</v>
      </c>
      <c r="N44" t="s">
        <v>80</v>
      </c>
      <c r="O44" t="s">
        <v>41</v>
      </c>
      <c r="P44">
        <v>33</v>
      </c>
      <c r="Q44">
        <v>0</v>
      </c>
      <c r="R44">
        <v>3</v>
      </c>
      <c r="S44">
        <v>73.83</v>
      </c>
      <c r="T44">
        <v>13.6</v>
      </c>
      <c r="U44">
        <v>8.2100000000000009</v>
      </c>
      <c r="W44" t="s">
        <v>33</v>
      </c>
      <c r="Z44">
        <v>0</v>
      </c>
      <c r="AA44">
        <v>3</v>
      </c>
      <c r="AB44" t="s">
        <v>52</v>
      </c>
      <c r="AC44">
        <v>27</v>
      </c>
      <c r="AD44">
        <v>199</v>
      </c>
      <c r="AE44">
        <v>95</v>
      </c>
      <c r="AF44" t="s">
        <v>48</v>
      </c>
      <c r="AG44">
        <v>48.9</v>
      </c>
      <c r="AH44">
        <v>9.39</v>
      </c>
      <c r="AI44">
        <v>1.45</v>
      </c>
      <c r="AJ44">
        <v>77.53</v>
      </c>
      <c r="AN44" t="s">
        <v>65</v>
      </c>
      <c r="AO44" s="46">
        <v>3.29</v>
      </c>
    </row>
    <row r="45" spans="10:41" x14ac:dyDescent="0.3">
      <c r="J45" t="s">
        <v>143</v>
      </c>
      <c r="K45" t="s">
        <v>28</v>
      </c>
      <c r="L45" t="s">
        <v>65</v>
      </c>
      <c r="M45" t="s">
        <v>144</v>
      </c>
      <c r="N45" t="s">
        <v>51</v>
      </c>
      <c r="O45" t="s">
        <v>41</v>
      </c>
      <c r="P45">
        <v>28</v>
      </c>
      <c r="Q45">
        <v>3</v>
      </c>
      <c r="R45">
        <v>4</v>
      </c>
      <c r="S45">
        <v>81.099999999999994</v>
      </c>
      <c r="T45">
        <v>15.5</v>
      </c>
      <c r="U45">
        <v>12.24</v>
      </c>
      <c r="V45" s="1">
        <v>45063</v>
      </c>
      <c r="W45" t="s">
        <v>47</v>
      </c>
      <c r="X45" s="1">
        <v>45005</v>
      </c>
      <c r="Y45">
        <v>24</v>
      </c>
      <c r="Z45">
        <v>0</v>
      </c>
      <c r="AA45">
        <v>4</v>
      </c>
      <c r="AB45" t="s">
        <v>61</v>
      </c>
      <c r="AC45">
        <v>18</v>
      </c>
      <c r="AD45">
        <v>194</v>
      </c>
      <c r="AE45">
        <v>80</v>
      </c>
      <c r="AF45" t="s">
        <v>48</v>
      </c>
      <c r="AG45">
        <v>49</v>
      </c>
      <c r="AH45">
        <v>9.57</v>
      </c>
      <c r="AI45">
        <v>1.49</v>
      </c>
      <c r="AJ45">
        <v>90.28</v>
      </c>
      <c r="AN45" t="s">
        <v>82</v>
      </c>
      <c r="AO45" s="46">
        <v>1</v>
      </c>
    </row>
    <row r="46" spans="10:41" x14ac:dyDescent="0.3">
      <c r="J46" t="s">
        <v>145</v>
      </c>
      <c r="K46" t="s">
        <v>64</v>
      </c>
      <c r="L46" t="s">
        <v>65</v>
      </c>
      <c r="M46" t="s">
        <v>146</v>
      </c>
      <c r="N46" t="s">
        <v>94</v>
      </c>
      <c r="O46" t="s">
        <v>41</v>
      </c>
      <c r="P46">
        <v>72</v>
      </c>
      <c r="Q46">
        <v>4</v>
      </c>
      <c r="R46">
        <v>3</v>
      </c>
      <c r="S46">
        <v>73.63</v>
      </c>
      <c r="T46">
        <v>13.6</v>
      </c>
      <c r="U46">
        <v>12.46</v>
      </c>
      <c r="W46" t="s">
        <v>33</v>
      </c>
      <c r="X46" s="1">
        <v>45041</v>
      </c>
      <c r="Y46">
        <v>74</v>
      </c>
      <c r="Z46">
        <v>0</v>
      </c>
      <c r="AA46">
        <v>4</v>
      </c>
      <c r="AB46" t="s">
        <v>34</v>
      </c>
      <c r="AC46">
        <v>35</v>
      </c>
      <c r="AD46">
        <v>188</v>
      </c>
      <c r="AE46">
        <v>89</v>
      </c>
      <c r="AF46" t="s">
        <v>62</v>
      </c>
      <c r="AG46">
        <v>62.3</v>
      </c>
      <c r="AH46">
        <v>6.25</v>
      </c>
      <c r="AI46">
        <v>1.21</v>
      </c>
      <c r="AJ46">
        <v>91.2</v>
      </c>
      <c r="AN46" t="s">
        <v>38</v>
      </c>
      <c r="AO46" s="46">
        <v>3.39</v>
      </c>
    </row>
    <row r="47" spans="10:41" x14ac:dyDescent="0.3">
      <c r="J47" t="s">
        <v>147</v>
      </c>
      <c r="K47" t="s">
        <v>28</v>
      </c>
      <c r="L47" t="s">
        <v>38</v>
      </c>
      <c r="M47" t="s">
        <v>148</v>
      </c>
      <c r="N47" t="s">
        <v>94</v>
      </c>
      <c r="O47" t="s">
        <v>32</v>
      </c>
      <c r="P47">
        <v>21</v>
      </c>
      <c r="Q47">
        <v>2</v>
      </c>
      <c r="R47">
        <v>6</v>
      </c>
      <c r="S47">
        <v>93.85</v>
      </c>
      <c r="T47">
        <v>19.600000000000001</v>
      </c>
      <c r="U47">
        <v>7</v>
      </c>
      <c r="W47" t="s">
        <v>33</v>
      </c>
      <c r="X47" s="1">
        <v>45094</v>
      </c>
      <c r="Y47">
        <v>85</v>
      </c>
      <c r="Z47">
        <v>0</v>
      </c>
      <c r="AA47">
        <v>1</v>
      </c>
      <c r="AB47" t="s">
        <v>34</v>
      </c>
      <c r="AC47">
        <v>22</v>
      </c>
      <c r="AD47">
        <v>188</v>
      </c>
      <c r="AE47">
        <v>83</v>
      </c>
      <c r="AF47" t="s">
        <v>53</v>
      </c>
      <c r="AG47">
        <v>41.4</v>
      </c>
      <c r="AH47">
        <v>9.5299999999999994</v>
      </c>
      <c r="AI47">
        <v>1.48</v>
      </c>
      <c r="AJ47">
        <v>88.3</v>
      </c>
    </row>
    <row r="48" spans="10:41" x14ac:dyDescent="0.3">
      <c r="J48" t="s">
        <v>149</v>
      </c>
      <c r="K48" t="s">
        <v>68</v>
      </c>
      <c r="L48" t="s">
        <v>29</v>
      </c>
      <c r="M48" t="s">
        <v>150</v>
      </c>
      <c r="N48" t="s">
        <v>75</v>
      </c>
      <c r="O48" t="s">
        <v>32</v>
      </c>
      <c r="P48">
        <v>79</v>
      </c>
      <c r="Q48">
        <v>0</v>
      </c>
      <c r="R48">
        <v>4</v>
      </c>
      <c r="S48">
        <v>81.08</v>
      </c>
      <c r="T48">
        <v>15.5</v>
      </c>
      <c r="U48">
        <v>13.68</v>
      </c>
      <c r="W48" t="s">
        <v>47</v>
      </c>
      <c r="Y48">
        <v>80</v>
      </c>
      <c r="Z48">
        <v>1</v>
      </c>
      <c r="AA48">
        <v>1</v>
      </c>
      <c r="AB48" t="s">
        <v>52</v>
      </c>
      <c r="AC48">
        <v>32</v>
      </c>
      <c r="AD48">
        <v>197</v>
      </c>
      <c r="AE48">
        <v>89</v>
      </c>
      <c r="AF48" t="s">
        <v>53</v>
      </c>
      <c r="AG48">
        <v>67.099999999999994</v>
      </c>
      <c r="AH48">
        <v>7.79</v>
      </c>
      <c r="AI48">
        <v>1.07</v>
      </c>
      <c r="AJ48">
        <v>79.39</v>
      </c>
    </row>
    <row r="49" spans="10:42" x14ac:dyDescent="0.3">
      <c r="J49" t="s">
        <v>151</v>
      </c>
      <c r="K49" t="s">
        <v>37</v>
      </c>
      <c r="L49" t="s">
        <v>29</v>
      </c>
      <c r="M49" t="s">
        <v>152</v>
      </c>
      <c r="N49" t="s">
        <v>75</v>
      </c>
      <c r="O49" t="s">
        <v>32</v>
      </c>
      <c r="P49">
        <v>90</v>
      </c>
      <c r="Q49">
        <v>0</v>
      </c>
      <c r="R49">
        <v>4</v>
      </c>
      <c r="S49">
        <v>80.739999999999995</v>
      </c>
      <c r="T49">
        <v>15.5</v>
      </c>
      <c r="U49">
        <v>12.15</v>
      </c>
      <c r="W49" t="s">
        <v>47</v>
      </c>
      <c r="Y49">
        <v>24</v>
      </c>
      <c r="Z49">
        <v>0</v>
      </c>
      <c r="AA49">
        <v>0</v>
      </c>
      <c r="AB49" t="s">
        <v>61</v>
      </c>
      <c r="AC49">
        <v>34</v>
      </c>
      <c r="AD49">
        <v>180</v>
      </c>
      <c r="AE49">
        <v>81</v>
      </c>
      <c r="AF49" t="s">
        <v>70</v>
      </c>
      <c r="AG49">
        <v>65.599999999999994</v>
      </c>
      <c r="AH49">
        <v>8.0399999999999991</v>
      </c>
      <c r="AI49">
        <v>0.76</v>
      </c>
      <c r="AJ49">
        <v>78.13</v>
      </c>
    </row>
    <row r="50" spans="10:42" x14ac:dyDescent="0.3">
      <c r="J50" t="s">
        <v>153</v>
      </c>
      <c r="K50" t="s">
        <v>64</v>
      </c>
      <c r="L50" t="s">
        <v>29</v>
      </c>
      <c r="M50" t="s">
        <v>154</v>
      </c>
      <c r="N50" t="s">
        <v>56</v>
      </c>
      <c r="O50" t="s">
        <v>32</v>
      </c>
      <c r="P50">
        <v>63</v>
      </c>
      <c r="Q50">
        <v>4</v>
      </c>
      <c r="R50">
        <v>4</v>
      </c>
      <c r="S50">
        <v>80.150000000000006</v>
      </c>
      <c r="T50">
        <v>15.4</v>
      </c>
      <c r="U50">
        <v>10.63</v>
      </c>
      <c r="W50" t="s">
        <v>33</v>
      </c>
      <c r="X50" s="1">
        <v>45147</v>
      </c>
      <c r="Z50">
        <v>0</v>
      </c>
      <c r="AA50">
        <v>3</v>
      </c>
      <c r="AB50" t="s">
        <v>52</v>
      </c>
      <c r="AC50">
        <v>20</v>
      </c>
      <c r="AD50">
        <v>172</v>
      </c>
      <c r="AE50">
        <v>87</v>
      </c>
      <c r="AF50" t="s">
        <v>35</v>
      </c>
      <c r="AG50">
        <v>60</v>
      </c>
      <c r="AH50">
        <v>8.51</v>
      </c>
      <c r="AI50">
        <v>0.94</v>
      </c>
      <c r="AJ50">
        <v>87.93</v>
      </c>
    </row>
    <row r="51" spans="10:42" x14ac:dyDescent="0.3">
      <c r="J51" t="s">
        <v>155</v>
      </c>
      <c r="K51" t="s">
        <v>68</v>
      </c>
      <c r="L51" t="s">
        <v>38</v>
      </c>
      <c r="M51" t="s">
        <v>156</v>
      </c>
      <c r="N51" t="s">
        <v>31</v>
      </c>
      <c r="O51" t="s">
        <v>41</v>
      </c>
      <c r="P51">
        <v>27</v>
      </c>
      <c r="Q51">
        <v>4</v>
      </c>
      <c r="R51">
        <v>6</v>
      </c>
      <c r="S51">
        <v>93.55</v>
      </c>
      <c r="T51">
        <v>19.5</v>
      </c>
      <c r="U51">
        <v>9.7200000000000006</v>
      </c>
      <c r="W51" t="s">
        <v>33</v>
      </c>
      <c r="Z51">
        <v>0</v>
      </c>
      <c r="AA51">
        <v>3</v>
      </c>
      <c r="AB51" t="s">
        <v>34</v>
      </c>
      <c r="AC51">
        <v>29</v>
      </c>
      <c r="AD51">
        <v>176</v>
      </c>
      <c r="AE51">
        <v>66</v>
      </c>
      <c r="AF51" t="s">
        <v>53</v>
      </c>
      <c r="AG51">
        <v>57.8</v>
      </c>
      <c r="AH51">
        <v>9.7100000000000009</v>
      </c>
      <c r="AI51">
        <v>1.0900000000000001</v>
      </c>
      <c r="AJ51">
        <v>95.98</v>
      </c>
    </row>
    <row r="52" spans="10:42" x14ac:dyDescent="0.3">
      <c r="J52" t="s">
        <v>157</v>
      </c>
      <c r="K52" t="s">
        <v>64</v>
      </c>
      <c r="L52" t="s">
        <v>38</v>
      </c>
      <c r="M52" t="s">
        <v>158</v>
      </c>
      <c r="N52" t="s">
        <v>94</v>
      </c>
      <c r="O52" t="s">
        <v>41</v>
      </c>
      <c r="P52">
        <v>66</v>
      </c>
      <c r="Q52">
        <v>1</v>
      </c>
      <c r="R52">
        <v>3</v>
      </c>
      <c r="S52">
        <v>73.510000000000005</v>
      </c>
      <c r="T52">
        <v>13.4</v>
      </c>
      <c r="U52">
        <v>10.43</v>
      </c>
      <c r="W52" t="s">
        <v>43</v>
      </c>
      <c r="X52" s="1">
        <v>44945</v>
      </c>
      <c r="Z52">
        <v>0</v>
      </c>
      <c r="AA52">
        <v>4</v>
      </c>
      <c r="AB52" t="s">
        <v>52</v>
      </c>
      <c r="AC52">
        <v>19</v>
      </c>
      <c r="AD52">
        <v>168</v>
      </c>
      <c r="AE52">
        <v>94</v>
      </c>
      <c r="AF52" t="s">
        <v>53</v>
      </c>
      <c r="AG52">
        <v>66.8</v>
      </c>
      <c r="AH52">
        <v>6.08</v>
      </c>
      <c r="AI52">
        <v>0.56999999999999995</v>
      </c>
      <c r="AJ52">
        <v>98.4</v>
      </c>
    </row>
    <row r="53" spans="10:42" x14ac:dyDescent="0.3">
      <c r="J53" t="s">
        <v>159</v>
      </c>
      <c r="K53" t="s">
        <v>37</v>
      </c>
      <c r="L53" t="s">
        <v>38</v>
      </c>
      <c r="M53" t="s">
        <v>160</v>
      </c>
      <c r="N53" t="s">
        <v>94</v>
      </c>
      <c r="O53" t="s">
        <v>41</v>
      </c>
      <c r="P53">
        <v>54</v>
      </c>
      <c r="Q53">
        <v>2</v>
      </c>
      <c r="R53">
        <v>3</v>
      </c>
      <c r="S53">
        <v>73.510000000000005</v>
      </c>
      <c r="T53">
        <v>13.4</v>
      </c>
      <c r="U53">
        <v>6.59</v>
      </c>
      <c r="W53" t="s">
        <v>33</v>
      </c>
      <c r="Y53">
        <v>30</v>
      </c>
      <c r="Z53">
        <v>0</v>
      </c>
      <c r="AA53">
        <v>0</v>
      </c>
      <c r="AB53" t="s">
        <v>43</v>
      </c>
      <c r="AC53">
        <v>18</v>
      </c>
      <c r="AD53">
        <v>160</v>
      </c>
      <c r="AE53">
        <v>87</v>
      </c>
      <c r="AF53" t="s">
        <v>44</v>
      </c>
      <c r="AG53">
        <v>45.6</v>
      </c>
      <c r="AH53">
        <v>7.91</v>
      </c>
      <c r="AI53">
        <v>1.1200000000000001</v>
      </c>
      <c r="AJ53">
        <v>73.180000000000007</v>
      </c>
    </row>
    <row r="54" spans="10:42" x14ac:dyDescent="0.3">
      <c r="J54" t="s">
        <v>161</v>
      </c>
      <c r="K54" t="s">
        <v>68</v>
      </c>
      <c r="L54" t="s">
        <v>29</v>
      </c>
      <c r="M54" t="s">
        <v>162</v>
      </c>
      <c r="N54" t="s">
        <v>75</v>
      </c>
      <c r="O54" t="s">
        <v>32</v>
      </c>
      <c r="P54">
        <v>55</v>
      </c>
      <c r="Q54">
        <v>2</v>
      </c>
      <c r="R54">
        <v>4</v>
      </c>
      <c r="S54">
        <v>79.8</v>
      </c>
      <c r="T54">
        <v>15.4</v>
      </c>
      <c r="U54">
        <v>7.04</v>
      </c>
      <c r="W54" t="s">
        <v>47</v>
      </c>
      <c r="Z54">
        <v>1</v>
      </c>
      <c r="AA54">
        <v>3</v>
      </c>
      <c r="AB54" t="s">
        <v>43</v>
      </c>
      <c r="AC54">
        <v>38</v>
      </c>
      <c r="AD54">
        <v>161</v>
      </c>
      <c r="AE54">
        <v>73</v>
      </c>
      <c r="AF54" t="s">
        <v>48</v>
      </c>
      <c r="AG54">
        <v>42.4</v>
      </c>
      <c r="AH54">
        <v>8.75</v>
      </c>
      <c r="AI54">
        <v>1.48</v>
      </c>
      <c r="AJ54">
        <v>74.64</v>
      </c>
      <c r="AM54" s="4" t="s">
        <v>5</v>
      </c>
      <c r="AN54" s="4" t="s">
        <v>2</v>
      </c>
      <c r="AO54" t="s">
        <v>645</v>
      </c>
      <c r="AP54" t="s">
        <v>646</v>
      </c>
    </row>
    <row r="55" spans="10:42" x14ac:dyDescent="0.3">
      <c r="J55" t="s">
        <v>163</v>
      </c>
      <c r="K55" t="s">
        <v>64</v>
      </c>
      <c r="L55" t="s">
        <v>38</v>
      </c>
      <c r="M55" t="s">
        <v>164</v>
      </c>
      <c r="N55" t="s">
        <v>51</v>
      </c>
      <c r="O55" t="s">
        <v>32</v>
      </c>
      <c r="P55">
        <v>69</v>
      </c>
      <c r="Q55">
        <v>3</v>
      </c>
      <c r="R55">
        <v>1</v>
      </c>
      <c r="S55">
        <v>61.04</v>
      </c>
      <c r="T55">
        <v>9.1999999999999993</v>
      </c>
      <c r="U55">
        <v>5.91</v>
      </c>
      <c r="W55" t="s">
        <v>47</v>
      </c>
      <c r="X55" s="1">
        <v>45159</v>
      </c>
      <c r="Z55">
        <v>0</v>
      </c>
      <c r="AA55">
        <v>0</v>
      </c>
      <c r="AB55" t="s">
        <v>34</v>
      </c>
      <c r="AC55">
        <v>34</v>
      </c>
      <c r="AD55">
        <v>188</v>
      </c>
      <c r="AE55">
        <v>69</v>
      </c>
      <c r="AF55" t="s">
        <v>48</v>
      </c>
      <c r="AG55">
        <v>47.2</v>
      </c>
      <c r="AH55">
        <v>8.89</v>
      </c>
      <c r="AI55">
        <v>0.69</v>
      </c>
      <c r="AJ55">
        <v>98.34</v>
      </c>
      <c r="AM55" t="s">
        <v>41</v>
      </c>
      <c r="AN55" t="s">
        <v>29</v>
      </c>
      <c r="AO55">
        <v>84</v>
      </c>
      <c r="AP55">
        <v>135</v>
      </c>
    </row>
    <row r="56" spans="10:42" x14ac:dyDescent="0.3">
      <c r="J56" t="s">
        <v>165</v>
      </c>
      <c r="K56" t="s">
        <v>28</v>
      </c>
      <c r="L56" t="s">
        <v>38</v>
      </c>
      <c r="M56" t="s">
        <v>166</v>
      </c>
      <c r="N56" t="s">
        <v>51</v>
      </c>
      <c r="O56" t="s">
        <v>32</v>
      </c>
      <c r="P56">
        <v>23</v>
      </c>
      <c r="Q56">
        <v>1</v>
      </c>
      <c r="R56">
        <v>2</v>
      </c>
      <c r="S56">
        <v>68.2</v>
      </c>
      <c r="T56">
        <v>11.3</v>
      </c>
      <c r="U56">
        <v>6.54</v>
      </c>
      <c r="W56" t="s">
        <v>33</v>
      </c>
      <c r="Z56">
        <v>0</v>
      </c>
      <c r="AA56">
        <v>0</v>
      </c>
      <c r="AB56" t="s">
        <v>61</v>
      </c>
      <c r="AC56">
        <v>39</v>
      </c>
      <c r="AD56">
        <v>192</v>
      </c>
      <c r="AE56">
        <v>75</v>
      </c>
      <c r="AF56" t="s">
        <v>48</v>
      </c>
      <c r="AG56">
        <v>63.8</v>
      </c>
      <c r="AH56">
        <v>8.77</v>
      </c>
      <c r="AI56">
        <v>1.29</v>
      </c>
      <c r="AJ56">
        <v>92.1</v>
      </c>
      <c r="AN56" t="s">
        <v>65</v>
      </c>
      <c r="AO56">
        <v>53</v>
      </c>
      <c r="AP56">
        <v>53</v>
      </c>
    </row>
    <row r="57" spans="10:42" x14ac:dyDescent="0.3">
      <c r="J57" t="s">
        <v>167</v>
      </c>
      <c r="K57" t="s">
        <v>68</v>
      </c>
      <c r="L57" t="s">
        <v>38</v>
      </c>
      <c r="M57" t="s">
        <v>168</v>
      </c>
      <c r="N57" t="s">
        <v>56</v>
      </c>
      <c r="O57" t="s">
        <v>41</v>
      </c>
      <c r="P57">
        <v>21</v>
      </c>
      <c r="Q57">
        <v>1</v>
      </c>
      <c r="R57">
        <v>6</v>
      </c>
      <c r="S57">
        <v>93.3</v>
      </c>
      <c r="T57">
        <v>19.5</v>
      </c>
      <c r="U57">
        <v>9.5399999999999991</v>
      </c>
      <c r="W57" t="s">
        <v>33</v>
      </c>
      <c r="Z57">
        <v>0</v>
      </c>
      <c r="AA57">
        <v>4</v>
      </c>
      <c r="AB57" t="s">
        <v>52</v>
      </c>
      <c r="AC57">
        <v>33</v>
      </c>
      <c r="AD57">
        <v>169</v>
      </c>
      <c r="AE57">
        <v>75</v>
      </c>
      <c r="AF57" t="s">
        <v>70</v>
      </c>
      <c r="AG57">
        <v>41</v>
      </c>
      <c r="AH57">
        <v>6.54</v>
      </c>
      <c r="AI57">
        <v>1.41</v>
      </c>
      <c r="AJ57">
        <v>96.49</v>
      </c>
      <c r="AN57" t="s">
        <v>82</v>
      </c>
      <c r="AO57">
        <v>0</v>
      </c>
      <c r="AP57">
        <v>1</v>
      </c>
    </row>
    <row r="58" spans="10:42" x14ac:dyDescent="0.3">
      <c r="J58" t="s">
        <v>169</v>
      </c>
      <c r="K58" t="s">
        <v>28</v>
      </c>
      <c r="L58" t="s">
        <v>29</v>
      </c>
      <c r="M58" t="s">
        <v>170</v>
      </c>
      <c r="N58" t="s">
        <v>31</v>
      </c>
      <c r="O58" t="s">
        <v>32</v>
      </c>
      <c r="P58">
        <v>25</v>
      </c>
      <c r="Q58">
        <v>1</v>
      </c>
      <c r="R58">
        <v>2</v>
      </c>
      <c r="S58">
        <v>68.2</v>
      </c>
      <c r="T58">
        <v>11.3</v>
      </c>
      <c r="U58">
        <v>10.3</v>
      </c>
      <c r="V58" s="1">
        <v>45141</v>
      </c>
      <c r="W58" t="s">
        <v>33</v>
      </c>
      <c r="Y58">
        <v>28</v>
      </c>
      <c r="Z58">
        <v>0</v>
      </c>
      <c r="AA58">
        <v>0</v>
      </c>
      <c r="AB58" t="s">
        <v>52</v>
      </c>
      <c r="AC58">
        <v>22</v>
      </c>
      <c r="AD58">
        <v>199</v>
      </c>
      <c r="AE58">
        <v>90</v>
      </c>
      <c r="AF58" t="s">
        <v>70</v>
      </c>
      <c r="AG58">
        <v>57.5</v>
      </c>
      <c r="AH58">
        <v>7.2</v>
      </c>
      <c r="AI58">
        <v>1.44</v>
      </c>
      <c r="AJ58">
        <v>76.08</v>
      </c>
      <c r="AN58" t="s">
        <v>38</v>
      </c>
      <c r="AO58">
        <v>126</v>
      </c>
      <c r="AP58">
        <v>247</v>
      </c>
    </row>
    <row r="59" spans="10:42" x14ac:dyDescent="0.3">
      <c r="J59" t="s">
        <v>171</v>
      </c>
      <c r="K59" t="s">
        <v>37</v>
      </c>
      <c r="L59" t="s">
        <v>65</v>
      </c>
      <c r="M59" t="s">
        <v>172</v>
      </c>
      <c r="N59" t="s">
        <v>40</v>
      </c>
      <c r="O59" t="s">
        <v>32</v>
      </c>
      <c r="P59">
        <v>73</v>
      </c>
      <c r="Q59">
        <v>1</v>
      </c>
      <c r="R59">
        <v>2</v>
      </c>
      <c r="S59">
        <v>68.11</v>
      </c>
      <c r="T59">
        <v>11.2</v>
      </c>
      <c r="U59">
        <v>5.18</v>
      </c>
      <c r="W59" t="s">
        <v>42</v>
      </c>
      <c r="Z59">
        <v>0</v>
      </c>
      <c r="AA59">
        <v>1</v>
      </c>
      <c r="AB59" t="s">
        <v>61</v>
      </c>
      <c r="AC59">
        <v>32</v>
      </c>
      <c r="AD59">
        <v>180</v>
      </c>
      <c r="AE59">
        <v>84</v>
      </c>
      <c r="AF59" t="s">
        <v>44</v>
      </c>
      <c r="AG59">
        <v>69.900000000000006</v>
      </c>
      <c r="AH59">
        <v>7.43</v>
      </c>
      <c r="AI59">
        <v>1.46</v>
      </c>
      <c r="AJ59">
        <v>87.63</v>
      </c>
      <c r="AM59" t="s">
        <v>682</v>
      </c>
      <c r="AO59">
        <v>263</v>
      </c>
      <c r="AP59">
        <v>436</v>
      </c>
    </row>
    <row r="60" spans="10:42" x14ac:dyDescent="0.3">
      <c r="J60" t="s">
        <v>173</v>
      </c>
      <c r="K60" t="s">
        <v>37</v>
      </c>
      <c r="L60" t="s">
        <v>29</v>
      </c>
      <c r="M60" t="s">
        <v>174</v>
      </c>
      <c r="N60" t="s">
        <v>31</v>
      </c>
      <c r="O60" t="s">
        <v>41</v>
      </c>
      <c r="P60">
        <v>23</v>
      </c>
      <c r="Q60">
        <v>2</v>
      </c>
      <c r="R60">
        <v>3</v>
      </c>
      <c r="S60">
        <v>73.459999999999994</v>
      </c>
      <c r="T60">
        <v>13.3</v>
      </c>
      <c r="U60">
        <v>12.97</v>
      </c>
      <c r="W60" t="s">
        <v>42</v>
      </c>
      <c r="Z60">
        <v>1</v>
      </c>
      <c r="AA60">
        <v>1</v>
      </c>
      <c r="AB60" t="s">
        <v>52</v>
      </c>
      <c r="AC60">
        <v>20</v>
      </c>
      <c r="AD60">
        <v>187</v>
      </c>
      <c r="AE60">
        <v>72</v>
      </c>
      <c r="AF60" t="s">
        <v>35</v>
      </c>
      <c r="AG60">
        <v>65.7</v>
      </c>
      <c r="AH60">
        <v>9.2200000000000006</v>
      </c>
      <c r="AI60">
        <v>1.02</v>
      </c>
      <c r="AJ60">
        <v>91.03</v>
      </c>
      <c r="AM60" t="s">
        <v>32</v>
      </c>
      <c r="AN60" t="s">
        <v>29</v>
      </c>
      <c r="AO60">
        <v>87</v>
      </c>
      <c r="AP60">
        <v>183</v>
      </c>
    </row>
    <row r="61" spans="10:42" x14ac:dyDescent="0.3">
      <c r="J61" t="s">
        <v>175</v>
      </c>
      <c r="K61" t="s">
        <v>28</v>
      </c>
      <c r="L61" t="s">
        <v>29</v>
      </c>
      <c r="M61" t="s">
        <v>176</v>
      </c>
      <c r="N61" t="s">
        <v>94</v>
      </c>
      <c r="O61" t="s">
        <v>41</v>
      </c>
      <c r="P61">
        <v>73</v>
      </c>
      <c r="Q61">
        <v>2</v>
      </c>
      <c r="R61">
        <v>3</v>
      </c>
      <c r="S61">
        <v>73.459999999999994</v>
      </c>
      <c r="T61">
        <v>13.3</v>
      </c>
      <c r="U61">
        <v>7.94</v>
      </c>
      <c r="W61" t="s">
        <v>43</v>
      </c>
      <c r="X61" s="1">
        <v>45064</v>
      </c>
      <c r="Z61">
        <v>0</v>
      </c>
      <c r="AA61">
        <v>2</v>
      </c>
      <c r="AB61" t="s">
        <v>52</v>
      </c>
      <c r="AC61">
        <v>24</v>
      </c>
      <c r="AD61">
        <v>170</v>
      </c>
      <c r="AE61">
        <v>65</v>
      </c>
      <c r="AF61" t="s">
        <v>53</v>
      </c>
      <c r="AG61">
        <v>55.6</v>
      </c>
      <c r="AH61">
        <v>7.12</v>
      </c>
      <c r="AI61">
        <v>1.48</v>
      </c>
      <c r="AJ61">
        <v>90.4</v>
      </c>
      <c r="AN61" t="s">
        <v>65</v>
      </c>
      <c r="AO61">
        <v>39</v>
      </c>
      <c r="AP61">
        <v>37</v>
      </c>
    </row>
    <row r="62" spans="10:42" x14ac:dyDescent="0.3">
      <c r="J62" t="s">
        <v>177</v>
      </c>
      <c r="K62" t="s">
        <v>68</v>
      </c>
      <c r="L62" t="s">
        <v>29</v>
      </c>
      <c r="M62" t="s">
        <v>178</v>
      </c>
      <c r="N62" t="s">
        <v>56</v>
      </c>
      <c r="O62" t="s">
        <v>32</v>
      </c>
      <c r="P62">
        <v>82</v>
      </c>
      <c r="Q62">
        <v>1</v>
      </c>
      <c r="R62">
        <v>1</v>
      </c>
      <c r="S62">
        <v>60.74</v>
      </c>
      <c r="T62">
        <v>9.1999999999999993</v>
      </c>
      <c r="U62">
        <v>14.12</v>
      </c>
      <c r="W62" t="s">
        <v>47</v>
      </c>
      <c r="X62" s="1">
        <v>45227</v>
      </c>
      <c r="Z62">
        <v>0</v>
      </c>
      <c r="AA62">
        <v>4</v>
      </c>
      <c r="AB62" t="s">
        <v>52</v>
      </c>
      <c r="AC62">
        <v>28</v>
      </c>
      <c r="AD62">
        <v>193</v>
      </c>
      <c r="AE62">
        <v>68</v>
      </c>
      <c r="AF62" t="s">
        <v>35</v>
      </c>
      <c r="AG62">
        <v>41.9</v>
      </c>
      <c r="AH62">
        <v>6.84</v>
      </c>
      <c r="AI62">
        <v>1.26</v>
      </c>
      <c r="AJ62">
        <v>82.24</v>
      </c>
      <c r="AN62" t="s">
        <v>82</v>
      </c>
      <c r="AO62">
        <v>2</v>
      </c>
      <c r="AP62">
        <v>2</v>
      </c>
    </row>
    <row r="63" spans="10:42" x14ac:dyDescent="0.3">
      <c r="J63" t="s">
        <v>179</v>
      </c>
      <c r="K63" t="s">
        <v>68</v>
      </c>
      <c r="L63" t="s">
        <v>65</v>
      </c>
      <c r="M63" t="s">
        <v>180</v>
      </c>
      <c r="N63" t="s">
        <v>31</v>
      </c>
      <c r="O63" t="s">
        <v>32</v>
      </c>
      <c r="P63">
        <v>37</v>
      </c>
      <c r="Q63">
        <v>3</v>
      </c>
      <c r="R63">
        <v>2</v>
      </c>
      <c r="S63">
        <v>68.069999999999993</v>
      </c>
      <c r="T63">
        <v>11.1</v>
      </c>
      <c r="U63">
        <v>14.68</v>
      </c>
      <c r="W63" t="s">
        <v>47</v>
      </c>
      <c r="X63" s="1">
        <v>45139</v>
      </c>
      <c r="Z63">
        <v>0</v>
      </c>
      <c r="AA63">
        <v>2</v>
      </c>
      <c r="AB63" t="s">
        <v>34</v>
      </c>
      <c r="AC63">
        <v>27</v>
      </c>
      <c r="AD63">
        <v>167</v>
      </c>
      <c r="AE63">
        <v>95</v>
      </c>
      <c r="AF63" t="s">
        <v>48</v>
      </c>
      <c r="AG63">
        <v>64.900000000000006</v>
      </c>
      <c r="AH63">
        <v>9.83</v>
      </c>
      <c r="AI63">
        <v>0.66</v>
      </c>
      <c r="AJ63">
        <v>70.459999999999994</v>
      </c>
      <c r="AN63" t="s">
        <v>38</v>
      </c>
      <c r="AO63">
        <v>123</v>
      </c>
      <c r="AP63">
        <v>217</v>
      </c>
    </row>
    <row r="64" spans="10:42" x14ac:dyDescent="0.3">
      <c r="J64" t="s">
        <v>181</v>
      </c>
      <c r="K64" t="s">
        <v>68</v>
      </c>
      <c r="L64" t="s">
        <v>65</v>
      </c>
      <c r="M64" t="s">
        <v>182</v>
      </c>
      <c r="N64" t="s">
        <v>56</v>
      </c>
      <c r="O64" t="s">
        <v>41</v>
      </c>
      <c r="P64">
        <v>63</v>
      </c>
      <c r="Q64">
        <v>0</v>
      </c>
      <c r="R64">
        <v>2</v>
      </c>
      <c r="S64">
        <v>67.92</v>
      </c>
      <c r="T64">
        <v>11</v>
      </c>
      <c r="U64">
        <v>6.85</v>
      </c>
      <c r="W64" t="s">
        <v>47</v>
      </c>
      <c r="Z64">
        <v>0</v>
      </c>
      <c r="AA64">
        <v>1</v>
      </c>
      <c r="AB64" t="s">
        <v>43</v>
      </c>
      <c r="AC64">
        <v>26</v>
      </c>
      <c r="AD64">
        <v>181</v>
      </c>
      <c r="AE64">
        <v>79</v>
      </c>
      <c r="AF64" t="s">
        <v>53</v>
      </c>
      <c r="AG64">
        <v>58</v>
      </c>
      <c r="AH64">
        <v>6.04</v>
      </c>
      <c r="AI64">
        <v>0.98</v>
      </c>
      <c r="AJ64">
        <v>87.49</v>
      </c>
      <c r="AM64" t="s">
        <v>683</v>
      </c>
      <c r="AO64">
        <v>251</v>
      </c>
      <c r="AP64">
        <v>439</v>
      </c>
    </row>
    <row r="65" spans="10:42" x14ac:dyDescent="0.3">
      <c r="J65" t="s">
        <v>183</v>
      </c>
      <c r="K65" t="s">
        <v>68</v>
      </c>
      <c r="L65" t="s">
        <v>29</v>
      </c>
      <c r="M65" t="s">
        <v>184</v>
      </c>
      <c r="N65" t="s">
        <v>75</v>
      </c>
      <c r="O65" t="s">
        <v>32</v>
      </c>
      <c r="P65">
        <v>53</v>
      </c>
      <c r="Q65">
        <v>0</v>
      </c>
      <c r="R65">
        <v>4</v>
      </c>
      <c r="S65">
        <v>79.77</v>
      </c>
      <c r="T65">
        <v>15.4</v>
      </c>
      <c r="U65">
        <v>9.6199999999999992</v>
      </c>
      <c r="V65" s="1">
        <v>45105</v>
      </c>
      <c r="W65" t="s">
        <v>42</v>
      </c>
      <c r="X65" s="1">
        <v>45041</v>
      </c>
      <c r="Z65">
        <v>0</v>
      </c>
      <c r="AA65">
        <v>2</v>
      </c>
      <c r="AB65" t="s">
        <v>43</v>
      </c>
      <c r="AC65">
        <v>31</v>
      </c>
      <c r="AD65">
        <v>167</v>
      </c>
      <c r="AE65">
        <v>77</v>
      </c>
      <c r="AF65" t="s">
        <v>48</v>
      </c>
      <c r="AG65">
        <v>43.4</v>
      </c>
      <c r="AH65">
        <v>9.99</v>
      </c>
      <c r="AI65">
        <v>1.22</v>
      </c>
      <c r="AJ65">
        <v>77.59</v>
      </c>
      <c r="AM65" t="s">
        <v>633</v>
      </c>
      <c r="AO65">
        <v>514</v>
      </c>
      <c r="AP65">
        <v>875</v>
      </c>
    </row>
    <row r="66" spans="10:42" x14ac:dyDescent="0.3">
      <c r="J66" t="s">
        <v>185</v>
      </c>
      <c r="K66" t="s">
        <v>37</v>
      </c>
      <c r="L66" t="s">
        <v>29</v>
      </c>
      <c r="M66" t="s">
        <v>186</v>
      </c>
      <c r="N66" t="s">
        <v>40</v>
      </c>
      <c r="O66" t="s">
        <v>32</v>
      </c>
      <c r="P66">
        <v>93</v>
      </c>
      <c r="Q66">
        <v>3</v>
      </c>
      <c r="R66">
        <v>3</v>
      </c>
      <c r="S66">
        <v>73.41</v>
      </c>
      <c r="T66">
        <v>13.2</v>
      </c>
      <c r="U66">
        <v>5.01</v>
      </c>
      <c r="V66" s="1">
        <v>45177</v>
      </c>
      <c r="W66" t="s">
        <v>33</v>
      </c>
      <c r="Y66">
        <v>69</v>
      </c>
      <c r="Z66">
        <v>0</v>
      </c>
      <c r="AA66">
        <v>4</v>
      </c>
      <c r="AB66" t="s">
        <v>61</v>
      </c>
      <c r="AC66">
        <v>30</v>
      </c>
      <c r="AD66">
        <v>174</v>
      </c>
      <c r="AE66">
        <v>80</v>
      </c>
      <c r="AF66" t="s">
        <v>44</v>
      </c>
      <c r="AG66">
        <v>42.8</v>
      </c>
      <c r="AH66">
        <v>8.7100000000000009</v>
      </c>
      <c r="AI66">
        <v>0.75</v>
      </c>
      <c r="AJ66">
        <v>83.51</v>
      </c>
    </row>
    <row r="67" spans="10:42" x14ac:dyDescent="0.3">
      <c r="J67" t="s">
        <v>187</v>
      </c>
      <c r="K67" t="s">
        <v>28</v>
      </c>
      <c r="L67" t="s">
        <v>29</v>
      </c>
      <c r="M67" t="s">
        <v>188</v>
      </c>
      <c r="N67" t="s">
        <v>40</v>
      </c>
      <c r="O67" t="s">
        <v>41</v>
      </c>
      <c r="P67">
        <v>81</v>
      </c>
      <c r="Q67">
        <v>1</v>
      </c>
      <c r="R67">
        <v>2</v>
      </c>
      <c r="S67">
        <v>67.849999999999994</v>
      </c>
      <c r="T67">
        <v>10.8</v>
      </c>
      <c r="U67">
        <v>10.98</v>
      </c>
      <c r="W67" t="s">
        <v>43</v>
      </c>
      <c r="Z67">
        <v>0</v>
      </c>
      <c r="AA67">
        <v>4</v>
      </c>
      <c r="AB67" t="s">
        <v>34</v>
      </c>
      <c r="AC67">
        <v>19</v>
      </c>
      <c r="AD67">
        <v>176</v>
      </c>
      <c r="AE67">
        <v>63</v>
      </c>
      <c r="AF67" t="s">
        <v>44</v>
      </c>
      <c r="AG67">
        <v>67.3</v>
      </c>
      <c r="AH67">
        <v>9.31</v>
      </c>
      <c r="AI67">
        <v>1.1399999999999999</v>
      </c>
      <c r="AJ67">
        <v>98.73</v>
      </c>
    </row>
    <row r="68" spans="10:42" x14ac:dyDescent="0.3">
      <c r="J68" t="s">
        <v>189</v>
      </c>
      <c r="K68" t="s">
        <v>37</v>
      </c>
      <c r="L68" t="s">
        <v>29</v>
      </c>
      <c r="M68" t="s">
        <v>190</v>
      </c>
      <c r="N68" t="s">
        <v>40</v>
      </c>
      <c r="O68" t="s">
        <v>32</v>
      </c>
      <c r="P68">
        <v>33</v>
      </c>
      <c r="Q68">
        <v>2</v>
      </c>
      <c r="R68">
        <v>5</v>
      </c>
      <c r="S68">
        <v>86.9</v>
      </c>
      <c r="T68">
        <v>17.3</v>
      </c>
      <c r="U68">
        <v>11.07</v>
      </c>
      <c r="V68" s="1">
        <v>45034</v>
      </c>
      <c r="W68" t="s">
        <v>33</v>
      </c>
      <c r="Z68">
        <v>0</v>
      </c>
      <c r="AA68">
        <v>0</v>
      </c>
      <c r="AB68" t="s">
        <v>61</v>
      </c>
      <c r="AC68">
        <v>20</v>
      </c>
      <c r="AD68">
        <v>182</v>
      </c>
      <c r="AE68">
        <v>92</v>
      </c>
      <c r="AF68" t="s">
        <v>53</v>
      </c>
      <c r="AG68">
        <v>60.1</v>
      </c>
      <c r="AH68">
        <v>7.18</v>
      </c>
      <c r="AI68">
        <v>1.17</v>
      </c>
      <c r="AJ68">
        <v>81.97</v>
      </c>
    </row>
    <row r="69" spans="10:42" x14ac:dyDescent="0.3">
      <c r="J69" t="s">
        <v>191</v>
      </c>
      <c r="K69" t="s">
        <v>64</v>
      </c>
      <c r="L69" t="s">
        <v>29</v>
      </c>
      <c r="M69" t="s">
        <v>192</v>
      </c>
      <c r="N69" t="s">
        <v>80</v>
      </c>
      <c r="O69" t="s">
        <v>32</v>
      </c>
      <c r="P69">
        <v>67</v>
      </c>
      <c r="Q69">
        <v>0</v>
      </c>
      <c r="R69">
        <v>1</v>
      </c>
      <c r="S69">
        <v>60.38</v>
      </c>
      <c r="T69">
        <v>9.1</v>
      </c>
      <c r="U69">
        <v>7.48</v>
      </c>
      <c r="V69" s="1">
        <v>44948</v>
      </c>
      <c r="W69" t="s">
        <v>47</v>
      </c>
      <c r="Z69">
        <v>0</v>
      </c>
      <c r="AA69">
        <v>3</v>
      </c>
      <c r="AB69" t="s">
        <v>34</v>
      </c>
      <c r="AC69">
        <v>24</v>
      </c>
      <c r="AD69">
        <v>183</v>
      </c>
      <c r="AE69">
        <v>86</v>
      </c>
      <c r="AF69" t="s">
        <v>44</v>
      </c>
      <c r="AG69">
        <v>64.900000000000006</v>
      </c>
      <c r="AH69">
        <v>6.06</v>
      </c>
      <c r="AI69">
        <v>0.66</v>
      </c>
      <c r="AJ69">
        <v>95.19</v>
      </c>
    </row>
    <row r="70" spans="10:42" x14ac:dyDescent="0.3">
      <c r="J70" t="s">
        <v>193</v>
      </c>
      <c r="K70" t="s">
        <v>37</v>
      </c>
      <c r="L70" t="s">
        <v>38</v>
      </c>
      <c r="M70" t="s">
        <v>194</v>
      </c>
      <c r="N70" t="s">
        <v>40</v>
      </c>
      <c r="O70" t="s">
        <v>41</v>
      </c>
      <c r="P70">
        <v>34</v>
      </c>
      <c r="Q70">
        <v>4</v>
      </c>
      <c r="R70">
        <v>5</v>
      </c>
      <c r="S70">
        <v>86.84</v>
      </c>
      <c r="T70">
        <v>17.3</v>
      </c>
      <c r="U70">
        <v>10.58</v>
      </c>
      <c r="V70" s="1">
        <v>45243</v>
      </c>
      <c r="W70" t="s">
        <v>43</v>
      </c>
      <c r="Y70">
        <v>42</v>
      </c>
      <c r="Z70">
        <v>1</v>
      </c>
      <c r="AA70">
        <v>0</v>
      </c>
      <c r="AB70" t="s">
        <v>43</v>
      </c>
      <c r="AC70">
        <v>38</v>
      </c>
      <c r="AD70">
        <v>178</v>
      </c>
      <c r="AE70">
        <v>66</v>
      </c>
      <c r="AF70" t="s">
        <v>62</v>
      </c>
      <c r="AG70">
        <v>66.400000000000006</v>
      </c>
      <c r="AH70">
        <v>8.9499999999999993</v>
      </c>
      <c r="AI70">
        <v>1.07</v>
      </c>
      <c r="AJ70">
        <v>75.66</v>
      </c>
    </row>
    <row r="71" spans="10:42" x14ac:dyDescent="0.3">
      <c r="J71" t="s">
        <v>195</v>
      </c>
      <c r="K71" t="s">
        <v>28</v>
      </c>
      <c r="L71" t="s">
        <v>29</v>
      </c>
      <c r="M71" t="s">
        <v>196</v>
      </c>
      <c r="N71" t="s">
        <v>51</v>
      </c>
      <c r="O71" t="s">
        <v>32</v>
      </c>
      <c r="P71">
        <v>91</v>
      </c>
      <c r="Q71">
        <v>4</v>
      </c>
      <c r="R71">
        <v>5</v>
      </c>
      <c r="S71">
        <v>86.68</v>
      </c>
      <c r="T71">
        <v>17.3</v>
      </c>
      <c r="U71">
        <v>7.26</v>
      </c>
      <c r="V71" s="1">
        <v>44963</v>
      </c>
      <c r="W71" t="s">
        <v>47</v>
      </c>
      <c r="X71" s="1">
        <v>45048</v>
      </c>
      <c r="Y71">
        <v>58</v>
      </c>
      <c r="Z71">
        <v>0</v>
      </c>
      <c r="AA71">
        <v>4</v>
      </c>
      <c r="AB71" t="s">
        <v>52</v>
      </c>
      <c r="AC71">
        <v>35</v>
      </c>
      <c r="AD71">
        <v>164</v>
      </c>
      <c r="AE71">
        <v>65</v>
      </c>
      <c r="AF71" t="s">
        <v>53</v>
      </c>
      <c r="AG71">
        <v>57.2</v>
      </c>
      <c r="AH71">
        <v>9.34</v>
      </c>
      <c r="AI71">
        <v>1.27</v>
      </c>
      <c r="AJ71">
        <v>90.17</v>
      </c>
    </row>
    <row r="72" spans="10:42" x14ac:dyDescent="0.3">
      <c r="J72" t="s">
        <v>197</v>
      </c>
      <c r="K72" t="s">
        <v>64</v>
      </c>
      <c r="L72" t="s">
        <v>29</v>
      </c>
      <c r="M72" t="s">
        <v>198</v>
      </c>
      <c r="N72" t="s">
        <v>51</v>
      </c>
      <c r="O72" t="s">
        <v>32</v>
      </c>
      <c r="P72">
        <v>81</v>
      </c>
      <c r="Q72">
        <v>3</v>
      </c>
      <c r="R72">
        <v>6</v>
      </c>
      <c r="S72">
        <v>93.29</v>
      </c>
      <c r="T72">
        <v>19.5</v>
      </c>
      <c r="U72">
        <v>6.61</v>
      </c>
      <c r="W72" t="s">
        <v>43</v>
      </c>
      <c r="Z72">
        <v>0</v>
      </c>
      <c r="AA72">
        <v>1</v>
      </c>
      <c r="AB72" t="s">
        <v>43</v>
      </c>
      <c r="AC72">
        <v>20</v>
      </c>
      <c r="AD72">
        <v>191</v>
      </c>
      <c r="AE72">
        <v>74</v>
      </c>
      <c r="AF72" t="s">
        <v>44</v>
      </c>
      <c r="AG72">
        <v>55.5</v>
      </c>
      <c r="AH72">
        <v>8.9600000000000009</v>
      </c>
      <c r="AI72">
        <v>1</v>
      </c>
      <c r="AJ72">
        <v>99.31</v>
      </c>
    </row>
    <row r="73" spans="10:42" x14ac:dyDescent="0.3">
      <c r="J73" t="s">
        <v>199</v>
      </c>
      <c r="K73" t="s">
        <v>28</v>
      </c>
      <c r="L73" t="s">
        <v>29</v>
      </c>
      <c r="M73" t="s">
        <v>200</v>
      </c>
      <c r="N73" t="s">
        <v>75</v>
      </c>
      <c r="O73" t="s">
        <v>32</v>
      </c>
      <c r="P73">
        <v>59</v>
      </c>
      <c r="Q73">
        <v>1</v>
      </c>
      <c r="R73">
        <v>6</v>
      </c>
      <c r="S73">
        <v>93.26</v>
      </c>
      <c r="T73">
        <v>19.5</v>
      </c>
      <c r="U73">
        <v>11.52</v>
      </c>
      <c r="W73" t="s">
        <v>43</v>
      </c>
      <c r="Y73">
        <v>44</v>
      </c>
      <c r="Z73">
        <v>0</v>
      </c>
      <c r="AA73">
        <v>1</v>
      </c>
      <c r="AB73" t="s">
        <v>52</v>
      </c>
      <c r="AC73">
        <v>27</v>
      </c>
      <c r="AD73">
        <v>160</v>
      </c>
      <c r="AE73">
        <v>77</v>
      </c>
      <c r="AF73" t="s">
        <v>48</v>
      </c>
      <c r="AG73">
        <v>52.9</v>
      </c>
      <c r="AH73">
        <v>6.57</v>
      </c>
      <c r="AI73">
        <v>0.51</v>
      </c>
      <c r="AJ73">
        <v>73.06</v>
      </c>
    </row>
    <row r="74" spans="10:42" x14ac:dyDescent="0.3">
      <c r="J74" t="s">
        <v>201</v>
      </c>
      <c r="K74" t="s">
        <v>28</v>
      </c>
      <c r="L74" t="s">
        <v>29</v>
      </c>
      <c r="M74" t="s">
        <v>202</v>
      </c>
      <c r="N74" t="s">
        <v>56</v>
      </c>
      <c r="O74" t="s">
        <v>32</v>
      </c>
      <c r="P74">
        <v>72</v>
      </c>
      <c r="Q74">
        <v>0</v>
      </c>
      <c r="R74">
        <v>1</v>
      </c>
      <c r="S74">
        <v>60.29</v>
      </c>
      <c r="T74">
        <v>8.8000000000000007</v>
      </c>
      <c r="U74">
        <v>8.26</v>
      </c>
      <c r="W74" t="s">
        <v>43</v>
      </c>
      <c r="X74" s="1">
        <v>45113</v>
      </c>
      <c r="Z74">
        <v>0</v>
      </c>
      <c r="AA74">
        <v>0</v>
      </c>
      <c r="AB74" t="s">
        <v>43</v>
      </c>
      <c r="AC74">
        <v>39</v>
      </c>
      <c r="AD74">
        <v>182</v>
      </c>
      <c r="AE74">
        <v>91</v>
      </c>
      <c r="AF74" t="s">
        <v>53</v>
      </c>
      <c r="AG74">
        <v>49.5</v>
      </c>
      <c r="AH74">
        <v>9.01</v>
      </c>
      <c r="AI74">
        <v>0.51</v>
      </c>
      <c r="AJ74">
        <v>70.25</v>
      </c>
    </row>
    <row r="75" spans="10:42" x14ac:dyDescent="0.3">
      <c r="J75" t="s">
        <v>203</v>
      </c>
      <c r="K75" t="s">
        <v>28</v>
      </c>
      <c r="L75" t="s">
        <v>38</v>
      </c>
      <c r="M75" t="s">
        <v>204</v>
      </c>
      <c r="N75" t="s">
        <v>51</v>
      </c>
      <c r="O75" t="s">
        <v>41</v>
      </c>
      <c r="P75">
        <v>43</v>
      </c>
      <c r="Q75">
        <v>1</v>
      </c>
      <c r="R75">
        <v>5</v>
      </c>
      <c r="S75">
        <v>86.33</v>
      </c>
      <c r="T75">
        <v>17.2</v>
      </c>
      <c r="U75">
        <v>10.9</v>
      </c>
      <c r="V75" s="1">
        <v>45144</v>
      </c>
      <c r="W75" t="s">
        <v>42</v>
      </c>
      <c r="X75" s="1">
        <v>44934</v>
      </c>
      <c r="Z75">
        <v>0</v>
      </c>
      <c r="AA75">
        <v>4</v>
      </c>
      <c r="AB75" t="s">
        <v>34</v>
      </c>
      <c r="AC75">
        <v>24</v>
      </c>
      <c r="AD75">
        <v>196</v>
      </c>
      <c r="AE75">
        <v>70</v>
      </c>
      <c r="AF75" t="s">
        <v>48</v>
      </c>
      <c r="AG75">
        <v>53</v>
      </c>
      <c r="AH75">
        <v>9.08</v>
      </c>
      <c r="AI75">
        <v>0.86</v>
      </c>
      <c r="AJ75">
        <v>83.01</v>
      </c>
    </row>
    <row r="76" spans="10:42" x14ac:dyDescent="0.3">
      <c r="J76" t="s">
        <v>205</v>
      </c>
      <c r="K76" t="s">
        <v>28</v>
      </c>
      <c r="L76" t="s">
        <v>29</v>
      </c>
      <c r="M76" t="s">
        <v>206</v>
      </c>
      <c r="N76" t="s">
        <v>31</v>
      </c>
      <c r="O76" t="s">
        <v>32</v>
      </c>
      <c r="P76">
        <v>45</v>
      </c>
      <c r="Q76">
        <v>0</v>
      </c>
      <c r="R76">
        <v>2</v>
      </c>
      <c r="S76">
        <v>67.650000000000006</v>
      </c>
      <c r="T76">
        <v>10.8</v>
      </c>
      <c r="U76">
        <v>9.33</v>
      </c>
      <c r="W76" t="s">
        <v>43</v>
      </c>
      <c r="Z76">
        <v>0</v>
      </c>
      <c r="AA76">
        <v>1</v>
      </c>
      <c r="AB76" t="s">
        <v>43</v>
      </c>
      <c r="AC76">
        <v>26</v>
      </c>
      <c r="AD76">
        <v>167</v>
      </c>
      <c r="AE76">
        <v>79</v>
      </c>
      <c r="AF76" t="s">
        <v>35</v>
      </c>
      <c r="AG76">
        <v>63.2</v>
      </c>
      <c r="AH76">
        <v>8.6300000000000008</v>
      </c>
      <c r="AI76">
        <v>1.43</v>
      </c>
      <c r="AJ76">
        <v>72.78</v>
      </c>
    </row>
    <row r="77" spans="10:42" x14ac:dyDescent="0.3">
      <c r="J77" t="s">
        <v>207</v>
      </c>
      <c r="K77" t="s">
        <v>37</v>
      </c>
      <c r="L77" t="s">
        <v>38</v>
      </c>
      <c r="M77" t="s">
        <v>208</v>
      </c>
      <c r="N77" t="s">
        <v>51</v>
      </c>
      <c r="O77" t="s">
        <v>32</v>
      </c>
      <c r="P77">
        <v>79</v>
      </c>
      <c r="Q77">
        <v>3</v>
      </c>
      <c r="R77">
        <v>3</v>
      </c>
      <c r="S77">
        <v>73.319999999999993</v>
      </c>
      <c r="T77">
        <v>13.2</v>
      </c>
      <c r="U77">
        <v>14.84</v>
      </c>
      <c r="W77" t="s">
        <v>47</v>
      </c>
      <c r="Z77">
        <v>0</v>
      </c>
      <c r="AA77">
        <v>4</v>
      </c>
      <c r="AB77" t="s">
        <v>34</v>
      </c>
      <c r="AC77">
        <v>34</v>
      </c>
      <c r="AD77">
        <v>172</v>
      </c>
      <c r="AE77">
        <v>83</v>
      </c>
      <c r="AF77" t="s">
        <v>35</v>
      </c>
      <c r="AG77">
        <v>58.1</v>
      </c>
      <c r="AH77">
        <v>9.06</v>
      </c>
      <c r="AI77">
        <v>0.73</v>
      </c>
      <c r="AJ77">
        <v>92.45</v>
      </c>
    </row>
    <row r="78" spans="10:42" x14ac:dyDescent="0.3">
      <c r="J78" t="s">
        <v>209</v>
      </c>
      <c r="K78" t="s">
        <v>68</v>
      </c>
      <c r="L78" t="s">
        <v>65</v>
      </c>
      <c r="M78" t="s">
        <v>210</v>
      </c>
      <c r="N78" t="s">
        <v>80</v>
      </c>
      <c r="O78" t="s">
        <v>41</v>
      </c>
      <c r="P78">
        <v>60</v>
      </c>
      <c r="Q78">
        <v>3</v>
      </c>
      <c r="R78">
        <v>1</v>
      </c>
      <c r="S78">
        <v>59.88</v>
      </c>
      <c r="T78">
        <v>8.6999999999999993</v>
      </c>
      <c r="U78">
        <v>6.5</v>
      </c>
      <c r="V78" s="1">
        <v>45005</v>
      </c>
      <c r="W78" t="s">
        <v>47</v>
      </c>
      <c r="Z78">
        <v>0</v>
      </c>
      <c r="AA78">
        <v>1</v>
      </c>
      <c r="AB78" t="s">
        <v>43</v>
      </c>
      <c r="AC78">
        <v>28</v>
      </c>
      <c r="AD78">
        <v>167</v>
      </c>
      <c r="AE78">
        <v>74</v>
      </c>
      <c r="AF78" t="s">
        <v>53</v>
      </c>
      <c r="AG78">
        <v>66.8</v>
      </c>
      <c r="AH78">
        <v>9.3800000000000008</v>
      </c>
      <c r="AI78">
        <v>1.1299999999999999</v>
      </c>
      <c r="AJ78">
        <v>97.44</v>
      </c>
    </row>
    <row r="79" spans="10:42" x14ac:dyDescent="0.3">
      <c r="J79" t="s">
        <v>211</v>
      </c>
      <c r="K79" t="s">
        <v>37</v>
      </c>
      <c r="L79" t="s">
        <v>65</v>
      </c>
      <c r="M79" t="s">
        <v>212</v>
      </c>
      <c r="N79" t="s">
        <v>80</v>
      </c>
      <c r="O79" t="s">
        <v>41</v>
      </c>
      <c r="P79">
        <v>48</v>
      </c>
      <c r="Q79">
        <v>4</v>
      </c>
      <c r="R79">
        <v>4</v>
      </c>
      <c r="S79">
        <v>79.260000000000005</v>
      </c>
      <c r="T79">
        <v>15.3</v>
      </c>
      <c r="U79">
        <v>9.65</v>
      </c>
      <c r="W79" t="s">
        <v>43</v>
      </c>
      <c r="Z79">
        <v>0</v>
      </c>
      <c r="AA79">
        <v>4</v>
      </c>
      <c r="AB79" t="s">
        <v>61</v>
      </c>
      <c r="AC79">
        <v>24</v>
      </c>
      <c r="AD79">
        <v>182</v>
      </c>
      <c r="AE79">
        <v>66</v>
      </c>
      <c r="AF79" t="s">
        <v>70</v>
      </c>
      <c r="AG79">
        <v>53.3</v>
      </c>
      <c r="AH79">
        <v>8.4499999999999993</v>
      </c>
      <c r="AI79">
        <v>0.72</v>
      </c>
      <c r="AJ79">
        <v>83.02</v>
      </c>
    </row>
    <row r="80" spans="10:42" x14ac:dyDescent="0.3">
      <c r="J80" t="s">
        <v>213</v>
      </c>
      <c r="K80" t="s">
        <v>37</v>
      </c>
      <c r="L80" t="s">
        <v>38</v>
      </c>
      <c r="M80" t="s">
        <v>214</v>
      </c>
      <c r="N80" t="s">
        <v>56</v>
      </c>
      <c r="O80" t="s">
        <v>32</v>
      </c>
      <c r="P80">
        <v>34</v>
      </c>
      <c r="Q80">
        <v>1</v>
      </c>
      <c r="R80">
        <v>5</v>
      </c>
      <c r="S80">
        <v>86.18</v>
      </c>
      <c r="T80">
        <v>17.2</v>
      </c>
      <c r="U80">
        <v>11.8</v>
      </c>
      <c r="W80" t="s">
        <v>33</v>
      </c>
      <c r="X80" s="1">
        <v>45249</v>
      </c>
      <c r="Z80">
        <v>0</v>
      </c>
      <c r="AA80">
        <v>2</v>
      </c>
      <c r="AB80" t="s">
        <v>52</v>
      </c>
      <c r="AC80">
        <v>31</v>
      </c>
      <c r="AD80">
        <v>160</v>
      </c>
      <c r="AE80">
        <v>80</v>
      </c>
      <c r="AF80" t="s">
        <v>44</v>
      </c>
      <c r="AG80">
        <v>58.2</v>
      </c>
      <c r="AH80">
        <v>6.35</v>
      </c>
      <c r="AI80">
        <v>0.82</v>
      </c>
      <c r="AJ80">
        <v>77.760000000000005</v>
      </c>
    </row>
    <row r="81" spans="10:36" x14ac:dyDescent="0.3">
      <c r="J81" t="s">
        <v>215</v>
      </c>
      <c r="K81" t="s">
        <v>68</v>
      </c>
      <c r="L81" t="s">
        <v>38</v>
      </c>
      <c r="M81" t="s">
        <v>216</v>
      </c>
      <c r="N81" t="s">
        <v>40</v>
      </c>
      <c r="O81" t="s">
        <v>41</v>
      </c>
      <c r="P81">
        <v>64</v>
      </c>
      <c r="Q81">
        <v>4</v>
      </c>
      <c r="R81">
        <v>1</v>
      </c>
      <c r="S81">
        <v>59.81</v>
      </c>
      <c r="T81">
        <v>8.4</v>
      </c>
      <c r="U81">
        <v>8.9600000000000009</v>
      </c>
      <c r="W81" t="s">
        <v>42</v>
      </c>
      <c r="Y81">
        <v>53</v>
      </c>
      <c r="Z81">
        <v>1</v>
      </c>
      <c r="AA81">
        <v>4</v>
      </c>
      <c r="AB81" t="s">
        <v>34</v>
      </c>
      <c r="AC81">
        <v>36</v>
      </c>
      <c r="AD81">
        <v>183</v>
      </c>
      <c r="AE81">
        <v>85</v>
      </c>
      <c r="AF81" t="s">
        <v>48</v>
      </c>
      <c r="AG81">
        <v>58.9</v>
      </c>
      <c r="AH81">
        <v>7.95</v>
      </c>
      <c r="AI81">
        <v>1.35</v>
      </c>
      <c r="AJ81">
        <v>83.03</v>
      </c>
    </row>
    <row r="82" spans="10:36" x14ac:dyDescent="0.3">
      <c r="J82" t="s">
        <v>217</v>
      </c>
      <c r="K82" t="s">
        <v>68</v>
      </c>
      <c r="L82" t="s">
        <v>38</v>
      </c>
      <c r="M82" t="s">
        <v>218</v>
      </c>
      <c r="N82" t="s">
        <v>75</v>
      </c>
      <c r="O82" t="s">
        <v>41</v>
      </c>
      <c r="P82">
        <v>84</v>
      </c>
      <c r="Q82">
        <v>1</v>
      </c>
      <c r="R82">
        <v>0</v>
      </c>
      <c r="S82">
        <v>54.07</v>
      </c>
      <c r="T82">
        <v>6.3</v>
      </c>
      <c r="U82">
        <v>14.75</v>
      </c>
      <c r="W82" t="s">
        <v>33</v>
      </c>
      <c r="Y82">
        <v>20</v>
      </c>
      <c r="Z82">
        <v>0</v>
      </c>
      <c r="AA82">
        <v>4</v>
      </c>
      <c r="AB82" t="s">
        <v>43</v>
      </c>
      <c r="AC82">
        <v>21</v>
      </c>
      <c r="AD82">
        <v>194</v>
      </c>
      <c r="AE82">
        <v>73</v>
      </c>
      <c r="AF82" t="s">
        <v>70</v>
      </c>
      <c r="AG82">
        <v>57.8</v>
      </c>
      <c r="AH82">
        <v>6.31</v>
      </c>
      <c r="AI82">
        <v>1.23</v>
      </c>
      <c r="AJ82">
        <v>91.7</v>
      </c>
    </row>
    <row r="83" spans="10:36" x14ac:dyDescent="0.3">
      <c r="J83" t="s">
        <v>219</v>
      </c>
      <c r="K83" t="s">
        <v>64</v>
      </c>
      <c r="L83" t="s">
        <v>65</v>
      </c>
      <c r="M83" t="s">
        <v>220</v>
      </c>
      <c r="N83" t="s">
        <v>51</v>
      </c>
      <c r="O83" t="s">
        <v>41</v>
      </c>
      <c r="P83">
        <v>90</v>
      </c>
      <c r="Q83">
        <v>4</v>
      </c>
      <c r="R83">
        <v>0</v>
      </c>
      <c r="S83">
        <v>53.98</v>
      </c>
      <c r="T83">
        <v>6.3</v>
      </c>
      <c r="U83">
        <v>12.22</v>
      </c>
      <c r="W83" t="s">
        <v>33</v>
      </c>
      <c r="Z83">
        <v>0</v>
      </c>
      <c r="AA83">
        <v>0</v>
      </c>
      <c r="AB83" t="s">
        <v>61</v>
      </c>
      <c r="AC83">
        <v>23</v>
      </c>
      <c r="AD83">
        <v>183</v>
      </c>
      <c r="AE83">
        <v>96</v>
      </c>
      <c r="AF83" t="s">
        <v>53</v>
      </c>
      <c r="AG83">
        <v>61.1</v>
      </c>
      <c r="AH83">
        <v>7.63</v>
      </c>
      <c r="AI83">
        <v>0.6</v>
      </c>
      <c r="AJ83">
        <v>70.27</v>
      </c>
    </row>
    <row r="84" spans="10:36" x14ac:dyDescent="0.3">
      <c r="J84" t="s">
        <v>221</v>
      </c>
      <c r="K84" t="s">
        <v>37</v>
      </c>
      <c r="L84" t="s">
        <v>29</v>
      </c>
      <c r="M84" t="s">
        <v>222</v>
      </c>
      <c r="N84" t="s">
        <v>94</v>
      </c>
      <c r="O84" t="s">
        <v>32</v>
      </c>
      <c r="P84">
        <v>28</v>
      </c>
      <c r="Q84">
        <v>2</v>
      </c>
      <c r="R84">
        <v>6</v>
      </c>
      <c r="S84">
        <v>93.14</v>
      </c>
      <c r="T84">
        <v>19.399999999999999</v>
      </c>
      <c r="U84">
        <v>11.57</v>
      </c>
      <c r="W84" t="s">
        <v>47</v>
      </c>
      <c r="X84" s="1">
        <v>44970</v>
      </c>
      <c r="Z84">
        <v>0</v>
      </c>
      <c r="AA84">
        <v>2</v>
      </c>
      <c r="AB84" t="s">
        <v>61</v>
      </c>
      <c r="AC84">
        <v>27</v>
      </c>
      <c r="AD84">
        <v>176</v>
      </c>
      <c r="AE84">
        <v>80</v>
      </c>
      <c r="AF84" t="s">
        <v>35</v>
      </c>
      <c r="AG84">
        <v>47.1</v>
      </c>
      <c r="AH84">
        <v>7.63</v>
      </c>
      <c r="AI84">
        <v>0.93</v>
      </c>
      <c r="AJ84">
        <v>87.68</v>
      </c>
    </row>
    <row r="85" spans="10:36" x14ac:dyDescent="0.3">
      <c r="J85" t="s">
        <v>223</v>
      </c>
      <c r="K85" t="s">
        <v>64</v>
      </c>
      <c r="L85" t="s">
        <v>38</v>
      </c>
      <c r="M85" t="s">
        <v>224</v>
      </c>
      <c r="N85" t="s">
        <v>94</v>
      </c>
      <c r="O85" t="s">
        <v>41</v>
      </c>
      <c r="P85">
        <v>20</v>
      </c>
      <c r="Q85">
        <v>2</v>
      </c>
      <c r="R85">
        <v>3</v>
      </c>
      <c r="S85">
        <v>73.22</v>
      </c>
      <c r="T85">
        <v>13.2</v>
      </c>
      <c r="U85">
        <v>12.57</v>
      </c>
      <c r="W85" t="s">
        <v>43</v>
      </c>
      <c r="Z85">
        <v>0</v>
      </c>
      <c r="AA85">
        <v>3</v>
      </c>
      <c r="AB85" t="s">
        <v>34</v>
      </c>
      <c r="AC85">
        <v>24</v>
      </c>
      <c r="AD85">
        <v>164</v>
      </c>
      <c r="AE85">
        <v>77</v>
      </c>
      <c r="AF85" t="s">
        <v>48</v>
      </c>
      <c r="AG85">
        <v>55.4</v>
      </c>
      <c r="AH85">
        <v>6.26</v>
      </c>
      <c r="AI85">
        <v>0.53</v>
      </c>
      <c r="AJ85">
        <v>88.4</v>
      </c>
    </row>
    <row r="86" spans="10:36" x14ac:dyDescent="0.3">
      <c r="J86" t="s">
        <v>225</v>
      </c>
      <c r="K86" t="s">
        <v>28</v>
      </c>
      <c r="L86" t="s">
        <v>29</v>
      </c>
      <c r="M86" t="s">
        <v>226</v>
      </c>
      <c r="N86" t="s">
        <v>75</v>
      </c>
      <c r="O86" t="s">
        <v>32</v>
      </c>
      <c r="P86">
        <v>27</v>
      </c>
      <c r="Q86">
        <v>2</v>
      </c>
      <c r="R86">
        <v>2</v>
      </c>
      <c r="S86">
        <v>67.62</v>
      </c>
      <c r="T86">
        <v>10.8</v>
      </c>
      <c r="U86">
        <v>14.53</v>
      </c>
      <c r="W86" t="s">
        <v>33</v>
      </c>
      <c r="Z86">
        <v>0</v>
      </c>
      <c r="AA86">
        <v>0</v>
      </c>
      <c r="AB86" t="s">
        <v>52</v>
      </c>
      <c r="AC86">
        <v>30</v>
      </c>
      <c r="AD86">
        <v>179</v>
      </c>
      <c r="AE86">
        <v>64</v>
      </c>
      <c r="AF86" t="s">
        <v>35</v>
      </c>
      <c r="AG86">
        <v>43.1</v>
      </c>
      <c r="AH86">
        <v>7.4</v>
      </c>
      <c r="AI86">
        <v>0.98</v>
      </c>
      <c r="AJ86">
        <v>89.13</v>
      </c>
    </row>
    <row r="87" spans="10:36" x14ac:dyDescent="0.3">
      <c r="J87" t="s">
        <v>227</v>
      </c>
      <c r="K87" t="s">
        <v>28</v>
      </c>
      <c r="L87" t="s">
        <v>38</v>
      </c>
      <c r="M87" t="s">
        <v>228</v>
      </c>
      <c r="N87" t="s">
        <v>51</v>
      </c>
      <c r="O87" t="s">
        <v>41</v>
      </c>
      <c r="P87">
        <v>82</v>
      </c>
      <c r="Q87">
        <v>2</v>
      </c>
      <c r="R87">
        <v>3</v>
      </c>
      <c r="S87">
        <v>73.19</v>
      </c>
      <c r="T87">
        <v>13.1</v>
      </c>
      <c r="U87">
        <v>14.08</v>
      </c>
      <c r="W87" t="s">
        <v>33</v>
      </c>
      <c r="Z87">
        <v>1</v>
      </c>
      <c r="AA87">
        <v>3</v>
      </c>
      <c r="AB87" t="s">
        <v>34</v>
      </c>
      <c r="AC87">
        <v>31</v>
      </c>
      <c r="AD87">
        <v>180</v>
      </c>
      <c r="AE87">
        <v>62</v>
      </c>
      <c r="AF87" t="s">
        <v>62</v>
      </c>
      <c r="AG87">
        <v>51.5</v>
      </c>
      <c r="AH87">
        <v>6.44</v>
      </c>
      <c r="AI87">
        <v>1.1599999999999999</v>
      </c>
      <c r="AJ87">
        <v>77.260000000000005</v>
      </c>
    </row>
    <row r="88" spans="10:36" x14ac:dyDescent="0.3">
      <c r="J88" t="s">
        <v>229</v>
      </c>
      <c r="K88" t="s">
        <v>37</v>
      </c>
      <c r="L88" t="s">
        <v>38</v>
      </c>
      <c r="M88" t="s">
        <v>230</v>
      </c>
      <c r="N88" t="s">
        <v>80</v>
      </c>
      <c r="O88" t="s">
        <v>32</v>
      </c>
      <c r="P88">
        <v>30</v>
      </c>
      <c r="Q88">
        <v>0</v>
      </c>
      <c r="R88">
        <v>3</v>
      </c>
      <c r="S88">
        <v>73.06</v>
      </c>
      <c r="T88">
        <v>13.1</v>
      </c>
      <c r="U88">
        <v>12.24</v>
      </c>
      <c r="V88" s="1">
        <v>45008</v>
      </c>
      <c r="W88" t="s">
        <v>47</v>
      </c>
      <c r="Z88">
        <v>1</v>
      </c>
      <c r="AA88">
        <v>1</v>
      </c>
      <c r="AB88" t="s">
        <v>34</v>
      </c>
      <c r="AC88">
        <v>21</v>
      </c>
      <c r="AD88">
        <v>199</v>
      </c>
      <c r="AE88">
        <v>82</v>
      </c>
      <c r="AF88" t="s">
        <v>53</v>
      </c>
      <c r="AG88">
        <v>54.6</v>
      </c>
      <c r="AH88">
        <v>9.23</v>
      </c>
      <c r="AI88">
        <v>0.62</v>
      </c>
      <c r="AJ88">
        <v>91.42</v>
      </c>
    </row>
    <row r="89" spans="10:36" x14ac:dyDescent="0.3">
      <c r="J89" t="s">
        <v>231</v>
      </c>
      <c r="K89" t="s">
        <v>68</v>
      </c>
      <c r="L89" t="s">
        <v>38</v>
      </c>
      <c r="M89" t="s">
        <v>232</v>
      </c>
      <c r="N89" t="s">
        <v>80</v>
      </c>
      <c r="O89" t="s">
        <v>41</v>
      </c>
      <c r="P89">
        <v>27</v>
      </c>
      <c r="Q89">
        <v>2</v>
      </c>
      <c r="R89">
        <v>3</v>
      </c>
      <c r="S89">
        <v>72.41</v>
      </c>
      <c r="T89">
        <v>13</v>
      </c>
      <c r="U89">
        <v>12.49</v>
      </c>
      <c r="W89" t="s">
        <v>42</v>
      </c>
      <c r="X89" s="1">
        <v>44973</v>
      </c>
      <c r="Z89">
        <v>0</v>
      </c>
      <c r="AA89">
        <v>3</v>
      </c>
      <c r="AB89" t="s">
        <v>52</v>
      </c>
      <c r="AC89">
        <v>25</v>
      </c>
      <c r="AD89">
        <v>190</v>
      </c>
      <c r="AE89">
        <v>85</v>
      </c>
      <c r="AF89" t="s">
        <v>44</v>
      </c>
      <c r="AG89">
        <v>59.6</v>
      </c>
      <c r="AH89">
        <v>9.7899999999999991</v>
      </c>
      <c r="AI89">
        <v>0.79</v>
      </c>
      <c r="AJ89">
        <v>72.739999999999995</v>
      </c>
    </row>
    <row r="90" spans="10:36" x14ac:dyDescent="0.3">
      <c r="J90" t="s">
        <v>233</v>
      </c>
      <c r="K90" t="s">
        <v>68</v>
      </c>
      <c r="L90" t="s">
        <v>38</v>
      </c>
      <c r="M90" t="s">
        <v>234</v>
      </c>
      <c r="N90" t="s">
        <v>80</v>
      </c>
      <c r="O90" t="s">
        <v>41</v>
      </c>
      <c r="P90">
        <v>54</v>
      </c>
      <c r="Q90">
        <v>3</v>
      </c>
      <c r="R90">
        <v>3</v>
      </c>
      <c r="S90">
        <v>72.39</v>
      </c>
      <c r="T90">
        <v>13</v>
      </c>
      <c r="U90">
        <v>6.46</v>
      </c>
      <c r="W90" t="s">
        <v>33</v>
      </c>
      <c r="Z90">
        <v>1</v>
      </c>
      <c r="AA90">
        <v>4</v>
      </c>
      <c r="AB90" t="s">
        <v>43</v>
      </c>
      <c r="AC90">
        <v>22</v>
      </c>
      <c r="AD90">
        <v>195</v>
      </c>
      <c r="AE90">
        <v>96</v>
      </c>
      <c r="AF90" t="s">
        <v>48</v>
      </c>
      <c r="AG90">
        <v>68.5</v>
      </c>
      <c r="AH90">
        <v>6.29</v>
      </c>
      <c r="AI90">
        <v>0.9</v>
      </c>
      <c r="AJ90">
        <v>75.98</v>
      </c>
    </row>
    <row r="91" spans="10:36" x14ac:dyDescent="0.3">
      <c r="J91" t="s">
        <v>235</v>
      </c>
      <c r="K91" t="s">
        <v>37</v>
      </c>
      <c r="L91" t="s">
        <v>38</v>
      </c>
      <c r="M91" t="s">
        <v>236</v>
      </c>
      <c r="N91" t="s">
        <v>75</v>
      </c>
      <c r="O91" t="s">
        <v>41</v>
      </c>
      <c r="P91">
        <v>54</v>
      </c>
      <c r="Q91">
        <v>3</v>
      </c>
      <c r="R91">
        <v>4</v>
      </c>
      <c r="S91">
        <v>79.099999999999994</v>
      </c>
      <c r="T91">
        <v>15.2</v>
      </c>
      <c r="U91">
        <v>6.03</v>
      </c>
      <c r="W91" t="s">
        <v>42</v>
      </c>
      <c r="Z91">
        <v>1</v>
      </c>
      <c r="AA91">
        <v>3</v>
      </c>
      <c r="AB91" t="s">
        <v>52</v>
      </c>
      <c r="AC91">
        <v>18</v>
      </c>
      <c r="AD91">
        <v>170</v>
      </c>
      <c r="AE91">
        <v>83</v>
      </c>
      <c r="AF91" t="s">
        <v>44</v>
      </c>
      <c r="AG91">
        <v>58</v>
      </c>
      <c r="AH91">
        <v>9.82</v>
      </c>
      <c r="AI91">
        <v>1.42</v>
      </c>
      <c r="AJ91">
        <v>96.32</v>
      </c>
    </row>
    <row r="92" spans="10:36" x14ac:dyDescent="0.3">
      <c r="J92" t="s">
        <v>237</v>
      </c>
      <c r="K92" t="s">
        <v>28</v>
      </c>
      <c r="L92" t="s">
        <v>38</v>
      </c>
      <c r="M92" t="s">
        <v>238</v>
      </c>
      <c r="N92" t="s">
        <v>94</v>
      </c>
      <c r="O92" t="s">
        <v>32</v>
      </c>
      <c r="P92">
        <v>52</v>
      </c>
      <c r="Q92">
        <v>0</v>
      </c>
      <c r="R92">
        <v>4</v>
      </c>
      <c r="S92">
        <v>79.03</v>
      </c>
      <c r="T92">
        <v>15.1</v>
      </c>
      <c r="U92">
        <v>10.71</v>
      </c>
      <c r="W92" t="s">
        <v>47</v>
      </c>
      <c r="X92" s="1">
        <v>45081</v>
      </c>
      <c r="Z92">
        <v>1</v>
      </c>
      <c r="AA92">
        <v>0</v>
      </c>
      <c r="AB92" t="s">
        <v>43</v>
      </c>
      <c r="AC92">
        <v>21</v>
      </c>
      <c r="AD92">
        <v>174</v>
      </c>
      <c r="AE92">
        <v>78</v>
      </c>
      <c r="AF92" t="s">
        <v>62</v>
      </c>
      <c r="AG92">
        <v>62.3</v>
      </c>
      <c r="AH92">
        <v>8.09</v>
      </c>
      <c r="AI92">
        <v>1.49</v>
      </c>
      <c r="AJ92">
        <v>92.16</v>
      </c>
    </row>
    <row r="93" spans="10:36" x14ac:dyDescent="0.3">
      <c r="J93" t="s">
        <v>239</v>
      </c>
      <c r="K93" t="s">
        <v>28</v>
      </c>
      <c r="L93" t="s">
        <v>38</v>
      </c>
      <c r="M93" t="s">
        <v>240</v>
      </c>
      <c r="N93" t="s">
        <v>56</v>
      </c>
      <c r="O93" t="s">
        <v>32</v>
      </c>
      <c r="P93">
        <v>24</v>
      </c>
      <c r="Q93">
        <v>2</v>
      </c>
      <c r="R93">
        <v>6</v>
      </c>
      <c r="S93">
        <v>93.12</v>
      </c>
      <c r="T93">
        <v>19.399999999999999</v>
      </c>
      <c r="U93">
        <v>5.18</v>
      </c>
      <c r="W93" t="s">
        <v>43</v>
      </c>
      <c r="X93" s="1">
        <v>45226</v>
      </c>
      <c r="Z93">
        <v>1</v>
      </c>
      <c r="AA93">
        <v>0</v>
      </c>
      <c r="AB93" t="s">
        <v>52</v>
      </c>
      <c r="AC93">
        <v>20</v>
      </c>
      <c r="AD93">
        <v>178</v>
      </c>
      <c r="AE93">
        <v>84</v>
      </c>
      <c r="AF93" t="s">
        <v>44</v>
      </c>
      <c r="AG93">
        <v>55.2</v>
      </c>
      <c r="AH93">
        <v>7.2</v>
      </c>
      <c r="AI93">
        <v>0.54</v>
      </c>
      <c r="AJ93">
        <v>70.41</v>
      </c>
    </row>
    <row r="94" spans="10:36" x14ac:dyDescent="0.3">
      <c r="J94" t="s">
        <v>241</v>
      </c>
      <c r="K94" t="s">
        <v>64</v>
      </c>
      <c r="L94" t="s">
        <v>65</v>
      </c>
      <c r="M94" t="s">
        <v>242</v>
      </c>
      <c r="N94" t="s">
        <v>56</v>
      </c>
      <c r="O94" t="s">
        <v>32</v>
      </c>
      <c r="P94">
        <v>60</v>
      </c>
      <c r="Q94">
        <v>2</v>
      </c>
      <c r="R94">
        <v>1</v>
      </c>
      <c r="S94">
        <v>59.73</v>
      </c>
      <c r="T94">
        <v>8.1999999999999993</v>
      </c>
      <c r="U94">
        <v>9.82</v>
      </c>
      <c r="W94" t="s">
        <v>42</v>
      </c>
      <c r="Y94">
        <v>81</v>
      </c>
      <c r="Z94">
        <v>0</v>
      </c>
      <c r="AA94">
        <v>3</v>
      </c>
      <c r="AB94" t="s">
        <v>34</v>
      </c>
      <c r="AC94">
        <v>26</v>
      </c>
      <c r="AD94">
        <v>166</v>
      </c>
      <c r="AE94">
        <v>80</v>
      </c>
      <c r="AF94" t="s">
        <v>48</v>
      </c>
      <c r="AG94">
        <v>59</v>
      </c>
      <c r="AH94">
        <v>6.31</v>
      </c>
      <c r="AI94">
        <v>1.26</v>
      </c>
      <c r="AJ94">
        <v>77.45</v>
      </c>
    </row>
    <row r="95" spans="10:36" x14ac:dyDescent="0.3">
      <c r="J95" t="s">
        <v>243</v>
      </c>
      <c r="K95" t="s">
        <v>37</v>
      </c>
      <c r="L95" t="s">
        <v>38</v>
      </c>
      <c r="M95" t="s">
        <v>244</v>
      </c>
      <c r="N95" t="s">
        <v>75</v>
      </c>
      <c r="O95" t="s">
        <v>32</v>
      </c>
      <c r="P95">
        <v>47</v>
      </c>
      <c r="Q95">
        <v>2</v>
      </c>
      <c r="R95">
        <v>0</v>
      </c>
      <c r="S95">
        <v>53.9</v>
      </c>
      <c r="T95">
        <v>6.3</v>
      </c>
      <c r="U95">
        <v>7.1</v>
      </c>
      <c r="W95" t="s">
        <v>47</v>
      </c>
      <c r="Z95">
        <v>0</v>
      </c>
      <c r="AA95">
        <v>0</v>
      </c>
      <c r="AB95" t="s">
        <v>34</v>
      </c>
      <c r="AC95">
        <v>25</v>
      </c>
      <c r="AD95">
        <v>187</v>
      </c>
      <c r="AE95">
        <v>71</v>
      </c>
      <c r="AF95" t="s">
        <v>53</v>
      </c>
      <c r="AG95">
        <v>42.1</v>
      </c>
      <c r="AH95">
        <v>8</v>
      </c>
      <c r="AI95">
        <v>0.87</v>
      </c>
      <c r="AJ95">
        <v>76.430000000000007</v>
      </c>
    </row>
    <row r="96" spans="10:36" x14ac:dyDescent="0.3">
      <c r="J96" t="s">
        <v>245</v>
      </c>
      <c r="K96" t="s">
        <v>28</v>
      </c>
      <c r="L96" t="s">
        <v>38</v>
      </c>
      <c r="M96" t="s">
        <v>246</v>
      </c>
      <c r="N96" t="s">
        <v>94</v>
      </c>
      <c r="O96" t="s">
        <v>41</v>
      </c>
      <c r="P96">
        <v>26</v>
      </c>
      <c r="Q96">
        <v>4</v>
      </c>
      <c r="R96">
        <v>3</v>
      </c>
      <c r="S96">
        <v>72.239999999999995</v>
      </c>
      <c r="T96">
        <v>12.9</v>
      </c>
      <c r="U96">
        <v>8.4600000000000009</v>
      </c>
      <c r="V96" s="1">
        <v>45263</v>
      </c>
      <c r="W96" t="s">
        <v>43</v>
      </c>
      <c r="Y96">
        <v>87</v>
      </c>
      <c r="Z96">
        <v>0</v>
      </c>
      <c r="AA96">
        <v>0</v>
      </c>
      <c r="AB96" t="s">
        <v>43</v>
      </c>
      <c r="AC96">
        <v>18</v>
      </c>
      <c r="AD96">
        <v>164</v>
      </c>
      <c r="AE96">
        <v>92</v>
      </c>
      <c r="AF96" t="s">
        <v>35</v>
      </c>
      <c r="AG96">
        <v>47.6</v>
      </c>
      <c r="AH96">
        <v>9.18</v>
      </c>
      <c r="AI96">
        <v>0.89</v>
      </c>
      <c r="AJ96">
        <v>78.12</v>
      </c>
    </row>
    <row r="97" spans="10:36" x14ac:dyDescent="0.3">
      <c r="J97" t="s">
        <v>247</v>
      </c>
      <c r="K97" t="s">
        <v>37</v>
      </c>
      <c r="L97" t="s">
        <v>38</v>
      </c>
      <c r="M97" t="s">
        <v>248</v>
      </c>
      <c r="N97" t="s">
        <v>31</v>
      </c>
      <c r="O97" t="s">
        <v>32</v>
      </c>
      <c r="P97">
        <v>92</v>
      </c>
      <c r="Q97">
        <v>1</v>
      </c>
      <c r="R97">
        <v>6</v>
      </c>
      <c r="S97">
        <v>93.08</v>
      </c>
      <c r="T97">
        <v>19.399999999999999</v>
      </c>
      <c r="U97">
        <v>12.76</v>
      </c>
      <c r="W97" t="s">
        <v>33</v>
      </c>
      <c r="Z97">
        <v>0</v>
      </c>
      <c r="AA97">
        <v>3</v>
      </c>
      <c r="AB97" t="s">
        <v>34</v>
      </c>
      <c r="AC97">
        <v>23</v>
      </c>
      <c r="AD97">
        <v>164</v>
      </c>
      <c r="AE97">
        <v>63</v>
      </c>
      <c r="AF97" t="s">
        <v>62</v>
      </c>
      <c r="AG97">
        <v>50.9</v>
      </c>
      <c r="AH97">
        <v>8.83</v>
      </c>
      <c r="AI97">
        <v>1.25</v>
      </c>
      <c r="AJ97">
        <v>77.430000000000007</v>
      </c>
    </row>
    <row r="98" spans="10:36" x14ac:dyDescent="0.3">
      <c r="J98" t="s">
        <v>249</v>
      </c>
      <c r="K98" t="s">
        <v>68</v>
      </c>
      <c r="L98" t="s">
        <v>65</v>
      </c>
      <c r="M98" t="s">
        <v>250</v>
      </c>
      <c r="N98" t="s">
        <v>94</v>
      </c>
      <c r="O98" t="s">
        <v>41</v>
      </c>
      <c r="P98">
        <v>91</v>
      </c>
      <c r="Q98">
        <v>4</v>
      </c>
      <c r="R98">
        <v>1</v>
      </c>
      <c r="S98">
        <v>58.69</v>
      </c>
      <c r="T98">
        <v>7.9</v>
      </c>
      <c r="U98">
        <v>14.41</v>
      </c>
      <c r="W98" t="s">
        <v>42</v>
      </c>
      <c r="X98" s="1">
        <v>45183</v>
      </c>
      <c r="Z98">
        <v>1</v>
      </c>
      <c r="AA98">
        <v>2</v>
      </c>
      <c r="AB98" t="s">
        <v>34</v>
      </c>
      <c r="AC98">
        <v>26</v>
      </c>
      <c r="AD98">
        <v>189</v>
      </c>
      <c r="AE98">
        <v>66</v>
      </c>
      <c r="AF98" t="s">
        <v>53</v>
      </c>
      <c r="AG98">
        <v>54.2</v>
      </c>
      <c r="AH98">
        <v>6.2</v>
      </c>
      <c r="AI98">
        <v>1.42</v>
      </c>
      <c r="AJ98">
        <v>71.88</v>
      </c>
    </row>
    <row r="99" spans="10:36" x14ac:dyDescent="0.3">
      <c r="J99" t="s">
        <v>251</v>
      </c>
      <c r="K99" t="s">
        <v>28</v>
      </c>
      <c r="L99" t="s">
        <v>38</v>
      </c>
      <c r="M99" t="s">
        <v>252</v>
      </c>
      <c r="N99" t="s">
        <v>56</v>
      </c>
      <c r="O99" t="s">
        <v>41</v>
      </c>
      <c r="P99">
        <v>31</v>
      </c>
      <c r="Q99">
        <v>1</v>
      </c>
      <c r="R99">
        <v>0</v>
      </c>
      <c r="S99">
        <v>53.78</v>
      </c>
      <c r="T99">
        <v>6.3</v>
      </c>
      <c r="U99">
        <v>5.72</v>
      </c>
      <c r="W99" t="s">
        <v>47</v>
      </c>
      <c r="Z99">
        <v>0</v>
      </c>
      <c r="AA99">
        <v>2</v>
      </c>
      <c r="AB99" t="s">
        <v>43</v>
      </c>
      <c r="AC99">
        <v>24</v>
      </c>
      <c r="AD99">
        <v>191</v>
      </c>
      <c r="AE99">
        <v>81</v>
      </c>
      <c r="AF99" t="s">
        <v>53</v>
      </c>
      <c r="AG99">
        <v>41.4</v>
      </c>
      <c r="AH99">
        <v>6.29</v>
      </c>
      <c r="AI99">
        <v>1.45</v>
      </c>
      <c r="AJ99">
        <v>83.77</v>
      </c>
    </row>
    <row r="100" spans="10:36" x14ac:dyDescent="0.3">
      <c r="J100" t="s">
        <v>253</v>
      </c>
      <c r="K100" t="s">
        <v>68</v>
      </c>
      <c r="L100" t="s">
        <v>29</v>
      </c>
      <c r="M100" t="s">
        <v>254</v>
      </c>
      <c r="N100" t="s">
        <v>80</v>
      </c>
      <c r="O100" t="s">
        <v>41</v>
      </c>
      <c r="P100">
        <v>53</v>
      </c>
      <c r="Q100">
        <v>2</v>
      </c>
      <c r="R100">
        <v>5</v>
      </c>
      <c r="S100">
        <v>86.03</v>
      </c>
      <c r="T100">
        <v>17.2</v>
      </c>
      <c r="U100">
        <v>10.34</v>
      </c>
      <c r="V100" s="1">
        <v>45038</v>
      </c>
      <c r="W100" t="s">
        <v>43</v>
      </c>
      <c r="Z100">
        <v>0</v>
      </c>
      <c r="AA100">
        <v>1</v>
      </c>
      <c r="AB100" t="s">
        <v>43</v>
      </c>
      <c r="AC100">
        <v>21</v>
      </c>
      <c r="AD100">
        <v>167</v>
      </c>
      <c r="AE100">
        <v>92</v>
      </c>
      <c r="AF100" t="s">
        <v>35</v>
      </c>
      <c r="AG100">
        <v>44.2</v>
      </c>
      <c r="AH100">
        <v>7.61</v>
      </c>
      <c r="AI100">
        <v>1.08</v>
      </c>
      <c r="AJ100">
        <v>91.98</v>
      </c>
    </row>
    <row r="101" spans="10:36" x14ac:dyDescent="0.3">
      <c r="J101" t="s">
        <v>255</v>
      </c>
      <c r="K101" t="s">
        <v>68</v>
      </c>
      <c r="L101" t="s">
        <v>29</v>
      </c>
      <c r="M101" t="s">
        <v>256</v>
      </c>
      <c r="N101" t="s">
        <v>75</v>
      </c>
      <c r="O101" t="s">
        <v>32</v>
      </c>
      <c r="P101">
        <v>52</v>
      </c>
      <c r="Q101">
        <v>2</v>
      </c>
      <c r="R101">
        <v>2</v>
      </c>
      <c r="S101">
        <v>67.599999999999994</v>
      </c>
      <c r="T101">
        <v>10.8</v>
      </c>
      <c r="U101">
        <v>13.83</v>
      </c>
      <c r="V101" s="1">
        <v>45161</v>
      </c>
      <c r="W101" t="s">
        <v>33</v>
      </c>
      <c r="X101" s="1">
        <v>45147</v>
      </c>
      <c r="Y101">
        <v>83</v>
      </c>
      <c r="Z101">
        <v>1</v>
      </c>
      <c r="AA101">
        <v>0</v>
      </c>
      <c r="AB101" t="s">
        <v>61</v>
      </c>
      <c r="AC101">
        <v>30</v>
      </c>
      <c r="AD101">
        <v>169</v>
      </c>
      <c r="AE101">
        <v>76</v>
      </c>
      <c r="AF101" t="s">
        <v>35</v>
      </c>
      <c r="AG101">
        <v>48.3</v>
      </c>
      <c r="AH101">
        <v>7.18</v>
      </c>
      <c r="AI101">
        <v>0.86</v>
      </c>
      <c r="AJ101">
        <v>88.2</v>
      </c>
    </row>
    <row r="102" spans="10:36" x14ac:dyDescent="0.3">
      <c r="J102" t="s">
        <v>257</v>
      </c>
      <c r="K102" t="s">
        <v>68</v>
      </c>
      <c r="L102" t="s">
        <v>38</v>
      </c>
      <c r="M102" t="s">
        <v>258</v>
      </c>
      <c r="N102" t="s">
        <v>80</v>
      </c>
      <c r="O102" t="s">
        <v>32</v>
      </c>
      <c r="P102">
        <v>67</v>
      </c>
      <c r="Q102">
        <v>4</v>
      </c>
      <c r="R102">
        <v>4</v>
      </c>
      <c r="S102">
        <v>79</v>
      </c>
      <c r="T102">
        <v>14.9</v>
      </c>
      <c r="U102">
        <v>5.83</v>
      </c>
      <c r="W102" t="s">
        <v>33</v>
      </c>
      <c r="Y102">
        <v>75</v>
      </c>
      <c r="Z102">
        <v>1</v>
      </c>
      <c r="AA102">
        <v>3</v>
      </c>
      <c r="AB102" t="s">
        <v>52</v>
      </c>
      <c r="AC102">
        <v>34</v>
      </c>
      <c r="AD102">
        <v>197</v>
      </c>
      <c r="AE102">
        <v>83</v>
      </c>
      <c r="AF102" t="s">
        <v>62</v>
      </c>
      <c r="AG102">
        <v>69.099999999999994</v>
      </c>
      <c r="AH102">
        <v>6.93</v>
      </c>
      <c r="AI102">
        <v>1.29</v>
      </c>
      <c r="AJ102">
        <v>90.19</v>
      </c>
    </row>
    <row r="103" spans="10:36" x14ac:dyDescent="0.3">
      <c r="J103" t="s">
        <v>259</v>
      </c>
      <c r="K103" t="s">
        <v>68</v>
      </c>
      <c r="L103" t="s">
        <v>38</v>
      </c>
      <c r="M103" t="s">
        <v>260</v>
      </c>
      <c r="N103" t="s">
        <v>80</v>
      </c>
      <c r="O103" t="s">
        <v>32</v>
      </c>
      <c r="P103">
        <v>42</v>
      </c>
      <c r="Q103">
        <v>4</v>
      </c>
      <c r="R103">
        <v>5</v>
      </c>
      <c r="S103">
        <v>85.91</v>
      </c>
      <c r="T103">
        <v>17.2</v>
      </c>
      <c r="U103">
        <v>13.25</v>
      </c>
      <c r="W103" t="s">
        <v>43</v>
      </c>
      <c r="Y103">
        <v>55</v>
      </c>
      <c r="Z103">
        <v>1</v>
      </c>
      <c r="AA103">
        <v>0</v>
      </c>
      <c r="AB103" t="s">
        <v>52</v>
      </c>
      <c r="AC103">
        <v>19</v>
      </c>
      <c r="AD103">
        <v>191</v>
      </c>
      <c r="AE103">
        <v>93</v>
      </c>
      <c r="AF103" t="s">
        <v>35</v>
      </c>
      <c r="AG103">
        <v>49.9</v>
      </c>
      <c r="AH103">
        <v>7.12</v>
      </c>
      <c r="AI103">
        <v>0.75</v>
      </c>
      <c r="AJ103">
        <v>72.430000000000007</v>
      </c>
    </row>
    <row r="104" spans="10:36" x14ac:dyDescent="0.3">
      <c r="J104" t="s">
        <v>261</v>
      </c>
      <c r="K104" t="s">
        <v>64</v>
      </c>
      <c r="L104" t="s">
        <v>65</v>
      </c>
      <c r="M104" t="s">
        <v>262</v>
      </c>
      <c r="N104" t="s">
        <v>31</v>
      </c>
      <c r="O104" t="s">
        <v>41</v>
      </c>
      <c r="P104">
        <v>81</v>
      </c>
      <c r="Q104">
        <v>1</v>
      </c>
      <c r="R104">
        <v>0</v>
      </c>
      <c r="S104">
        <v>53.5</v>
      </c>
      <c r="T104">
        <v>6.2</v>
      </c>
      <c r="U104">
        <v>8.58</v>
      </c>
      <c r="W104" t="s">
        <v>47</v>
      </c>
      <c r="Z104">
        <v>0</v>
      </c>
      <c r="AA104">
        <v>4</v>
      </c>
      <c r="AB104" t="s">
        <v>34</v>
      </c>
      <c r="AC104">
        <v>22</v>
      </c>
      <c r="AD104">
        <v>187</v>
      </c>
      <c r="AE104">
        <v>87</v>
      </c>
      <c r="AF104" t="s">
        <v>35</v>
      </c>
      <c r="AG104">
        <v>54.5</v>
      </c>
      <c r="AH104">
        <v>9.2100000000000009</v>
      </c>
      <c r="AI104">
        <v>1.06</v>
      </c>
      <c r="AJ104">
        <v>98.54</v>
      </c>
    </row>
    <row r="105" spans="10:36" x14ac:dyDescent="0.3">
      <c r="J105" t="s">
        <v>263</v>
      </c>
      <c r="K105" t="s">
        <v>64</v>
      </c>
      <c r="L105" t="s">
        <v>38</v>
      </c>
      <c r="M105" t="s">
        <v>264</v>
      </c>
      <c r="N105" t="s">
        <v>51</v>
      </c>
      <c r="O105" t="s">
        <v>32</v>
      </c>
      <c r="P105">
        <v>56</v>
      </c>
      <c r="Q105">
        <v>3</v>
      </c>
      <c r="R105">
        <v>5</v>
      </c>
      <c r="S105">
        <v>85.79</v>
      </c>
      <c r="T105">
        <v>17.2</v>
      </c>
      <c r="U105">
        <v>8.2200000000000006</v>
      </c>
      <c r="W105" t="s">
        <v>43</v>
      </c>
      <c r="Z105">
        <v>0</v>
      </c>
      <c r="AA105">
        <v>0</v>
      </c>
      <c r="AB105" t="s">
        <v>34</v>
      </c>
      <c r="AC105">
        <v>29</v>
      </c>
      <c r="AD105">
        <v>176</v>
      </c>
      <c r="AE105">
        <v>98</v>
      </c>
      <c r="AF105" t="s">
        <v>48</v>
      </c>
      <c r="AG105">
        <v>45.9</v>
      </c>
      <c r="AH105">
        <v>9.7200000000000006</v>
      </c>
      <c r="AI105">
        <v>0.86</v>
      </c>
      <c r="AJ105">
        <v>95.15</v>
      </c>
    </row>
    <row r="106" spans="10:36" x14ac:dyDescent="0.3">
      <c r="J106" t="s">
        <v>265</v>
      </c>
      <c r="K106" t="s">
        <v>68</v>
      </c>
      <c r="L106" t="s">
        <v>29</v>
      </c>
      <c r="M106" t="s">
        <v>266</v>
      </c>
      <c r="N106" t="s">
        <v>31</v>
      </c>
      <c r="O106" t="s">
        <v>41</v>
      </c>
      <c r="P106">
        <v>63</v>
      </c>
      <c r="Q106">
        <v>1</v>
      </c>
      <c r="R106">
        <v>2</v>
      </c>
      <c r="S106">
        <v>67.28</v>
      </c>
      <c r="T106">
        <v>10.6</v>
      </c>
      <c r="U106">
        <v>14.77</v>
      </c>
      <c r="W106" t="s">
        <v>43</v>
      </c>
      <c r="X106" s="1">
        <v>44974</v>
      </c>
      <c r="Y106">
        <v>18</v>
      </c>
      <c r="Z106">
        <v>0</v>
      </c>
      <c r="AA106">
        <v>0</v>
      </c>
      <c r="AB106" t="s">
        <v>61</v>
      </c>
      <c r="AC106">
        <v>38</v>
      </c>
      <c r="AD106">
        <v>190</v>
      </c>
      <c r="AE106">
        <v>81</v>
      </c>
      <c r="AF106" t="s">
        <v>62</v>
      </c>
      <c r="AG106">
        <v>58.3</v>
      </c>
      <c r="AH106">
        <v>7.62</v>
      </c>
      <c r="AI106">
        <v>1.1599999999999999</v>
      </c>
      <c r="AJ106">
        <v>94.15</v>
      </c>
    </row>
    <row r="107" spans="10:36" x14ac:dyDescent="0.3">
      <c r="J107" t="s">
        <v>267</v>
      </c>
      <c r="K107" t="s">
        <v>64</v>
      </c>
      <c r="L107" t="s">
        <v>38</v>
      </c>
      <c r="M107" t="s">
        <v>268</v>
      </c>
      <c r="N107" t="s">
        <v>40</v>
      </c>
      <c r="O107" t="s">
        <v>41</v>
      </c>
      <c r="P107">
        <v>54</v>
      </c>
      <c r="Q107">
        <v>4</v>
      </c>
      <c r="R107">
        <v>6</v>
      </c>
      <c r="S107">
        <v>93.04</v>
      </c>
      <c r="T107">
        <v>19.399999999999999</v>
      </c>
      <c r="U107">
        <v>7.01</v>
      </c>
      <c r="V107" s="1">
        <v>45213</v>
      </c>
      <c r="W107" t="s">
        <v>43</v>
      </c>
      <c r="Y107">
        <v>12</v>
      </c>
      <c r="Z107">
        <v>0</v>
      </c>
      <c r="AA107">
        <v>2</v>
      </c>
      <c r="AB107" t="s">
        <v>52</v>
      </c>
      <c r="AC107">
        <v>25</v>
      </c>
      <c r="AD107">
        <v>167</v>
      </c>
      <c r="AE107">
        <v>76</v>
      </c>
      <c r="AF107" t="s">
        <v>70</v>
      </c>
      <c r="AG107">
        <v>48.4</v>
      </c>
      <c r="AH107">
        <v>9.6199999999999992</v>
      </c>
      <c r="AI107">
        <v>0.74</v>
      </c>
      <c r="AJ107">
        <v>94.69</v>
      </c>
    </row>
    <row r="108" spans="10:36" x14ac:dyDescent="0.3">
      <c r="J108" t="s">
        <v>269</v>
      </c>
      <c r="K108" t="s">
        <v>68</v>
      </c>
      <c r="L108" t="s">
        <v>82</v>
      </c>
      <c r="M108" t="s">
        <v>270</v>
      </c>
      <c r="N108" t="s">
        <v>75</v>
      </c>
      <c r="O108" t="s">
        <v>41</v>
      </c>
      <c r="P108">
        <v>84</v>
      </c>
      <c r="Q108">
        <v>0</v>
      </c>
      <c r="R108">
        <v>0</v>
      </c>
      <c r="S108">
        <v>53.42</v>
      </c>
      <c r="T108">
        <v>6.2</v>
      </c>
      <c r="U108">
        <v>11.93</v>
      </c>
      <c r="W108" t="s">
        <v>43</v>
      </c>
      <c r="Z108">
        <v>0</v>
      </c>
      <c r="AA108">
        <v>3</v>
      </c>
      <c r="AB108" t="s">
        <v>34</v>
      </c>
      <c r="AC108">
        <v>23</v>
      </c>
      <c r="AD108">
        <v>199</v>
      </c>
      <c r="AE108">
        <v>93</v>
      </c>
      <c r="AF108" t="s">
        <v>70</v>
      </c>
      <c r="AG108">
        <v>46.2</v>
      </c>
      <c r="AH108">
        <v>7.29</v>
      </c>
      <c r="AI108">
        <v>0.69</v>
      </c>
      <c r="AJ108">
        <v>97.98</v>
      </c>
    </row>
    <row r="109" spans="10:36" x14ac:dyDescent="0.3">
      <c r="J109" t="s">
        <v>271</v>
      </c>
      <c r="K109" t="s">
        <v>37</v>
      </c>
      <c r="L109" t="s">
        <v>29</v>
      </c>
      <c r="M109" t="s">
        <v>272</v>
      </c>
      <c r="N109" t="s">
        <v>94</v>
      </c>
      <c r="O109" t="s">
        <v>32</v>
      </c>
      <c r="P109">
        <v>66</v>
      </c>
      <c r="Q109">
        <v>0</v>
      </c>
      <c r="R109">
        <v>5</v>
      </c>
      <c r="S109">
        <v>85.55</v>
      </c>
      <c r="T109">
        <v>17.100000000000001</v>
      </c>
      <c r="U109">
        <v>13.21</v>
      </c>
      <c r="V109" s="1">
        <v>45223</v>
      </c>
      <c r="W109" t="s">
        <v>47</v>
      </c>
      <c r="Z109">
        <v>0</v>
      </c>
      <c r="AA109">
        <v>0</v>
      </c>
      <c r="AB109" t="s">
        <v>61</v>
      </c>
      <c r="AC109">
        <v>25</v>
      </c>
      <c r="AD109">
        <v>184</v>
      </c>
      <c r="AE109">
        <v>65</v>
      </c>
      <c r="AF109" t="s">
        <v>62</v>
      </c>
      <c r="AG109">
        <v>55.5</v>
      </c>
      <c r="AH109">
        <v>7.91</v>
      </c>
      <c r="AI109">
        <v>1.42</v>
      </c>
      <c r="AJ109">
        <v>86.33</v>
      </c>
    </row>
    <row r="110" spans="10:36" x14ac:dyDescent="0.3">
      <c r="J110" t="s">
        <v>273</v>
      </c>
      <c r="K110" t="s">
        <v>64</v>
      </c>
      <c r="L110" t="s">
        <v>38</v>
      </c>
      <c r="M110" t="s">
        <v>274</v>
      </c>
      <c r="N110" t="s">
        <v>94</v>
      </c>
      <c r="O110" t="s">
        <v>32</v>
      </c>
      <c r="P110">
        <v>22</v>
      </c>
      <c r="Q110">
        <v>4</v>
      </c>
      <c r="R110">
        <v>4</v>
      </c>
      <c r="S110">
        <v>78.75</v>
      </c>
      <c r="T110">
        <v>14.9</v>
      </c>
      <c r="U110">
        <v>5.41</v>
      </c>
      <c r="W110" t="s">
        <v>33</v>
      </c>
      <c r="X110" s="1">
        <v>45034</v>
      </c>
      <c r="Z110">
        <v>0</v>
      </c>
      <c r="AA110">
        <v>2</v>
      </c>
      <c r="AB110" t="s">
        <v>43</v>
      </c>
      <c r="AC110">
        <v>35</v>
      </c>
      <c r="AD110">
        <v>168</v>
      </c>
      <c r="AE110">
        <v>65</v>
      </c>
      <c r="AF110" t="s">
        <v>44</v>
      </c>
      <c r="AG110">
        <v>40.200000000000003</v>
      </c>
      <c r="AH110">
        <v>6.9</v>
      </c>
      <c r="AI110">
        <v>0.6</v>
      </c>
      <c r="AJ110">
        <v>76.010000000000005</v>
      </c>
    </row>
    <row r="111" spans="10:36" x14ac:dyDescent="0.3">
      <c r="J111" t="s">
        <v>275</v>
      </c>
      <c r="K111" t="s">
        <v>28</v>
      </c>
      <c r="L111" t="s">
        <v>65</v>
      </c>
      <c r="M111" t="s">
        <v>276</v>
      </c>
      <c r="N111" t="s">
        <v>31</v>
      </c>
      <c r="O111" t="s">
        <v>32</v>
      </c>
      <c r="P111">
        <v>20</v>
      </c>
      <c r="Q111">
        <v>0</v>
      </c>
      <c r="R111">
        <v>4</v>
      </c>
      <c r="S111">
        <v>78.680000000000007</v>
      </c>
      <c r="T111">
        <v>14.7</v>
      </c>
      <c r="U111">
        <v>11.7</v>
      </c>
      <c r="V111" s="1">
        <v>45029</v>
      </c>
      <c r="W111" t="s">
        <v>43</v>
      </c>
      <c r="X111" s="1">
        <v>44927</v>
      </c>
      <c r="Z111">
        <v>0</v>
      </c>
      <c r="AA111">
        <v>1</v>
      </c>
      <c r="AB111" t="s">
        <v>43</v>
      </c>
      <c r="AC111">
        <v>20</v>
      </c>
      <c r="AD111">
        <v>161</v>
      </c>
      <c r="AE111">
        <v>93</v>
      </c>
      <c r="AF111" t="s">
        <v>70</v>
      </c>
      <c r="AG111">
        <v>40.200000000000003</v>
      </c>
      <c r="AH111">
        <v>8.56</v>
      </c>
      <c r="AI111">
        <v>1.01</v>
      </c>
      <c r="AJ111">
        <v>88.5</v>
      </c>
    </row>
    <row r="112" spans="10:36" x14ac:dyDescent="0.3">
      <c r="J112" t="s">
        <v>277</v>
      </c>
      <c r="K112" t="s">
        <v>68</v>
      </c>
      <c r="L112" t="s">
        <v>29</v>
      </c>
      <c r="M112" t="s">
        <v>278</v>
      </c>
      <c r="N112" t="s">
        <v>31</v>
      </c>
      <c r="O112" t="s">
        <v>41</v>
      </c>
      <c r="P112">
        <v>24</v>
      </c>
      <c r="Q112">
        <v>3</v>
      </c>
      <c r="R112">
        <v>1</v>
      </c>
      <c r="S112">
        <v>58.67</v>
      </c>
      <c r="T112">
        <v>7.8</v>
      </c>
      <c r="U112">
        <v>14.52</v>
      </c>
      <c r="V112" s="1">
        <v>45275</v>
      </c>
      <c r="W112" t="s">
        <v>42</v>
      </c>
      <c r="Z112">
        <v>0</v>
      </c>
      <c r="AA112">
        <v>2</v>
      </c>
      <c r="AB112" t="s">
        <v>52</v>
      </c>
      <c r="AC112">
        <v>39</v>
      </c>
      <c r="AD112">
        <v>174</v>
      </c>
      <c r="AE112">
        <v>60</v>
      </c>
      <c r="AF112" t="s">
        <v>62</v>
      </c>
      <c r="AG112">
        <v>46.6</v>
      </c>
      <c r="AH112">
        <v>9.92</v>
      </c>
      <c r="AI112">
        <v>0.72</v>
      </c>
      <c r="AJ112">
        <v>92.29</v>
      </c>
    </row>
    <row r="113" spans="10:36" x14ac:dyDescent="0.3">
      <c r="J113" t="s">
        <v>279</v>
      </c>
      <c r="K113" t="s">
        <v>28</v>
      </c>
      <c r="L113" t="s">
        <v>38</v>
      </c>
      <c r="M113" t="s">
        <v>280</v>
      </c>
      <c r="N113" t="s">
        <v>40</v>
      </c>
      <c r="O113" t="s">
        <v>32</v>
      </c>
      <c r="P113">
        <v>33</v>
      </c>
      <c r="Q113">
        <v>1</v>
      </c>
      <c r="R113">
        <v>5</v>
      </c>
      <c r="S113">
        <v>85.5</v>
      </c>
      <c r="T113">
        <v>17.100000000000001</v>
      </c>
      <c r="U113">
        <v>6.24</v>
      </c>
      <c r="W113" t="s">
        <v>42</v>
      </c>
      <c r="Z113">
        <v>0</v>
      </c>
      <c r="AA113">
        <v>2</v>
      </c>
      <c r="AB113" t="s">
        <v>34</v>
      </c>
      <c r="AC113">
        <v>29</v>
      </c>
      <c r="AD113">
        <v>162</v>
      </c>
      <c r="AE113">
        <v>69</v>
      </c>
      <c r="AF113" t="s">
        <v>44</v>
      </c>
      <c r="AG113">
        <v>41.1</v>
      </c>
      <c r="AH113">
        <v>8.41</v>
      </c>
      <c r="AI113">
        <v>0.54</v>
      </c>
      <c r="AJ113">
        <v>92.14</v>
      </c>
    </row>
    <row r="114" spans="10:36" x14ac:dyDescent="0.3">
      <c r="J114" t="s">
        <v>281</v>
      </c>
      <c r="K114" t="s">
        <v>37</v>
      </c>
      <c r="L114" t="s">
        <v>38</v>
      </c>
      <c r="M114" t="s">
        <v>282</v>
      </c>
      <c r="N114" t="s">
        <v>51</v>
      </c>
      <c r="O114" t="s">
        <v>41</v>
      </c>
      <c r="P114">
        <v>46</v>
      </c>
      <c r="Q114">
        <v>1</v>
      </c>
      <c r="R114">
        <v>3</v>
      </c>
      <c r="S114">
        <v>72.099999999999994</v>
      </c>
      <c r="T114">
        <v>12.8</v>
      </c>
      <c r="U114">
        <v>13.96</v>
      </c>
      <c r="W114" t="s">
        <v>33</v>
      </c>
      <c r="Z114">
        <v>0</v>
      </c>
      <c r="AA114">
        <v>2</v>
      </c>
      <c r="AB114" t="s">
        <v>61</v>
      </c>
      <c r="AC114">
        <v>20</v>
      </c>
      <c r="AD114">
        <v>195</v>
      </c>
      <c r="AE114">
        <v>80</v>
      </c>
      <c r="AF114" t="s">
        <v>48</v>
      </c>
      <c r="AG114">
        <v>43.2</v>
      </c>
      <c r="AH114">
        <v>7.43</v>
      </c>
      <c r="AI114">
        <v>0.54</v>
      </c>
      <c r="AJ114">
        <v>85.64</v>
      </c>
    </row>
    <row r="115" spans="10:36" x14ac:dyDescent="0.3">
      <c r="J115" t="s">
        <v>283</v>
      </c>
      <c r="K115" t="s">
        <v>37</v>
      </c>
      <c r="L115" t="s">
        <v>29</v>
      </c>
      <c r="M115" t="s">
        <v>284</v>
      </c>
      <c r="N115" t="s">
        <v>51</v>
      </c>
      <c r="O115" t="s">
        <v>32</v>
      </c>
      <c r="P115">
        <v>28</v>
      </c>
      <c r="Q115">
        <v>0</v>
      </c>
      <c r="R115">
        <v>5</v>
      </c>
      <c r="S115">
        <v>85.09</v>
      </c>
      <c r="T115">
        <v>17.100000000000001</v>
      </c>
      <c r="U115">
        <v>10.95</v>
      </c>
      <c r="V115" s="1">
        <v>44951</v>
      </c>
      <c r="W115" t="s">
        <v>43</v>
      </c>
      <c r="Z115">
        <v>0</v>
      </c>
      <c r="AA115">
        <v>0</v>
      </c>
      <c r="AB115" t="s">
        <v>43</v>
      </c>
      <c r="AC115">
        <v>39</v>
      </c>
      <c r="AD115">
        <v>163</v>
      </c>
      <c r="AE115">
        <v>64</v>
      </c>
      <c r="AF115" t="s">
        <v>44</v>
      </c>
      <c r="AG115">
        <v>50.2</v>
      </c>
      <c r="AH115">
        <v>8.59</v>
      </c>
      <c r="AI115">
        <v>0.68</v>
      </c>
      <c r="AJ115">
        <v>72.05</v>
      </c>
    </row>
    <row r="116" spans="10:36" x14ac:dyDescent="0.3">
      <c r="J116" t="s">
        <v>285</v>
      </c>
      <c r="K116" t="s">
        <v>64</v>
      </c>
      <c r="L116" t="s">
        <v>38</v>
      </c>
      <c r="M116" t="s">
        <v>286</v>
      </c>
      <c r="N116" t="s">
        <v>40</v>
      </c>
      <c r="O116" t="s">
        <v>41</v>
      </c>
      <c r="P116">
        <v>34</v>
      </c>
      <c r="Q116">
        <v>1</v>
      </c>
      <c r="R116">
        <v>6</v>
      </c>
      <c r="S116">
        <v>92.99</v>
      </c>
      <c r="T116">
        <v>19.3</v>
      </c>
      <c r="U116">
        <v>11.17</v>
      </c>
      <c r="W116" t="s">
        <v>47</v>
      </c>
      <c r="Z116">
        <v>0</v>
      </c>
      <c r="AA116">
        <v>0</v>
      </c>
      <c r="AB116" t="s">
        <v>61</v>
      </c>
      <c r="AC116">
        <v>23</v>
      </c>
      <c r="AD116">
        <v>173</v>
      </c>
      <c r="AE116">
        <v>61</v>
      </c>
      <c r="AF116" t="s">
        <v>53</v>
      </c>
      <c r="AG116">
        <v>64.099999999999994</v>
      </c>
      <c r="AH116">
        <v>6.49</v>
      </c>
      <c r="AI116">
        <v>1.37</v>
      </c>
      <c r="AJ116">
        <v>81.13</v>
      </c>
    </row>
    <row r="117" spans="10:36" x14ac:dyDescent="0.3">
      <c r="J117" t="s">
        <v>287</v>
      </c>
      <c r="K117" t="s">
        <v>68</v>
      </c>
      <c r="L117" t="s">
        <v>38</v>
      </c>
      <c r="M117" t="s">
        <v>288</v>
      </c>
      <c r="N117" t="s">
        <v>75</v>
      </c>
      <c r="O117" t="s">
        <v>32</v>
      </c>
      <c r="P117">
        <v>61</v>
      </c>
      <c r="Q117">
        <v>4</v>
      </c>
      <c r="R117">
        <v>0</v>
      </c>
      <c r="S117">
        <v>53.15</v>
      </c>
      <c r="T117">
        <v>6.2</v>
      </c>
      <c r="U117">
        <v>11.13</v>
      </c>
      <c r="V117" s="1">
        <v>45194</v>
      </c>
      <c r="W117" t="s">
        <v>43</v>
      </c>
      <c r="Y117">
        <v>35</v>
      </c>
      <c r="Z117">
        <v>0</v>
      </c>
      <c r="AA117">
        <v>1</v>
      </c>
      <c r="AB117" t="s">
        <v>61</v>
      </c>
      <c r="AC117">
        <v>19</v>
      </c>
      <c r="AD117">
        <v>184</v>
      </c>
      <c r="AE117">
        <v>81</v>
      </c>
      <c r="AF117" t="s">
        <v>44</v>
      </c>
      <c r="AG117">
        <v>57.2</v>
      </c>
      <c r="AH117">
        <v>9.5500000000000007</v>
      </c>
      <c r="AI117">
        <v>0.78</v>
      </c>
      <c r="AJ117">
        <v>97.62</v>
      </c>
    </row>
    <row r="118" spans="10:36" x14ac:dyDescent="0.3">
      <c r="J118" t="s">
        <v>289</v>
      </c>
      <c r="K118" t="s">
        <v>37</v>
      </c>
      <c r="L118" t="s">
        <v>65</v>
      </c>
      <c r="M118" t="s">
        <v>290</v>
      </c>
      <c r="N118" t="s">
        <v>94</v>
      </c>
      <c r="O118" t="s">
        <v>32</v>
      </c>
      <c r="P118">
        <v>70</v>
      </c>
      <c r="Q118">
        <v>2</v>
      </c>
      <c r="R118">
        <v>0</v>
      </c>
      <c r="S118">
        <v>53.07</v>
      </c>
      <c r="T118">
        <v>6.1</v>
      </c>
      <c r="U118">
        <v>7.99</v>
      </c>
      <c r="W118" t="s">
        <v>43</v>
      </c>
      <c r="Z118">
        <v>0</v>
      </c>
      <c r="AA118">
        <v>4</v>
      </c>
      <c r="AB118" t="s">
        <v>43</v>
      </c>
      <c r="AC118">
        <v>29</v>
      </c>
      <c r="AD118">
        <v>169</v>
      </c>
      <c r="AE118">
        <v>61</v>
      </c>
      <c r="AF118" t="s">
        <v>48</v>
      </c>
      <c r="AG118">
        <v>55.4</v>
      </c>
      <c r="AH118">
        <v>8.01</v>
      </c>
      <c r="AI118">
        <v>1.45</v>
      </c>
      <c r="AJ118">
        <v>87.53</v>
      </c>
    </row>
    <row r="119" spans="10:36" x14ac:dyDescent="0.3">
      <c r="J119" t="s">
        <v>291</v>
      </c>
      <c r="K119" t="s">
        <v>68</v>
      </c>
      <c r="L119" t="s">
        <v>38</v>
      </c>
      <c r="M119" t="s">
        <v>292</v>
      </c>
      <c r="N119" t="s">
        <v>75</v>
      </c>
      <c r="O119" t="s">
        <v>32</v>
      </c>
      <c r="P119">
        <v>82</v>
      </c>
      <c r="Q119">
        <v>0</v>
      </c>
      <c r="R119">
        <v>6</v>
      </c>
      <c r="S119">
        <v>92.93</v>
      </c>
      <c r="T119">
        <v>19.3</v>
      </c>
      <c r="U119">
        <v>14.35</v>
      </c>
      <c r="W119" t="s">
        <v>33</v>
      </c>
      <c r="Y119">
        <v>81</v>
      </c>
      <c r="Z119">
        <v>0</v>
      </c>
      <c r="AA119">
        <v>4</v>
      </c>
      <c r="AB119" t="s">
        <v>61</v>
      </c>
      <c r="AC119">
        <v>19</v>
      </c>
      <c r="AD119">
        <v>180</v>
      </c>
      <c r="AE119">
        <v>69</v>
      </c>
      <c r="AF119" t="s">
        <v>35</v>
      </c>
      <c r="AG119">
        <v>48.8</v>
      </c>
      <c r="AH119">
        <v>7.8</v>
      </c>
      <c r="AI119">
        <v>1.08</v>
      </c>
      <c r="AJ119">
        <v>86.15</v>
      </c>
    </row>
    <row r="120" spans="10:36" x14ac:dyDescent="0.3">
      <c r="J120" t="s">
        <v>293</v>
      </c>
      <c r="K120" t="s">
        <v>64</v>
      </c>
      <c r="L120" t="s">
        <v>29</v>
      </c>
      <c r="M120" t="s">
        <v>294</v>
      </c>
      <c r="N120" t="s">
        <v>94</v>
      </c>
      <c r="O120" t="s">
        <v>32</v>
      </c>
      <c r="P120">
        <v>71</v>
      </c>
      <c r="Q120">
        <v>1</v>
      </c>
      <c r="R120">
        <v>5</v>
      </c>
      <c r="S120">
        <v>84.82</v>
      </c>
      <c r="T120">
        <v>17</v>
      </c>
      <c r="U120">
        <v>14.47</v>
      </c>
      <c r="W120" t="s">
        <v>33</v>
      </c>
      <c r="X120" s="1">
        <v>44931</v>
      </c>
      <c r="Z120">
        <v>1</v>
      </c>
      <c r="AA120">
        <v>4</v>
      </c>
      <c r="AB120" t="s">
        <v>61</v>
      </c>
      <c r="AC120">
        <v>23</v>
      </c>
      <c r="AD120">
        <v>195</v>
      </c>
      <c r="AE120">
        <v>93</v>
      </c>
      <c r="AF120" t="s">
        <v>70</v>
      </c>
      <c r="AG120">
        <v>68</v>
      </c>
      <c r="AH120">
        <v>8.34</v>
      </c>
      <c r="AI120">
        <v>0.94</v>
      </c>
      <c r="AJ120">
        <v>78.069999999999993</v>
      </c>
    </row>
    <row r="121" spans="10:36" x14ac:dyDescent="0.3">
      <c r="J121" t="s">
        <v>295</v>
      </c>
      <c r="K121" t="s">
        <v>64</v>
      </c>
      <c r="L121" t="s">
        <v>38</v>
      </c>
      <c r="M121" t="s">
        <v>296</v>
      </c>
      <c r="N121" t="s">
        <v>75</v>
      </c>
      <c r="O121" t="s">
        <v>41</v>
      </c>
      <c r="P121">
        <v>23</v>
      </c>
      <c r="Q121">
        <v>0</v>
      </c>
      <c r="R121">
        <v>6</v>
      </c>
      <c r="S121">
        <v>92.72</v>
      </c>
      <c r="T121">
        <v>19.3</v>
      </c>
      <c r="U121">
        <v>11.25</v>
      </c>
      <c r="V121" s="1">
        <v>45034</v>
      </c>
      <c r="W121" t="s">
        <v>43</v>
      </c>
      <c r="X121" s="1">
        <v>44986</v>
      </c>
      <c r="Z121">
        <v>0</v>
      </c>
      <c r="AA121">
        <v>1</v>
      </c>
      <c r="AB121" t="s">
        <v>43</v>
      </c>
      <c r="AC121">
        <v>34</v>
      </c>
      <c r="AD121">
        <v>171</v>
      </c>
      <c r="AE121">
        <v>75</v>
      </c>
      <c r="AF121" t="s">
        <v>48</v>
      </c>
      <c r="AG121">
        <v>51.9</v>
      </c>
      <c r="AH121">
        <v>8.5</v>
      </c>
      <c r="AI121">
        <v>1.08</v>
      </c>
      <c r="AJ121">
        <v>81.05</v>
      </c>
    </row>
    <row r="122" spans="10:36" x14ac:dyDescent="0.3">
      <c r="J122" t="s">
        <v>297</v>
      </c>
      <c r="K122" t="s">
        <v>64</v>
      </c>
      <c r="L122" t="s">
        <v>38</v>
      </c>
      <c r="M122" t="s">
        <v>298</v>
      </c>
      <c r="N122" t="s">
        <v>40</v>
      </c>
      <c r="O122" t="s">
        <v>41</v>
      </c>
      <c r="P122">
        <v>42</v>
      </c>
      <c r="Q122">
        <v>0</v>
      </c>
      <c r="R122">
        <v>2</v>
      </c>
      <c r="S122">
        <v>67.28</v>
      </c>
      <c r="T122">
        <v>10.6</v>
      </c>
      <c r="U122">
        <v>12.83</v>
      </c>
      <c r="W122" t="s">
        <v>42</v>
      </c>
      <c r="Z122">
        <v>0</v>
      </c>
      <c r="AA122">
        <v>4</v>
      </c>
      <c r="AB122" t="s">
        <v>61</v>
      </c>
      <c r="AC122">
        <v>20</v>
      </c>
      <c r="AD122">
        <v>186</v>
      </c>
      <c r="AE122">
        <v>98</v>
      </c>
      <c r="AF122" t="s">
        <v>44</v>
      </c>
      <c r="AG122">
        <v>42.6</v>
      </c>
      <c r="AH122">
        <v>6.29</v>
      </c>
      <c r="AI122">
        <v>1.02</v>
      </c>
      <c r="AJ122">
        <v>96.86</v>
      </c>
    </row>
    <row r="123" spans="10:36" x14ac:dyDescent="0.3">
      <c r="J123" t="s">
        <v>299</v>
      </c>
      <c r="K123" t="s">
        <v>64</v>
      </c>
      <c r="L123" t="s">
        <v>38</v>
      </c>
      <c r="M123" t="s">
        <v>300</v>
      </c>
      <c r="N123" t="s">
        <v>40</v>
      </c>
      <c r="O123" t="s">
        <v>41</v>
      </c>
      <c r="P123">
        <v>34</v>
      </c>
      <c r="Q123">
        <v>2</v>
      </c>
      <c r="R123">
        <v>6</v>
      </c>
      <c r="S123">
        <v>91.97</v>
      </c>
      <c r="T123">
        <v>19.3</v>
      </c>
      <c r="U123">
        <v>11.12</v>
      </c>
      <c r="W123" t="s">
        <v>42</v>
      </c>
      <c r="Z123">
        <v>0</v>
      </c>
      <c r="AA123">
        <v>4</v>
      </c>
      <c r="AB123" t="s">
        <v>61</v>
      </c>
      <c r="AC123">
        <v>19</v>
      </c>
      <c r="AD123">
        <v>199</v>
      </c>
      <c r="AE123">
        <v>81</v>
      </c>
      <c r="AF123" t="s">
        <v>53</v>
      </c>
      <c r="AG123">
        <v>58.5</v>
      </c>
      <c r="AH123">
        <v>8.73</v>
      </c>
      <c r="AI123">
        <v>1.26</v>
      </c>
      <c r="AJ123">
        <v>89.99</v>
      </c>
    </row>
    <row r="124" spans="10:36" x14ac:dyDescent="0.3">
      <c r="J124" t="s">
        <v>301</v>
      </c>
      <c r="K124" t="s">
        <v>37</v>
      </c>
      <c r="L124" t="s">
        <v>38</v>
      </c>
      <c r="M124" t="s">
        <v>302</v>
      </c>
      <c r="N124" t="s">
        <v>75</v>
      </c>
      <c r="O124" t="s">
        <v>32</v>
      </c>
      <c r="P124">
        <v>62</v>
      </c>
      <c r="Q124">
        <v>4</v>
      </c>
      <c r="R124">
        <v>4</v>
      </c>
      <c r="S124">
        <v>78.489999999999995</v>
      </c>
      <c r="T124">
        <v>14.7</v>
      </c>
      <c r="U124">
        <v>9.84</v>
      </c>
      <c r="W124" t="s">
        <v>42</v>
      </c>
      <c r="Z124">
        <v>1</v>
      </c>
      <c r="AA124">
        <v>2</v>
      </c>
      <c r="AB124" t="s">
        <v>34</v>
      </c>
      <c r="AC124">
        <v>37</v>
      </c>
      <c r="AD124">
        <v>161</v>
      </c>
      <c r="AE124">
        <v>71</v>
      </c>
      <c r="AF124" t="s">
        <v>62</v>
      </c>
      <c r="AG124">
        <v>43.4</v>
      </c>
      <c r="AH124">
        <v>6.97</v>
      </c>
      <c r="AI124">
        <v>0.78</v>
      </c>
      <c r="AJ124">
        <v>93.62</v>
      </c>
    </row>
    <row r="125" spans="10:36" x14ac:dyDescent="0.3">
      <c r="J125" t="s">
        <v>303</v>
      </c>
      <c r="K125" t="s">
        <v>28</v>
      </c>
      <c r="L125" t="s">
        <v>38</v>
      </c>
      <c r="M125" t="s">
        <v>304</v>
      </c>
      <c r="N125" t="s">
        <v>31</v>
      </c>
      <c r="O125" t="s">
        <v>32</v>
      </c>
      <c r="P125">
        <v>48</v>
      </c>
      <c r="Q125">
        <v>0</v>
      </c>
      <c r="R125">
        <v>6</v>
      </c>
      <c r="S125">
        <v>91.92</v>
      </c>
      <c r="T125">
        <v>19.3</v>
      </c>
      <c r="U125">
        <v>11.61</v>
      </c>
      <c r="W125" t="s">
        <v>42</v>
      </c>
      <c r="Y125">
        <v>57</v>
      </c>
      <c r="Z125">
        <v>0</v>
      </c>
      <c r="AA125">
        <v>0</v>
      </c>
      <c r="AB125" t="s">
        <v>34</v>
      </c>
      <c r="AC125">
        <v>25</v>
      </c>
      <c r="AD125">
        <v>172</v>
      </c>
      <c r="AE125">
        <v>83</v>
      </c>
      <c r="AF125" t="s">
        <v>35</v>
      </c>
      <c r="AG125">
        <v>50.4</v>
      </c>
      <c r="AH125">
        <v>8.86</v>
      </c>
      <c r="AI125">
        <v>0.85</v>
      </c>
      <c r="AJ125">
        <v>83.63</v>
      </c>
    </row>
    <row r="126" spans="10:36" x14ac:dyDescent="0.3">
      <c r="J126" t="s">
        <v>305</v>
      </c>
      <c r="K126" t="s">
        <v>64</v>
      </c>
      <c r="L126" t="s">
        <v>38</v>
      </c>
      <c r="M126" t="s">
        <v>306</v>
      </c>
      <c r="N126" t="s">
        <v>80</v>
      </c>
      <c r="O126" t="s">
        <v>41</v>
      </c>
      <c r="P126">
        <v>55</v>
      </c>
      <c r="Q126">
        <v>1</v>
      </c>
      <c r="R126">
        <v>0</v>
      </c>
      <c r="S126">
        <v>53.02</v>
      </c>
      <c r="T126">
        <v>6.1</v>
      </c>
      <c r="U126">
        <v>10.53</v>
      </c>
      <c r="W126" t="s">
        <v>47</v>
      </c>
      <c r="X126" s="1">
        <v>45051</v>
      </c>
      <c r="Z126">
        <v>0</v>
      </c>
      <c r="AA126">
        <v>0</v>
      </c>
      <c r="AB126" t="s">
        <v>61</v>
      </c>
      <c r="AC126">
        <v>39</v>
      </c>
      <c r="AD126">
        <v>191</v>
      </c>
      <c r="AE126">
        <v>99</v>
      </c>
      <c r="AF126" t="s">
        <v>35</v>
      </c>
      <c r="AG126">
        <v>55.2</v>
      </c>
      <c r="AH126">
        <v>9.2899999999999991</v>
      </c>
      <c r="AI126">
        <v>1.39</v>
      </c>
      <c r="AJ126">
        <v>88.91</v>
      </c>
    </row>
    <row r="127" spans="10:36" x14ac:dyDescent="0.3">
      <c r="J127" t="s">
        <v>307</v>
      </c>
      <c r="K127" t="s">
        <v>64</v>
      </c>
      <c r="L127" t="s">
        <v>38</v>
      </c>
      <c r="M127" t="s">
        <v>308</v>
      </c>
      <c r="N127" t="s">
        <v>80</v>
      </c>
      <c r="O127" t="s">
        <v>32</v>
      </c>
      <c r="P127">
        <v>32</v>
      </c>
      <c r="Q127">
        <v>3</v>
      </c>
      <c r="R127">
        <v>4</v>
      </c>
      <c r="S127">
        <v>78.34</v>
      </c>
      <c r="T127">
        <v>14.6</v>
      </c>
      <c r="U127">
        <v>10.97</v>
      </c>
      <c r="W127" t="s">
        <v>33</v>
      </c>
      <c r="Y127">
        <v>75</v>
      </c>
      <c r="Z127">
        <v>1</v>
      </c>
      <c r="AA127">
        <v>2</v>
      </c>
      <c r="AB127" t="s">
        <v>61</v>
      </c>
      <c r="AC127">
        <v>29</v>
      </c>
      <c r="AD127">
        <v>190</v>
      </c>
      <c r="AE127">
        <v>97</v>
      </c>
      <c r="AF127" t="s">
        <v>44</v>
      </c>
      <c r="AG127">
        <v>66.2</v>
      </c>
      <c r="AH127">
        <v>9.2200000000000006</v>
      </c>
      <c r="AI127">
        <v>1.45</v>
      </c>
      <c r="AJ127">
        <v>77.45</v>
      </c>
    </row>
    <row r="128" spans="10:36" x14ac:dyDescent="0.3">
      <c r="J128" t="s">
        <v>309</v>
      </c>
      <c r="K128" t="s">
        <v>68</v>
      </c>
      <c r="L128" t="s">
        <v>38</v>
      </c>
      <c r="M128" t="s">
        <v>310</v>
      </c>
      <c r="N128" t="s">
        <v>51</v>
      </c>
      <c r="O128" t="s">
        <v>32</v>
      </c>
      <c r="P128">
        <v>51</v>
      </c>
      <c r="Q128">
        <v>0</v>
      </c>
      <c r="R128">
        <v>0</v>
      </c>
      <c r="S128">
        <v>52.92</v>
      </c>
      <c r="T128">
        <v>6.1</v>
      </c>
      <c r="U128">
        <v>12.84</v>
      </c>
      <c r="W128" t="s">
        <v>42</v>
      </c>
      <c r="Y128">
        <v>79</v>
      </c>
      <c r="Z128">
        <v>0</v>
      </c>
      <c r="AA128">
        <v>2</v>
      </c>
      <c r="AB128" t="s">
        <v>43</v>
      </c>
      <c r="AC128">
        <v>21</v>
      </c>
      <c r="AD128">
        <v>175</v>
      </c>
      <c r="AE128">
        <v>69</v>
      </c>
      <c r="AF128" t="s">
        <v>53</v>
      </c>
      <c r="AG128">
        <v>54.8</v>
      </c>
      <c r="AH128">
        <v>8.2100000000000009</v>
      </c>
      <c r="AI128">
        <v>1.39</v>
      </c>
      <c r="AJ128">
        <v>91.16</v>
      </c>
    </row>
    <row r="129" spans="10:36" x14ac:dyDescent="0.3">
      <c r="J129" t="s">
        <v>311</v>
      </c>
      <c r="K129" t="s">
        <v>28</v>
      </c>
      <c r="L129" t="s">
        <v>29</v>
      </c>
      <c r="M129" t="s">
        <v>312</v>
      </c>
      <c r="N129" t="s">
        <v>80</v>
      </c>
      <c r="O129" t="s">
        <v>32</v>
      </c>
      <c r="P129">
        <v>90</v>
      </c>
      <c r="Q129">
        <v>0</v>
      </c>
      <c r="R129">
        <v>1</v>
      </c>
      <c r="S129">
        <v>58.51</v>
      </c>
      <c r="T129">
        <v>7.7</v>
      </c>
      <c r="U129">
        <v>9.81</v>
      </c>
      <c r="W129" t="s">
        <v>47</v>
      </c>
      <c r="Z129">
        <v>0</v>
      </c>
      <c r="AA129">
        <v>2</v>
      </c>
      <c r="AB129" t="s">
        <v>43</v>
      </c>
      <c r="AC129">
        <v>22</v>
      </c>
      <c r="AD129">
        <v>191</v>
      </c>
      <c r="AE129">
        <v>94</v>
      </c>
      <c r="AF129" t="s">
        <v>44</v>
      </c>
      <c r="AG129">
        <v>61.1</v>
      </c>
      <c r="AH129">
        <v>8.08</v>
      </c>
      <c r="AI129">
        <v>0.92</v>
      </c>
      <c r="AJ129">
        <v>82.83</v>
      </c>
    </row>
    <row r="130" spans="10:36" x14ac:dyDescent="0.3">
      <c r="J130" t="s">
        <v>313</v>
      </c>
      <c r="K130" t="s">
        <v>68</v>
      </c>
      <c r="L130" t="s">
        <v>38</v>
      </c>
      <c r="M130" t="s">
        <v>314</v>
      </c>
      <c r="N130" t="s">
        <v>51</v>
      </c>
      <c r="O130" t="s">
        <v>41</v>
      </c>
      <c r="P130">
        <v>78</v>
      </c>
      <c r="Q130">
        <v>2</v>
      </c>
      <c r="R130">
        <v>3</v>
      </c>
      <c r="S130">
        <v>71.819999999999993</v>
      </c>
      <c r="T130">
        <v>12.8</v>
      </c>
      <c r="U130">
        <v>5.41</v>
      </c>
      <c r="W130" t="s">
        <v>43</v>
      </c>
      <c r="X130" s="1">
        <v>45133</v>
      </c>
      <c r="Y130">
        <v>37</v>
      </c>
      <c r="Z130">
        <v>0</v>
      </c>
      <c r="AA130">
        <v>0</v>
      </c>
      <c r="AB130" t="s">
        <v>61</v>
      </c>
      <c r="AC130">
        <v>30</v>
      </c>
      <c r="AD130">
        <v>191</v>
      </c>
      <c r="AE130">
        <v>91</v>
      </c>
      <c r="AF130" t="s">
        <v>62</v>
      </c>
      <c r="AG130">
        <v>69.8</v>
      </c>
      <c r="AH130">
        <v>6.57</v>
      </c>
      <c r="AI130">
        <v>1.28</v>
      </c>
      <c r="AJ130">
        <v>83.28</v>
      </c>
    </row>
    <row r="131" spans="10:36" x14ac:dyDescent="0.3">
      <c r="J131" t="s">
        <v>315</v>
      </c>
      <c r="K131" t="s">
        <v>64</v>
      </c>
      <c r="L131" t="s">
        <v>65</v>
      </c>
      <c r="M131" t="s">
        <v>316</v>
      </c>
      <c r="N131" t="s">
        <v>40</v>
      </c>
      <c r="O131" t="s">
        <v>32</v>
      </c>
      <c r="P131">
        <v>47</v>
      </c>
      <c r="Q131">
        <v>4</v>
      </c>
      <c r="R131">
        <v>0</v>
      </c>
      <c r="S131">
        <v>52.77</v>
      </c>
      <c r="T131">
        <v>6.1</v>
      </c>
      <c r="U131">
        <v>6.64</v>
      </c>
      <c r="V131" s="1">
        <v>45121</v>
      </c>
      <c r="W131" t="s">
        <v>33</v>
      </c>
      <c r="Y131">
        <v>35</v>
      </c>
      <c r="Z131">
        <v>0</v>
      </c>
      <c r="AA131">
        <v>4</v>
      </c>
      <c r="AB131" t="s">
        <v>43</v>
      </c>
      <c r="AC131">
        <v>32</v>
      </c>
      <c r="AD131">
        <v>193</v>
      </c>
      <c r="AE131">
        <v>66</v>
      </c>
      <c r="AF131" t="s">
        <v>70</v>
      </c>
      <c r="AG131">
        <v>43.9</v>
      </c>
      <c r="AH131">
        <v>9.1</v>
      </c>
      <c r="AI131">
        <v>0.98</v>
      </c>
      <c r="AJ131">
        <v>89.48</v>
      </c>
    </row>
    <row r="132" spans="10:36" x14ac:dyDescent="0.3">
      <c r="J132" t="s">
        <v>317</v>
      </c>
      <c r="K132" t="s">
        <v>28</v>
      </c>
      <c r="L132" t="s">
        <v>38</v>
      </c>
      <c r="M132" t="s">
        <v>318</v>
      </c>
      <c r="N132" t="s">
        <v>80</v>
      </c>
      <c r="O132" t="s">
        <v>41</v>
      </c>
      <c r="P132">
        <v>85</v>
      </c>
      <c r="Q132">
        <v>3</v>
      </c>
      <c r="R132">
        <v>4</v>
      </c>
      <c r="S132">
        <v>78.05</v>
      </c>
      <c r="T132">
        <v>14.6</v>
      </c>
      <c r="U132">
        <v>9.39</v>
      </c>
      <c r="W132" t="s">
        <v>33</v>
      </c>
      <c r="Z132">
        <v>0</v>
      </c>
      <c r="AA132">
        <v>2</v>
      </c>
      <c r="AB132" t="s">
        <v>52</v>
      </c>
      <c r="AC132">
        <v>33</v>
      </c>
      <c r="AD132">
        <v>170</v>
      </c>
      <c r="AE132">
        <v>80</v>
      </c>
      <c r="AF132" t="s">
        <v>48</v>
      </c>
      <c r="AG132">
        <v>48.2</v>
      </c>
      <c r="AH132">
        <v>7.09</v>
      </c>
      <c r="AI132">
        <v>1</v>
      </c>
      <c r="AJ132">
        <v>98.09</v>
      </c>
    </row>
    <row r="133" spans="10:36" x14ac:dyDescent="0.3">
      <c r="J133" t="s">
        <v>319</v>
      </c>
      <c r="K133" t="s">
        <v>68</v>
      </c>
      <c r="L133" t="s">
        <v>29</v>
      </c>
      <c r="M133" t="s">
        <v>320</v>
      </c>
      <c r="N133" t="s">
        <v>56</v>
      </c>
      <c r="O133" t="s">
        <v>32</v>
      </c>
      <c r="P133">
        <v>61</v>
      </c>
      <c r="Q133">
        <v>1</v>
      </c>
      <c r="R133">
        <v>1</v>
      </c>
      <c r="S133">
        <v>58.35</v>
      </c>
      <c r="T133">
        <v>7.6</v>
      </c>
      <c r="U133">
        <v>12.25</v>
      </c>
      <c r="V133" s="1">
        <v>44975</v>
      </c>
      <c r="W133" t="s">
        <v>47</v>
      </c>
      <c r="Y133">
        <v>34</v>
      </c>
      <c r="Z133">
        <v>0</v>
      </c>
      <c r="AA133">
        <v>1</v>
      </c>
      <c r="AB133" t="s">
        <v>61</v>
      </c>
      <c r="AC133">
        <v>27</v>
      </c>
      <c r="AD133">
        <v>169</v>
      </c>
      <c r="AE133">
        <v>79</v>
      </c>
      <c r="AF133" t="s">
        <v>44</v>
      </c>
      <c r="AG133">
        <v>51.8</v>
      </c>
      <c r="AH133">
        <v>7.99</v>
      </c>
      <c r="AI133">
        <v>0.7</v>
      </c>
      <c r="AJ133">
        <v>71.92</v>
      </c>
    </row>
    <row r="134" spans="10:36" x14ac:dyDescent="0.3">
      <c r="J134" t="s">
        <v>321</v>
      </c>
      <c r="K134" t="s">
        <v>28</v>
      </c>
      <c r="L134" t="s">
        <v>65</v>
      </c>
      <c r="M134" t="s">
        <v>322</v>
      </c>
      <c r="N134" t="s">
        <v>80</v>
      </c>
      <c r="O134" t="s">
        <v>41</v>
      </c>
      <c r="P134">
        <v>64</v>
      </c>
      <c r="Q134">
        <v>3</v>
      </c>
      <c r="R134">
        <v>0</v>
      </c>
      <c r="S134">
        <v>52.47</v>
      </c>
      <c r="T134">
        <v>6</v>
      </c>
      <c r="U134">
        <v>10.93</v>
      </c>
      <c r="W134" t="s">
        <v>47</v>
      </c>
      <c r="X134" s="1">
        <v>45074</v>
      </c>
      <c r="Y134">
        <v>21</v>
      </c>
      <c r="Z134">
        <v>1</v>
      </c>
      <c r="AA134">
        <v>2</v>
      </c>
      <c r="AB134" t="s">
        <v>43</v>
      </c>
      <c r="AC134">
        <v>33</v>
      </c>
      <c r="AD134">
        <v>174</v>
      </c>
      <c r="AE134">
        <v>85</v>
      </c>
      <c r="AF134" t="s">
        <v>48</v>
      </c>
      <c r="AG134">
        <v>52.7</v>
      </c>
      <c r="AH134">
        <v>7.14</v>
      </c>
      <c r="AI134">
        <v>1.0900000000000001</v>
      </c>
      <c r="AJ134">
        <v>94.74</v>
      </c>
    </row>
    <row r="135" spans="10:36" x14ac:dyDescent="0.3">
      <c r="J135" t="s">
        <v>323</v>
      </c>
      <c r="K135" t="s">
        <v>64</v>
      </c>
      <c r="L135" t="s">
        <v>65</v>
      </c>
      <c r="M135" t="s">
        <v>324</v>
      </c>
      <c r="N135" t="s">
        <v>94</v>
      </c>
      <c r="O135" t="s">
        <v>41</v>
      </c>
      <c r="P135">
        <v>81</v>
      </c>
      <c r="Q135">
        <v>1</v>
      </c>
      <c r="R135">
        <v>2</v>
      </c>
      <c r="S135">
        <v>66.95</v>
      </c>
      <c r="T135">
        <v>10.6</v>
      </c>
      <c r="U135">
        <v>11.5</v>
      </c>
      <c r="W135" t="s">
        <v>42</v>
      </c>
      <c r="Z135">
        <v>1</v>
      </c>
      <c r="AA135">
        <v>3</v>
      </c>
      <c r="AB135" t="s">
        <v>43</v>
      </c>
      <c r="AC135">
        <v>29</v>
      </c>
      <c r="AD135">
        <v>176</v>
      </c>
      <c r="AE135">
        <v>63</v>
      </c>
      <c r="AF135" t="s">
        <v>35</v>
      </c>
      <c r="AG135">
        <v>52.3</v>
      </c>
      <c r="AH135">
        <v>6.54</v>
      </c>
      <c r="AI135">
        <v>0.69</v>
      </c>
      <c r="AJ135">
        <v>78.77</v>
      </c>
    </row>
    <row r="136" spans="10:36" x14ac:dyDescent="0.3">
      <c r="J136" t="s">
        <v>325</v>
      </c>
      <c r="K136" t="s">
        <v>37</v>
      </c>
      <c r="L136" t="s">
        <v>38</v>
      </c>
      <c r="M136" t="s">
        <v>326</v>
      </c>
      <c r="N136" t="s">
        <v>94</v>
      </c>
      <c r="O136" t="s">
        <v>41</v>
      </c>
      <c r="P136">
        <v>76</v>
      </c>
      <c r="Q136">
        <v>4</v>
      </c>
      <c r="R136">
        <v>6</v>
      </c>
      <c r="S136">
        <v>91.85</v>
      </c>
      <c r="T136">
        <v>19.2</v>
      </c>
      <c r="U136">
        <v>9.7899999999999991</v>
      </c>
      <c r="W136" t="s">
        <v>42</v>
      </c>
      <c r="Z136">
        <v>0</v>
      </c>
      <c r="AA136">
        <v>2</v>
      </c>
      <c r="AB136" t="s">
        <v>34</v>
      </c>
      <c r="AC136">
        <v>34</v>
      </c>
      <c r="AD136">
        <v>199</v>
      </c>
      <c r="AE136">
        <v>81</v>
      </c>
      <c r="AF136" t="s">
        <v>70</v>
      </c>
      <c r="AG136">
        <v>67.2</v>
      </c>
      <c r="AH136">
        <v>8.52</v>
      </c>
      <c r="AI136">
        <v>0.83</v>
      </c>
      <c r="AJ136">
        <v>83.32</v>
      </c>
    </row>
    <row r="137" spans="10:36" x14ac:dyDescent="0.3">
      <c r="J137" t="s">
        <v>327</v>
      </c>
      <c r="K137" t="s">
        <v>28</v>
      </c>
      <c r="L137" t="s">
        <v>65</v>
      </c>
      <c r="M137" t="s">
        <v>328</v>
      </c>
      <c r="N137" t="s">
        <v>75</v>
      </c>
      <c r="O137" t="s">
        <v>32</v>
      </c>
      <c r="P137">
        <v>25</v>
      </c>
      <c r="Q137">
        <v>1</v>
      </c>
      <c r="R137">
        <v>3</v>
      </c>
      <c r="S137">
        <v>71.77</v>
      </c>
      <c r="T137">
        <v>12.8</v>
      </c>
      <c r="U137">
        <v>11.16</v>
      </c>
      <c r="W137" t="s">
        <v>47</v>
      </c>
      <c r="Y137">
        <v>14</v>
      </c>
      <c r="Z137">
        <v>0</v>
      </c>
      <c r="AA137">
        <v>0</v>
      </c>
      <c r="AB137" t="s">
        <v>61</v>
      </c>
      <c r="AC137">
        <v>33</v>
      </c>
      <c r="AD137">
        <v>177</v>
      </c>
      <c r="AE137">
        <v>74</v>
      </c>
      <c r="AF137" t="s">
        <v>62</v>
      </c>
      <c r="AG137">
        <v>61.4</v>
      </c>
      <c r="AH137">
        <v>6.22</v>
      </c>
      <c r="AI137">
        <v>1.36</v>
      </c>
      <c r="AJ137">
        <v>70.66</v>
      </c>
    </row>
    <row r="138" spans="10:36" x14ac:dyDescent="0.3">
      <c r="J138" t="s">
        <v>329</v>
      </c>
      <c r="K138" t="s">
        <v>28</v>
      </c>
      <c r="L138" t="s">
        <v>29</v>
      </c>
      <c r="M138" t="s">
        <v>330</v>
      </c>
      <c r="N138" t="s">
        <v>75</v>
      </c>
      <c r="O138" t="s">
        <v>32</v>
      </c>
      <c r="P138">
        <v>47</v>
      </c>
      <c r="Q138">
        <v>2</v>
      </c>
      <c r="R138">
        <v>0</v>
      </c>
      <c r="S138">
        <v>52.37</v>
      </c>
      <c r="T138">
        <v>5.9</v>
      </c>
      <c r="U138">
        <v>8.2899999999999991</v>
      </c>
      <c r="W138" t="s">
        <v>47</v>
      </c>
      <c r="X138" s="1">
        <v>45186</v>
      </c>
      <c r="Z138">
        <v>0</v>
      </c>
      <c r="AA138">
        <v>2</v>
      </c>
      <c r="AB138" t="s">
        <v>52</v>
      </c>
      <c r="AC138">
        <v>29</v>
      </c>
      <c r="AD138">
        <v>168</v>
      </c>
      <c r="AE138">
        <v>99</v>
      </c>
      <c r="AF138" t="s">
        <v>35</v>
      </c>
      <c r="AG138">
        <v>58.2</v>
      </c>
      <c r="AH138">
        <v>8.99</v>
      </c>
      <c r="AI138">
        <v>0.71</v>
      </c>
      <c r="AJ138">
        <v>79.03</v>
      </c>
    </row>
    <row r="139" spans="10:36" x14ac:dyDescent="0.3">
      <c r="J139" t="s">
        <v>331</v>
      </c>
      <c r="K139" t="s">
        <v>37</v>
      </c>
      <c r="L139" t="s">
        <v>29</v>
      </c>
      <c r="M139" t="s">
        <v>332</v>
      </c>
      <c r="N139" t="s">
        <v>56</v>
      </c>
      <c r="O139" t="s">
        <v>41</v>
      </c>
      <c r="P139">
        <v>47</v>
      </c>
      <c r="Q139">
        <v>2</v>
      </c>
      <c r="R139">
        <v>1</v>
      </c>
      <c r="S139">
        <v>58.3</v>
      </c>
      <c r="T139">
        <v>7.6</v>
      </c>
      <c r="U139">
        <v>9.6999999999999993</v>
      </c>
      <c r="W139" t="s">
        <v>33</v>
      </c>
      <c r="Z139">
        <v>1</v>
      </c>
      <c r="AA139">
        <v>3</v>
      </c>
      <c r="AB139" t="s">
        <v>52</v>
      </c>
      <c r="AC139">
        <v>25</v>
      </c>
      <c r="AD139">
        <v>184</v>
      </c>
      <c r="AE139">
        <v>80</v>
      </c>
      <c r="AF139" t="s">
        <v>53</v>
      </c>
      <c r="AG139">
        <v>49.3</v>
      </c>
      <c r="AH139">
        <v>7.27</v>
      </c>
      <c r="AI139">
        <v>0.56999999999999995</v>
      </c>
      <c r="AJ139">
        <v>85.08</v>
      </c>
    </row>
    <row r="140" spans="10:36" x14ac:dyDescent="0.3">
      <c r="J140" t="s">
        <v>333</v>
      </c>
      <c r="K140" t="s">
        <v>37</v>
      </c>
      <c r="L140" t="s">
        <v>38</v>
      </c>
      <c r="M140" t="s">
        <v>334</v>
      </c>
      <c r="N140" t="s">
        <v>75</v>
      </c>
      <c r="O140" t="s">
        <v>41</v>
      </c>
      <c r="P140">
        <v>63</v>
      </c>
      <c r="Q140">
        <v>2</v>
      </c>
      <c r="R140">
        <v>2</v>
      </c>
      <c r="S140">
        <v>66.41</v>
      </c>
      <c r="T140">
        <v>10.6</v>
      </c>
      <c r="U140">
        <v>12.44</v>
      </c>
      <c r="W140" t="s">
        <v>47</v>
      </c>
      <c r="Z140">
        <v>1</v>
      </c>
      <c r="AA140">
        <v>1</v>
      </c>
      <c r="AB140" t="s">
        <v>52</v>
      </c>
      <c r="AC140">
        <v>37</v>
      </c>
      <c r="AD140">
        <v>199</v>
      </c>
      <c r="AE140">
        <v>74</v>
      </c>
      <c r="AF140" t="s">
        <v>44</v>
      </c>
      <c r="AG140">
        <v>64.7</v>
      </c>
      <c r="AH140">
        <v>6</v>
      </c>
      <c r="AI140">
        <v>0.56999999999999995</v>
      </c>
      <c r="AJ140">
        <v>71.69</v>
      </c>
    </row>
    <row r="141" spans="10:36" x14ac:dyDescent="0.3">
      <c r="J141" t="s">
        <v>335</v>
      </c>
      <c r="K141" t="s">
        <v>68</v>
      </c>
      <c r="L141" t="s">
        <v>29</v>
      </c>
      <c r="M141" t="s">
        <v>336</v>
      </c>
      <c r="N141" t="s">
        <v>51</v>
      </c>
      <c r="O141" t="s">
        <v>41</v>
      </c>
      <c r="P141">
        <v>49</v>
      </c>
      <c r="Q141">
        <v>2</v>
      </c>
      <c r="R141">
        <v>5</v>
      </c>
      <c r="S141">
        <v>84.69</v>
      </c>
      <c r="T141">
        <v>16.899999999999999</v>
      </c>
      <c r="U141">
        <v>13.72</v>
      </c>
      <c r="W141" t="s">
        <v>47</v>
      </c>
      <c r="Y141">
        <v>57</v>
      </c>
      <c r="Z141">
        <v>0</v>
      </c>
      <c r="AA141">
        <v>4</v>
      </c>
      <c r="AB141" t="s">
        <v>43</v>
      </c>
      <c r="AC141">
        <v>20</v>
      </c>
      <c r="AD141">
        <v>173</v>
      </c>
      <c r="AE141">
        <v>81</v>
      </c>
      <c r="AF141" t="s">
        <v>35</v>
      </c>
      <c r="AG141">
        <v>68.7</v>
      </c>
      <c r="AH141">
        <v>8.0399999999999991</v>
      </c>
      <c r="AI141">
        <v>1.44</v>
      </c>
      <c r="AJ141">
        <v>84.73</v>
      </c>
    </row>
    <row r="142" spans="10:36" x14ac:dyDescent="0.3">
      <c r="J142" t="s">
        <v>337</v>
      </c>
      <c r="K142" t="s">
        <v>64</v>
      </c>
      <c r="L142" t="s">
        <v>82</v>
      </c>
      <c r="M142" t="s">
        <v>338</v>
      </c>
      <c r="N142" t="s">
        <v>51</v>
      </c>
      <c r="O142" t="s">
        <v>32</v>
      </c>
      <c r="P142">
        <v>81</v>
      </c>
      <c r="Q142">
        <v>1</v>
      </c>
      <c r="R142">
        <v>1</v>
      </c>
      <c r="S142">
        <v>58.19</v>
      </c>
      <c r="T142">
        <v>7.5</v>
      </c>
      <c r="U142">
        <v>9.34</v>
      </c>
      <c r="V142" s="1">
        <v>45145</v>
      </c>
      <c r="W142" t="s">
        <v>42</v>
      </c>
      <c r="Y142">
        <v>46</v>
      </c>
      <c r="Z142">
        <v>1</v>
      </c>
      <c r="AA142">
        <v>2</v>
      </c>
      <c r="AB142" t="s">
        <v>34</v>
      </c>
      <c r="AC142">
        <v>33</v>
      </c>
      <c r="AD142">
        <v>184</v>
      </c>
      <c r="AE142">
        <v>87</v>
      </c>
      <c r="AF142" t="s">
        <v>48</v>
      </c>
      <c r="AG142">
        <v>64.599999999999994</v>
      </c>
      <c r="AH142">
        <v>6.19</v>
      </c>
      <c r="AI142">
        <v>1.01</v>
      </c>
      <c r="AJ142">
        <v>97.81</v>
      </c>
    </row>
    <row r="143" spans="10:36" x14ac:dyDescent="0.3">
      <c r="J143" t="s">
        <v>339</v>
      </c>
      <c r="K143" t="s">
        <v>68</v>
      </c>
      <c r="L143" t="s">
        <v>38</v>
      </c>
      <c r="M143" t="s">
        <v>340</v>
      </c>
      <c r="N143" t="s">
        <v>80</v>
      </c>
      <c r="O143" t="s">
        <v>41</v>
      </c>
      <c r="P143">
        <v>94</v>
      </c>
      <c r="Q143">
        <v>4</v>
      </c>
      <c r="R143">
        <v>6</v>
      </c>
      <c r="S143">
        <v>91.2</v>
      </c>
      <c r="T143">
        <v>19.2</v>
      </c>
      <c r="U143">
        <v>5.44</v>
      </c>
      <c r="V143" s="1">
        <v>45095</v>
      </c>
      <c r="W143" t="s">
        <v>33</v>
      </c>
      <c r="X143" s="1">
        <v>45237</v>
      </c>
      <c r="Z143">
        <v>0</v>
      </c>
      <c r="AA143">
        <v>3</v>
      </c>
      <c r="AB143" t="s">
        <v>61</v>
      </c>
      <c r="AC143">
        <v>30</v>
      </c>
      <c r="AD143">
        <v>181</v>
      </c>
      <c r="AE143">
        <v>73</v>
      </c>
      <c r="AF143" t="s">
        <v>70</v>
      </c>
      <c r="AG143">
        <v>40</v>
      </c>
      <c r="AH143">
        <v>7.1</v>
      </c>
      <c r="AI143">
        <v>0.91</v>
      </c>
      <c r="AJ143">
        <v>73.16</v>
      </c>
    </row>
    <row r="144" spans="10:36" x14ac:dyDescent="0.3">
      <c r="J144" t="s">
        <v>341</v>
      </c>
      <c r="K144" t="s">
        <v>64</v>
      </c>
      <c r="L144" t="s">
        <v>65</v>
      </c>
      <c r="M144" t="s">
        <v>342</v>
      </c>
      <c r="N144" t="s">
        <v>31</v>
      </c>
      <c r="O144" t="s">
        <v>41</v>
      </c>
      <c r="P144">
        <v>81</v>
      </c>
      <c r="Q144">
        <v>1</v>
      </c>
      <c r="R144">
        <v>1</v>
      </c>
      <c r="S144">
        <v>58.08</v>
      </c>
      <c r="T144">
        <v>7.4</v>
      </c>
      <c r="U144">
        <v>6.62</v>
      </c>
      <c r="V144" s="1">
        <v>45047</v>
      </c>
      <c r="W144" t="s">
        <v>47</v>
      </c>
      <c r="X144" s="1">
        <v>44973</v>
      </c>
      <c r="Z144">
        <v>0</v>
      </c>
      <c r="AA144">
        <v>3</v>
      </c>
      <c r="AB144" t="s">
        <v>43</v>
      </c>
      <c r="AC144">
        <v>36</v>
      </c>
      <c r="AD144">
        <v>189</v>
      </c>
      <c r="AE144">
        <v>86</v>
      </c>
      <c r="AF144" t="s">
        <v>35</v>
      </c>
      <c r="AG144">
        <v>59.1</v>
      </c>
      <c r="AH144">
        <v>8.83</v>
      </c>
      <c r="AI144">
        <v>1.31</v>
      </c>
      <c r="AJ144">
        <v>92.93</v>
      </c>
    </row>
    <row r="145" spans="10:36" x14ac:dyDescent="0.3">
      <c r="J145" t="s">
        <v>343</v>
      </c>
      <c r="K145" t="s">
        <v>68</v>
      </c>
      <c r="L145" t="s">
        <v>38</v>
      </c>
      <c r="M145" t="s">
        <v>344</v>
      </c>
      <c r="N145" t="s">
        <v>31</v>
      </c>
      <c r="O145" t="s">
        <v>32</v>
      </c>
      <c r="P145">
        <v>20</v>
      </c>
      <c r="Q145">
        <v>1</v>
      </c>
      <c r="R145">
        <v>2</v>
      </c>
      <c r="S145">
        <v>66.34</v>
      </c>
      <c r="T145">
        <v>10.6</v>
      </c>
      <c r="U145">
        <v>5.21</v>
      </c>
      <c r="W145" t="s">
        <v>42</v>
      </c>
      <c r="Z145">
        <v>0</v>
      </c>
      <c r="AA145">
        <v>1</v>
      </c>
      <c r="AB145" t="s">
        <v>61</v>
      </c>
      <c r="AC145">
        <v>25</v>
      </c>
      <c r="AD145">
        <v>179</v>
      </c>
      <c r="AE145">
        <v>99</v>
      </c>
      <c r="AF145" t="s">
        <v>53</v>
      </c>
      <c r="AG145">
        <v>41.5</v>
      </c>
      <c r="AH145">
        <v>6.25</v>
      </c>
      <c r="AI145">
        <v>1.34</v>
      </c>
      <c r="AJ145">
        <v>82.29</v>
      </c>
    </row>
    <row r="146" spans="10:36" x14ac:dyDescent="0.3">
      <c r="J146" t="s">
        <v>345</v>
      </c>
      <c r="K146" t="s">
        <v>37</v>
      </c>
      <c r="L146" t="s">
        <v>65</v>
      </c>
      <c r="M146" t="s">
        <v>346</v>
      </c>
      <c r="N146" t="s">
        <v>40</v>
      </c>
      <c r="O146" t="s">
        <v>32</v>
      </c>
      <c r="P146">
        <v>46</v>
      </c>
      <c r="Q146">
        <v>2</v>
      </c>
      <c r="R146">
        <v>1</v>
      </c>
      <c r="S146">
        <v>57.82</v>
      </c>
      <c r="T146">
        <v>7.4</v>
      </c>
      <c r="U146">
        <v>11.53</v>
      </c>
      <c r="W146" t="s">
        <v>42</v>
      </c>
      <c r="X146" s="1">
        <v>45164</v>
      </c>
      <c r="Y146">
        <v>88</v>
      </c>
      <c r="Z146">
        <v>0</v>
      </c>
      <c r="AA146">
        <v>0</v>
      </c>
      <c r="AB146" t="s">
        <v>43</v>
      </c>
      <c r="AC146">
        <v>39</v>
      </c>
      <c r="AD146">
        <v>180</v>
      </c>
      <c r="AE146">
        <v>87</v>
      </c>
      <c r="AF146" t="s">
        <v>53</v>
      </c>
      <c r="AG146">
        <v>47.7</v>
      </c>
      <c r="AH146">
        <v>9.36</v>
      </c>
      <c r="AI146">
        <v>0.83</v>
      </c>
      <c r="AJ146">
        <v>89.66</v>
      </c>
    </row>
    <row r="147" spans="10:36" x14ac:dyDescent="0.3">
      <c r="J147" t="s">
        <v>347</v>
      </c>
      <c r="K147" t="s">
        <v>64</v>
      </c>
      <c r="L147" t="s">
        <v>29</v>
      </c>
      <c r="M147" t="s">
        <v>348</v>
      </c>
      <c r="N147" t="s">
        <v>51</v>
      </c>
      <c r="O147" t="s">
        <v>32</v>
      </c>
      <c r="P147">
        <v>81</v>
      </c>
      <c r="Q147">
        <v>2</v>
      </c>
      <c r="R147">
        <v>2</v>
      </c>
      <c r="S147">
        <v>66.319999999999993</v>
      </c>
      <c r="T147">
        <v>10.6</v>
      </c>
      <c r="U147">
        <v>8.32</v>
      </c>
      <c r="W147" t="s">
        <v>42</v>
      </c>
      <c r="Z147">
        <v>0</v>
      </c>
      <c r="AA147">
        <v>2</v>
      </c>
      <c r="AB147" t="s">
        <v>52</v>
      </c>
      <c r="AC147">
        <v>22</v>
      </c>
      <c r="AD147">
        <v>191</v>
      </c>
      <c r="AE147">
        <v>85</v>
      </c>
      <c r="AF147" t="s">
        <v>35</v>
      </c>
      <c r="AG147">
        <v>41.8</v>
      </c>
      <c r="AH147">
        <v>6.02</v>
      </c>
      <c r="AI147">
        <v>1.19</v>
      </c>
      <c r="AJ147">
        <v>77.81</v>
      </c>
    </row>
    <row r="148" spans="10:36" x14ac:dyDescent="0.3">
      <c r="J148" t="s">
        <v>349</v>
      </c>
      <c r="K148" t="s">
        <v>28</v>
      </c>
      <c r="L148" t="s">
        <v>38</v>
      </c>
      <c r="M148" t="s">
        <v>350</v>
      </c>
      <c r="N148" t="s">
        <v>94</v>
      </c>
      <c r="O148" t="s">
        <v>32</v>
      </c>
      <c r="P148">
        <v>22</v>
      </c>
      <c r="Q148">
        <v>0</v>
      </c>
      <c r="R148">
        <v>0</v>
      </c>
      <c r="S148">
        <v>52.32</v>
      </c>
      <c r="T148">
        <v>5.8</v>
      </c>
      <c r="U148">
        <v>10.42</v>
      </c>
      <c r="V148" s="1">
        <v>45205</v>
      </c>
      <c r="W148" t="s">
        <v>47</v>
      </c>
      <c r="Z148">
        <v>0</v>
      </c>
      <c r="AA148">
        <v>3</v>
      </c>
      <c r="AB148" t="s">
        <v>34</v>
      </c>
      <c r="AC148">
        <v>37</v>
      </c>
      <c r="AD148">
        <v>180</v>
      </c>
      <c r="AE148">
        <v>61</v>
      </c>
      <c r="AF148" t="s">
        <v>53</v>
      </c>
      <c r="AG148">
        <v>58.1</v>
      </c>
      <c r="AH148">
        <v>6.99</v>
      </c>
      <c r="AI148">
        <v>1.27</v>
      </c>
      <c r="AJ148">
        <v>74.78</v>
      </c>
    </row>
    <row r="149" spans="10:36" x14ac:dyDescent="0.3">
      <c r="J149" t="s">
        <v>351</v>
      </c>
      <c r="K149" t="s">
        <v>68</v>
      </c>
      <c r="L149" t="s">
        <v>38</v>
      </c>
      <c r="M149" t="s">
        <v>352</v>
      </c>
      <c r="N149" t="s">
        <v>51</v>
      </c>
      <c r="O149" t="s">
        <v>32</v>
      </c>
      <c r="P149">
        <v>89</v>
      </c>
      <c r="Q149">
        <v>4</v>
      </c>
      <c r="R149">
        <v>2</v>
      </c>
      <c r="S149">
        <v>65.92</v>
      </c>
      <c r="T149">
        <v>10.6</v>
      </c>
      <c r="U149">
        <v>9.93</v>
      </c>
      <c r="W149" t="s">
        <v>42</v>
      </c>
      <c r="Z149">
        <v>0</v>
      </c>
      <c r="AA149">
        <v>1</v>
      </c>
      <c r="AB149" t="s">
        <v>43</v>
      </c>
      <c r="AC149">
        <v>25</v>
      </c>
      <c r="AD149">
        <v>194</v>
      </c>
      <c r="AE149">
        <v>84</v>
      </c>
      <c r="AF149" t="s">
        <v>62</v>
      </c>
      <c r="AG149">
        <v>60.6</v>
      </c>
      <c r="AH149">
        <v>8.9600000000000009</v>
      </c>
      <c r="AI149">
        <v>1.1499999999999999</v>
      </c>
      <c r="AJ149">
        <v>74.81</v>
      </c>
    </row>
    <row r="150" spans="10:36" x14ac:dyDescent="0.3">
      <c r="J150" t="s">
        <v>353</v>
      </c>
      <c r="K150" t="s">
        <v>64</v>
      </c>
      <c r="L150" t="s">
        <v>38</v>
      </c>
      <c r="M150" t="s">
        <v>354</v>
      </c>
      <c r="N150" t="s">
        <v>56</v>
      </c>
      <c r="O150" t="s">
        <v>41</v>
      </c>
      <c r="P150">
        <v>91</v>
      </c>
      <c r="Q150">
        <v>3</v>
      </c>
      <c r="R150">
        <v>2</v>
      </c>
      <c r="S150">
        <v>65.819999999999993</v>
      </c>
      <c r="T150">
        <v>10.6</v>
      </c>
      <c r="U150">
        <v>5.82</v>
      </c>
      <c r="V150" s="1">
        <v>45078</v>
      </c>
      <c r="W150" t="s">
        <v>47</v>
      </c>
      <c r="Z150">
        <v>1</v>
      </c>
      <c r="AA150">
        <v>4</v>
      </c>
      <c r="AB150" t="s">
        <v>61</v>
      </c>
      <c r="AC150">
        <v>29</v>
      </c>
      <c r="AD150">
        <v>191</v>
      </c>
      <c r="AE150">
        <v>62</v>
      </c>
      <c r="AF150" t="s">
        <v>35</v>
      </c>
      <c r="AG150">
        <v>43.4</v>
      </c>
      <c r="AH150">
        <v>7.27</v>
      </c>
      <c r="AI150">
        <v>0.65</v>
      </c>
      <c r="AJ150">
        <v>72.11</v>
      </c>
    </row>
    <row r="151" spans="10:36" x14ac:dyDescent="0.3">
      <c r="J151" t="s">
        <v>355</v>
      </c>
      <c r="K151" t="s">
        <v>64</v>
      </c>
      <c r="L151" t="s">
        <v>38</v>
      </c>
      <c r="M151" t="s">
        <v>356</v>
      </c>
      <c r="N151" t="s">
        <v>40</v>
      </c>
      <c r="O151" t="s">
        <v>41</v>
      </c>
      <c r="P151">
        <v>46</v>
      </c>
      <c r="Q151">
        <v>1</v>
      </c>
      <c r="R151">
        <v>3</v>
      </c>
      <c r="S151">
        <v>71.650000000000006</v>
      </c>
      <c r="T151">
        <v>12.7</v>
      </c>
      <c r="U151">
        <v>9.0299999999999994</v>
      </c>
      <c r="W151" t="s">
        <v>47</v>
      </c>
      <c r="Z151">
        <v>0</v>
      </c>
      <c r="AA151">
        <v>3</v>
      </c>
      <c r="AB151" t="s">
        <v>34</v>
      </c>
      <c r="AC151">
        <v>18</v>
      </c>
      <c r="AD151">
        <v>189</v>
      </c>
      <c r="AE151">
        <v>67</v>
      </c>
      <c r="AF151" t="s">
        <v>70</v>
      </c>
      <c r="AG151">
        <v>51.5</v>
      </c>
      <c r="AH151">
        <v>6.41</v>
      </c>
      <c r="AI151">
        <v>1.38</v>
      </c>
      <c r="AJ151">
        <v>75.569999999999993</v>
      </c>
    </row>
    <row r="152" spans="10:36" x14ac:dyDescent="0.3">
      <c r="J152" t="s">
        <v>357</v>
      </c>
      <c r="K152" t="s">
        <v>64</v>
      </c>
      <c r="L152" t="s">
        <v>29</v>
      </c>
      <c r="M152" t="s">
        <v>358</v>
      </c>
      <c r="N152" t="s">
        <v>31</v>
      </c>
      <c r="O152" t="s">
        <v>41</v>
      </c>
      <c r="P152">
        <v>28</v>
      </c>
      <c r="Q152">
        <v>0</v>
      </c>
      <c r="R152">
        <v>2</v>
      </c>
      <c r="S152">
        <v>65.53</v>
      </c>
      <c r="T152">
        <v>10.6</v>
      </c>
      <c r="U152">
        <v>7.21</v>
      </c>
      <c r="W152" t="s">
        <v>33</v>
      </c>
      <c r="X152" s="1">
        <v>45034</v>
      </c>
      <c r="Y152">
        <v>53</v>
      </c>
      <c r="Z152">
        <v>0</v>
      </c>
      <c r="AA152">
        <v>1</v>
      </c>
      <c r="AB152" t="s">
        <v>43</v>
      </c>
      <c r="AC152">
        <v>38</v>
      </c>
      <c r="AD152">
        <v>198</v>
      </c>
      <c r="AE152">
        <v>92</v>
      </c>
      <c r="AF152" t="s">
        <v>53</v>
      </c>
      <c r="AG152">
        <v>53.7</v>
      </c>
      <c r="AH152">
        <v>7.44</v>
      </c>
      <c r="AI152">
        <v>1.04</v>
      </c>
      <c r="AJ152">
        <v>89.93</v>
      </c>
    </row>
    <row r="153" spans="10:36" x14ac:dyDescent="0.3">
      <c r="J153" t="s">
        <v>359</v>
      </c>
      <c r="K153" t="s">
        <v>37</v>
      </c>
      <c r="L153" t="s">
        <v>38</v>
      </c>
      <c r="M153" t="s">
        <v>360</v>
      </c>
      <c r="N153" t="s">
        <v>94</v>
      </c>
      <c r="O153" t="s">
        <v>41</v>
      </c>
      <c r="P153">
        <v>81</v>
      </c>
      <c r="Q153">
        <v>0</v>
      </c>
      <c r="R153">
        <v>2</v>
      </c>
      <c r="S153">
        <v>65.5</v>
      </c>
      <c r="T153">
        <v>10.4</v>
      </c>
      <c r="U153">
        <v>9.18</v>
      </c>
      <c r="V153" s="1">
        <v>45192</v>
      </c>
      <c r="W153" t="s">
        <v>47</v>
      </c>
      <c r="Z153">
        <v>0</v>
      </c>
      <c r="AA153">
        <v>0</v>
      </c>
      <c r="AB153" t="s">
        <v>52</v>
      </c>
      <c r="AC153">
        <v>37</v>
      </c>
      <c r="AD153">
        <v>171</v>
      </c>
      <c r="AE153">
        <v>94</v>
      </c>
      <c r="AF153" t="s">
        <v>48</v>
      </c>
      <c r="AG153">
        <v>51.1</v>
      </c>
      <c r="AH153">
        <v>7.08</v>
      </c>
      <c r="AI153">
        <v>0.78</v>
      </c>
      <c r="AJ153">
        <v>96.45</v>
      </c>
    </row>
    <row r="154" spans="10:36" x14ac:dyDescent="0.3">
      <c r="J154" t="s">
        <v>361</v>
      </c>
      <c r="K154" t="s">
        <v>28</v>
      </c>
      <c r="L154" t="s">
        <v>38</v>
      </c>
      <c r="M154" t="s">
        <v>362</v>
      </c>
      <c r="N154" t="s">
        <v>40</v>
      </c>
      <c r="O154" t="s">
        <v>32</v>
      </c>
      <c r="P154">
        <v>56</v>
      </c>
      <c r="Q154">
        <v>1</v>
      </c>
      <c r="R154">
        <v>5</v>
      </c>
      <c r="S154">
        <v>84.69</v>
      </c>
      <c r="T154">
        <v>16.899999999999999</v>
      </c>
      <c r="U154">
        <v>7.04</v>
      </c>
      <c r="W154" t="s">
        <v>43</v>
      </c>
      <c r="X154" s="1">
        <v>45206</v>
      </c>
      <c r="Z154">
        <v>0</v>
      </c>
      <c r="AA154">
        <v>0</v>
      </c>
      <c r="AB154" t="s">
        <v>61</v>
      </c>
      <c r="AC154">
        <v>23</v>
      </c>
      <c r="AD154">
        <v>177</v>
      </c>
      <c r="AE154">
        <v>65</v>
      </c>
      <c r="AF154" t="s">
        <v>44</v>
      </c>
      <c r="AG154">
        <v>43.6</v>
      </c>
      <c r="AH154">
        <v>9.3699999999999992</v>
      </c>
      <c r="AI154">
        <v>0.93</v>
      </c>
      <c r="AJ154">
        <v>94.42</v>
      </c>
    </row>
    <row r="155" spans="10:36" x14ac:dyDescent="0.3">
      <c r="J155" t="s">
        <v>363</v>
      </c>
      <c r="K155" t="s">
        <v>37</v>
      </c>
      <c r="L155" t="s">
        <v>82</v>
      </c>
      <c r="M155" t="s">
        <v>364</v>
      </c>
      <c r="N155" t="s">
        <v>40</v>
      </c>
      <c r="O155" t="s">
        <v>41</v>
      </c>
      <c r="P155">
        <v>70</v>
      </c>
      <c r="Q155">
        <v>0</v>
      </c>
      <c r="R155">
        <v>0</v>
      </c>
      <c r="S155">
        <v>52.2</v>
      </c>
      <c r="T155">
        <v>5.8</v>
      </c>
      <c r="U155">
        <v>13.4</v>
      </c>
      <c r="W155" t="s">
        <v>43</v>
      </c>
      <c r="Y155">
        <v>24</v>
      </c>
      <c r="Z155">
        <v>0</v>
      </c>
      <c r="AA155">
        <v>3</v>
      </c>
      <c r="AB155" t="s">
        <v>61</v>
      </c>
      <c r="AC155">
        <v>39</v>
      </c>
      <c r="AD155">
        <v>180</v>
      </c>
      <c r="AE155">
        <v>98</v>
      </c>
      <c r="AF155" t="s">
        <v>53</v>
      </c>
      <c r="AG155">
        <v>52.6</v>
      </c>
      <c r="AH155">
        <v>7.25</v>
      </c>
      <c r="AI155">
        <v>0.54</v>
      </c>
      <c r="AJ155">
        <v>90.55</v>
      </c>
    </row>
    <row r="156" spans="10:36" x14ac:dyDescent="0.3">
      <c r="J156" t="s">
        <v>365</v>
      </c>
      <c r="K156" t="s">
        <v>64</v>
      </c>
      <c r="L156" t="s">
        <v>38</v>
      </c>
      <c r="M156" t="s">
        <v>366</v>
      </c>
      <c r="N156" t="s">
        <v>51</v>
      </c>
      <c r="O156" t="s">
        <v>41</v>
      </c>
      <c r="P156">
        <v>63</v>
      </c>
      <c r="Q156">
        <v>0</v>
      </c>
      <c r="R156">
        <v>6</v>
      </c>
      <c r="S156">
        <v>90.97</v>
      </c>
      <c r="T156">
        <v>19.100000000000001</v>
      </c>
      <c r="U156">
        <v>6.74</v>
      </c>
      <c r="W156" t="s">
        <v>33</v>
      </c>
      <c r="X156" s="1">
        <v>45059</v>
      </c>
      <c r="Z156">
        <v>0</v>
      </c>
      <c r="AA156">
        <v>3</v>
      </c>
      <c r="AB156" t="s">
        <v>43</v>
      </c>
      <c r="AC156">
        <v>35</v>
      </c>
      <c r="AD156">
        <v>172</v>
      </c>
      <c r="AE156">
        <v>82</v>
      </c>
      <c r="AF156" t="s">
        <v>48</v>
      </c>
      <c r="AG156">
        <v>62.5</v>
      </c>
      <c r="AH156">
        <v>9.16</v>
      </c>
      <c r="AI156">
        <v>0.63</v>
      </c>
      <c r="AJ156">
        <v>73.31</v>
      </c>
    </row>
    <row r="157" spans="10:36" x14ac:dyDescent="0.3">
      <c r="J157" t="s">
        <v>367</v>
      </c>
      <c r="K157" t="s">
        <v>64</v>
      </c>
      <c r="L157" t="s">
        <v>65</v>
      </c>
      <c r="M157" t="s">
        <v>368</v>
      </c>
      <c r="N157" t="s">
        <v>31</v>
      </c>
      <c r="O157" t="s">
        <v>41</v>
      </c>
      <c r="P157">
        <v>43</v>
      </c>
      <c r="Q157">
        <v>0</v>
      </c>
      <c r="R157">
        <v>3</v>
      </c>
      <c r="S157">
        <v>71.59</v>
      </c>
      <c r="T157">
        <v>12.7</v>
      </c>
      <c r="U157">
        <v>14.61</v>
      </c>
      <c r="W157" t="s">
        <v>47</v>
      </c>
      <c r="Y157">
        <v>52</v>
      </c>
      <c r="Z157">
        <v>0</v>
      </c>
      <c r="AA157">
        <v>2</v>
      </c>
      <c r="AB157" t="s">
        <v>52</v>
      </c>
      <c r="AC157">
        <v>25</v>
      </c>
      <c r="AD157">
        <v>180</v>
      </c>
      <c r="AE157">
        <v>84</v>
      </c>
      <c r="AF157" t="s">
        <v>44</v>
      </c>
      <c r="AG157">
        <v>42.1</v>
      </c>
      <c r="AH157">
        <v>9.57</v>
      </c>
      <c r="AI157">
        <v>1.27</v>
      </c>
      <c r="AJ157">
        <v>78.680000000000007</v>
      </c>
    </row>
    <row r="158" spans="10:36" x14ac:dyDescent="0.3">
      <c r="J158" t="s">
        <v>369</v>
      </c>
      <c r="K158" t="s">
        <v>37</v>
      </c>
      <c r="L158" t="s">
        <v>38</v>
      </c>
      <c r="M158" t="s">
        <v>370</v>
      </c>
      <c r="N158" t="s">
        <v>40</v>
      </c>
      <c r="O158" t="s">
        <v>32</v>
      </c>
      <c r="P158">
        <v>78</v>
      </c>
      <c r="Q158">
        <v>4</v>
      </c>
      <c r="R158">
        <v>5</v>
      </c>
      <c r="S158">
        <v>84.69</v>
      </c>
      <c r="T158">
        <v>16.899999999999999</v>
      </c>
      <c r="U158">
        <v>9.16</v>
      </c>
      <c r="V158" s="1">
        <v>45277</v>
      </c>
      <c r="W158" t="s">
        <v>42</v>
      </c>
      <c r="Y158">
        <v>57</v>
      </c>
      <c r="Z158">
        <v>0</v>
      </c>
      <c r="AA158">
        <v>1</v>
      </c>
      <c r="AB158" t="s">
        <v>34</v>
      </c>
      <c r="AC158">
        <v>24</v>
      </c>
      <c r="AD158">
        <v>167</v>
      </c>
      <c r="AE158">
        <v>78</v>
      </c>
      <c r="AF158" t="s">
        <v>48</v>
      </c>
      <c r="AG158">
        <v>42.4</v>
      </c>
      <c r="AH158">
        <v>7.74</v>
      </c>
      <c r="AI158">
        <v>0.5</v>
      </c>
      <c r="AJ158">
        <v>79.290000000000006</v>
      </c>
    </row>
    <row r="159" spans="10:36" x14ac:dyDescent="0.3">
      <c r="J159" t="s">
        <v>371</v>
      </c>
      <c r="K159" t="s">
        <v>28</v>
      </c>
      <c r="L159" t="s">
        <v>29</v>
      </c>
      <c r="M159" t="s">
        <v>372</v>
      </c>
      <c r="N159" t="s">
        <v>80</v>
      </c>
      <c r="O159" t="s">
        <v>41</v>
      </c>
      <c r="P159">
        <v>51</v>
      </c>
      <c r="Q159">
        <v>3</v>
      </c>
      <c r="R159">
        <v>4</v>
      </c>
      <c r="S159">
        <v>78.03</v>
      </c>
      <c r="T159">
        <v>14.6</v>
      </c>
      <c r="U159">
        <v>13.46</v>
      </c>
      <c r="V159" s="1">
        <v>45094</v>
      </c>
      <c r="W159" t="s">
        <v>33</v>
      </c>
      <c r="Z159">
        <v>0</v>
      </c>
      <c r="AA159">
        <v>3</v>
      </c>
      <c r="AB159" t="s">
        <v>61</v>
      </c>
      <c r="AC159">
        <v>18</v>
      </c>
      <c r="AD159">
        <v>199</v>
      </c>
      <c r="AE159">
        <v>64</v>
      </c>
      <c r="AF159" t="s">
        <v>48</v>
      </c>
      <c r="AG159">
        <v>50.6</v>
      </c>
      <c r="AH159">
        <v>9.64</v>
      </c>
      <c r="AI159">
        <v>0.92</v>
      </c>
      <c r="AJ159">
        <v>77.5</v>
      </c>
    </row>
    <row r="160" spans="10:36" x14ac:dyDescent="0.3">
      <c r="J160" t="s">
        <v>373</v>
      </c>
      <c r="K160" t="s">
        <v>28</v>
      </c>
      <c r="L160" t="s">
        <v>29</v>
      </c>
      <c r="M160" t="s">
        <v>374</v>
      </c>
      <c r="N160" t="s">
        <v>56</v>
      </c>
      <c r="O160" t="s">
        <v>41</v>
      </c>
      <c r="P160">
        <v>71</v>
      </c>
      <c r="Q160">
        <v>0</v>
      </c>
      <c r="R160">
        <v>0</v>
      </c>
      <c r="S160">
        <v>52.11</v>
      </c>
      <c r="T160">
        <v>5.7</v>
      </c>
      <c r="U160">
        <v>11.29</v>
      </c>
      <c r="V160" s="1">
        <v>45164</v>
      </c>
      <c r="W160" t="s">
        <v>33</v>
      </c>
      <c r="Z160">
        <v>0</v>
      </c>
      <c r="AA160">
        <v>2</v>
      </c>
      <c r="AB160" t="s">
        <v>34</v>
      </c>
      <c r="AC160">
        <v>38</v>
      </c>
      <c r="AD160">
        <v>166</v>
      </c>
      <c r="AE160">
        <v>70</v>
      </c>
      <c r="AF160" t="s">
        <v>35</v>
      </c>
      <c r="AG160">
        <v>68.3</v>
      </c>
      <c r="AH160">
        <v>7.51</v>
      </c>
      <c r="AI160">
        <v>1.02</v>
      </c>
      <c r="AJ160">
        <v>85.45</v>
      </c>
    </row>
    <row r="161" spans="10:36" x14ac:dyDescent="0.3">
      <c r="J161" t="s">
        <v>375</v>
      </c>
      <c r="K161" t="s">
        <v>64</v>
      </c>
      <c r="L161" t="s">
        <v>38</v>
      </c>
      <c r="M161" t="s">
        <v>376</v>
      </c>
      <c r="N161" t="s">
        <v>75</v>
      </c>
      <c r="O161" t="s">
        <v>32</v>
      </c>
      <c r="P161">
        <v>81</v>
      </c>
      <c r="Q161">
        <v>3</v>
      </c>
      <c r="R161">
        <v>0</v>
      </c>
      <c r="S161">
        <v>52.03</v>
      </c>
      <c r="T161">
        <v>5.7</v>
      </c>
      <c r="U161">
        <v>12.35</v>
      </c>
      <c r="V161" s="1">
        <v>45220</v>
      </c>
      <c r="W161" t="s">
        <v>47</v>
      </c>
      <c r="Z161">
        <v>0</v>
      </c>
      <c r="AA161">
        <v>2</v>
      </c>
      <c r="AB161" t="s">
        <v>43</v>
      </c>
      <c r="AC161">
        <v>33</v>
      </c>
      <c r="AD161">
        <v>182</v>
      </c>
      <c r="AE161">
        <v>71</v>
      </c>
      <c r="AF161" t="s">
        <v>35</v>
      </c>
      <c r="AG161">
        <v>60.1</v>
      </c>
      <c r="AH161">
        <v>9.86</v>
      </c>
      <c r="AI161">
        <v>0.55000000000000004</v>
      </c>
      <c r="AJ161">
        <v>86.07</v>
      </c>
    </row>
    <row r="162" spans="10:36" x14ac:dyDescent="0.3">
      <c r="J162" t="s">
        <v>377</v>
      </c>
      <c r="K162" t="s">
        <v>37</v>
      </c>
      <c r="L162" t="s">
        <v>38</v>
      </c>
      <c r="M162" t="s">
        <v>378</v>
      </c>
      <c r="N162" t="s">
        <v>94</v>
      </c>
      <c r="O162" t="s">
        <v>41</v>
      </c>
      <c r="P162">
        <v>77</v>
      </c>
      <c r="Q162">
        <v>1</v>
      </c>
      <c r="R162">
        <v>4</v>
      </c>
      <c r="S162">
        <v>77.47</v>
      </c>
      <c r="T162">
        <v>14.5</v>
      </c>
      <c r="U162">
        <v>12.68</v>
      </c>
      <c r="V162" s="1">
        <v>45250</v>
      </c>
      <c r="W162" t="s">
        <v>43</v>
      </c>
      <c r="X162" s="1">
        <v>45147</v>
      </c>
      <c r="Z162">
        <v>0</v>
      </c>
      <c r="AA162">
        <v>3</v>
      </c>
      <c r="AB162" t="s">
        <v>61</v>
      </c>
      <c r="AC162">
        <v>29</v>
      </c>
      <c r="AD162">
        <v>191</v>
      </c>
      <c r="AE162">
        <v>69</v>
      </c>
      <c r="AF162" t="s">
        <v>70</v>
      </c>
      <c r="AG162">
        <v>60.4</v>
      </c>
      <c r="AH162">
        <v>6.36</v>
      </c>
      <c r="AI162">
        <v>1.47</v>
      </c>
      <c r="AJ162">
        <v>80.709999999999994</v>
      </c>
    </row>
    <row r="163" spans="10:36" x14ac:dyDescent="0.3">
      <c r="J163" t="s">
        <v>379</v>
      </c>
      <c r="K163" t="s">
        <v>64</v>
      </c>
      <c r="L163" t="s">
        <v>38</v>
      </c>
      <c r="M163" t="s">
        <v>380</v>
      </c>
      <c r="N163" t="s">
        <v>80</v>
      </c>
      <c r="O163" t="s">
        <v>32</v>
      </c>
      <c r="P163">
        <v>71</v>
      </c>
      <c r="Q163">
        <v>2</v>
      </c>
      <c r="R163">
        <v>6</v>
      </c>
      <c r="S163">
        <v>90.89</v>
      </c>
      <c r="T163">
        <v>19.100000000000001</v>
      </c>
      <c r="U163">
        <v>10.050000000000001</v>
      </c>
      <c r="V163" s="1">
        <v>44951</v>
      </c>
      <c r="W163" t="s">
        <v>47</v>
      </c>
      <c r="X163" s="1">
        <v>44999</v>
      </c>
      <c r="Y163">
        <v>79</v>
      </c>
      <c r="Z163">
        <v>0</v>
      </c>
      <c r="AA163">
        <v>0</v>
      </c>
      <c r="AB163" t="s">
        <v>52</v>
      </c>
      <c r="AC163">
        <v>23</v>
      </c>
      <c r="AD163">
        <v>170</v>
      </c>
      <c r="AE163">
        <v>67</v>
      </c>
      <c r="AF163" t="s">
        <v>48</v>
      </c>
      <c r="AG163">
        <v>50.9</v>
      </c>
      <c r="AH163">
        <v>8.75</v>
      </c>
      <c r="AI163">
        <v>0.73</v>
      </c>
      <c r="AJ163">
        <v>80.61</v>
      </c>
    </row>
    <row r="164" spans="10:36" x14ac:dyDescent="0.3">
      <c r="J164" t="s">
        <v>381</v>
      </c>
      <c r="K164" t="s">
        <v>64</v>
      </c>
      <c r="L164" t="s">
        <v>29</v>
      </c>
      <c r="M164" t="s">
        <v>382</v>
      </c>
      <c r="N164" t="s">
        <v>31</v>
      </c>
      <c r="O164" t="s">
        <v>32</v>
      </c>
      <c r="P164">
        <v>31</v>
      </c>
      <c r="Q164">
        <v>0</v>
      </c>
      <c r="R164">
        <v>2</v>
      </c>
      <c r="S164">
        <v>65.14</v>
      </c>
      <c r="T164">
        <v>10.4</v>
      </c>
      <c r="U164">
        <v>10.43</v>
      </c>
      <c r="V164" s="1">
        <v>45133</v>
      </c>
      <c r="W164" t="s">
        <v>47</v>
      </c>
      <c r="Z164">
        <v>1</v>
      </c>
      <c r="AA164">
        <v>1</v>
      </c>
      <c r="AB164" t="s">
        <v>61</v>
      </c>
      <c r="AC164">
        <v>37</v>
      </c>
      <c r="AD164">
        <v>181</v>
      </c>
      <c r="AE164">
        <v>83</v>
      </c>
      <c r="AF164" t="s">
        <v>62</v>
      </c>
      <c r="AG164">
        <v>57.8</v>
      </c>
      <c r="AH164">
        <v>7.98</v>
      </c>
      <c r="AI164">
        <v>0.8</v>
      </c>
      <c r="AJ164">
        <v>94.86</v>
      </c>
    </row>
    <row r="165" spans="10:36" x14ac:dyDescent="0.3">
      <c r="J165" t="s">
        <v>383</v>
      </c>
      <c r="K165" t="s">
        <v>37</v>
      </c>
      <c r="L165" t="s">
        <v>29</v>
      </c>
      <c r="M165" t="s">
        <v>384</v>
      </c>
      <c r="N165" t="s">
        <v>56</v>
      </c>
      <c r="O165" t="s">
        <v>32</v>
      </c>
      <c r="P165">
        <v>58</v>
      </c>
      <c r="Q165">
        <v>4</v>
      </c>
      <c r="R165">
        <v>5</v>
      </c>
      <c r="S165">
        <v>84.16</v>
      </c>
      <c r="T165">
        <v>16.8</v>
      </c>
      <c r="U165">
        <v>10.14</v>
      </c>
      <c r="V165" s="1">
        <v>45284</v>
      </c>
      <c r="W165" t="s">
        <v>33</v>
      </c>
      <c r="X165" s="1">
        <v>45209</v>
      </c>
      <c r="Z165">
        <v>0</v>
      </c>
      <c r="AA165">
        <v>1</v>
      </c>
      <c r="AB165" t="s">
        <v>52</v>
      </c>
      <c r="AC165">
        <v>19</v>
      </c>
      <c r="AD165">
        <v>181</v>
      </c>
      <c r="AE165">
        <v>87</v>
      </c>
      <c r="AF165" t="s">
        <v>35</v>
      </c>
      <c r="AG165">
        <v>40.299999999999997</v>
      </c>
      <c r="AH165">
        <v>7.55</v>
      </c>
      <c r="AI165">
        <v>0.8</v>
      </c>
      <c r="AJ165">
        <v>93.68</v>
      </c>
    </row>
    <row r="166" spans="10:36" x14ac:dyDescent="0.3">
      <c r="J166" t="s">
        <v>385</v>
      </c>
      <c r="K166" t="s">
        <v>64</v>
      </c>
      <c r="L166" t="s">
        <v>29</v>
      </c>
      <c r="M166" t="s">
        <v>386</v>
      </c>
      <c r="N166" t="s">
        <v>51</v>
      </c>
      <c r="O166" t="s">
        <v>41</v>
      </c>
      <c r="P166">
        <v>21</v>
      </c>
      <c r="Q166">
        <v>1</v>
      </c>
      <c r="R166">
        <v>1</v>
      </c>
      <c r="S166">
        <v>57.29</v>
      </c>
      <c r="T166">
        <v>7.3</v>
      </c>
      <c r="U166">
        <v>10.88</v>
      </c>
      <c r="V166" s="1">
        <v>45245</v>
      </c>
      <c r="W166" t="s">
        <v>33</v>
      </c>
      <c r="Z166">
        <v>0</v>
      </c>
      <c r="AA166">
        <v>0</v>
      </c>
      <c r="AB166" t="s">
        <v>61</v>
      </c>
      <c r="AC166">
        <v>31</v>
      </c>
      <c r="AD166">
        <v>184</v>
      </c>
      <c r="AE166">
        <v>95</v>
      </c>
      <c r="AF166" t="s">
        <v>48</v>
      </c>
      <c r="AG166">
        <v>59.1</v>
      </c>
      <c r="AH166">
        <v>8.5299999999999994</v>
      </c>
      <c r="AI166">
        <v>0.73</v>
      </c>
      <c r="AJ166">
        <v>79.23</v>
      </c>
    </row>
    <row r="167" spans="10:36" x14ac:dyDescent="0.3">
      <c r="J167" t="s">
        <v>387</v>
      </c>
      <c r="K167" t="s">
        <v>68</v>
      </c>
      <c r="L167" t="s">
        <v>38</v>
      </c>
      <c r="M167" t="s">
        <v>388</v>
      </c>
      <c r="N167" t="s">
        <v>31</v>
      </c>
      <c r="O167" t="s">
        <v>41</v>
      </c>
      <c r="P167">
        <v>22</v>
      </c>
      <c r="Q167">
        <v>3</v>
      </c>
      <c r="R167">
        <v>3</v>
      </c>
      <c r="S167">
        <v>71.45</v>
      </c>
      <c r="T167">
        <v>12.6</v>
      </c>
      <c r="U167">
        <v>5.29</v>
      </c>
      <c r="W167" t="s">
        <v>47</v>
      </c>
      <c r="Z167">
        <v>0</v>
      </c>
      <c r="AA167">
        <v>3</v>
      </c>
      <c r="AB167" t="s">
        <v>34</v>
      </c>
      <c r="AC167">
        <v>21</v>
      </c>
      <c r="AD167">
        <v>181</v>
      </c>
      <c r="AE167">
        <v>96</v>
      </c>
      <c r="AF167" t="s">
        <v>44</v>
      </c>
      <c r="AG167">
        <v>67.400000000000006</v>
      </c>
      <c r="AH167">
        <v>8.82</v>
      </c>
      <c r="AI167">
        <v>0.5</v>
      </c>
      <c r="AJ167">
        <v>97.41</v>
      </c>
    </row>
    <row r="168" spans="10:36" x14ac:dyDescent="0.3">
      <c r="J168" t="s">
        <v>389</v>
      </c>
      <c r="K168" t="s">
        <v>68</v>
      </c>
      <c r="L168" t="s">
        <v>29</v>
      </c>
      <c r="M168" t="s">
        <v>390</v>
      </c>
      <c r="N168" t="s">
        <v>75</v>
      </c>
      <c r="O168" t="s">
        <v>32</v>
      </c>
      <c r="P168">
        <v>75</v>
      </c>
      <c r="Q168">
        <v>1</v>
      </c>
      <c r="R168">
        <v>1</v>
      </c>
      <c r="S168">
        <v>57.22</v>
      </c>
      <c r="T168">
        <v>7.3</v>
      </c>
      <c r="U168">
        <v>8.9600000000000009</v>
      </c>
      <c r="W168" t="s">
        <v>33</v>
      </c>
      <c r="Z168">
        <v>0</v>
      </c>
      <c r="AA168">
        <v>1</v>
      </c>
      <c r="AB168" t="s">
        <v>61</v>
      </c>
      <c r="AC168">
        <v>18</v>
      </c>
      <c r="AD168">
        <v>187</v>
      </c>
      <c r="AE168">
        <v>80</v>
      </c>
      <c r="AF168" t="s">
        <v>44</v>
      </c>
      <c r="AG168">
        <v>58.4</v>
      </c>
      <c r="AH168">
        <v>6.02</v>
      </c>
      <c r="AI168">
        <v>1.23</v>
      </c>
      <c r="AJ168">
        <v>98.58</v>
      </c>
    </row>
    <row r="169" spans="10:36" x14ac:dyDescent="0.3">
      <c r="J169" t="s">
        <v>391</v>
      </c>
      <c r="K169" t="s">
        <v>64</v>
      </c>
      <c r="L169" t="s">
        <v>38</v>
      </c>
      <c r="M169" t="s">
        <v>392</v>
      </c>
      <c r="N169" t="s">
        <v>31</v>
      </c>
      <c r="O169" t="s">
        <v>32</v>
      </c>
      <c r="P169">
        <v>78</v>
      </c>
      <c r="Q169">
        <v>0</v>
      </c>
      <c r="R169">
        <v>4</v>
      </c>
      <c r="S169">
        <v>77.040000000000006</v>
      </c>
      <c r="T169">
        <v>14.5</v>
      </c>
      <c r="U169">
        <v>11.06</v>
      </c>
      <c r="W169" t="s">
        <v>47</v>
      </c>
      <c r="Z169">
        <v>0</v>
      </c>
      <c r="AA169">
        <v>3</v>
      </c>
      <c r="AB169" t="s">
        <v>61</v>
      </c>
      <c r="AC169">
        <v>35</v>
      </c>
      <c r="AD169">
        <v>188</v>
      </c>
      <c r="AE169">
        <v>67</v>
      </c>
      <c r="AF169" t="s">
        <v>62</v>
      </c>
      <c r="AG169">
        <v>66.2</v>
      </c>
      <c r="AH169">
        <v>6.67</v>
      </c>
      <c r="AI169">
        <v>1.47</v>
      </c>
      <c r="AJ169">
        <v>79.8</v>
      </c>
    </row>
    <row r="170" spans="10:36" x14ac:dyDescent="0.3">
      <c r="J170" t="s">
        <v>393</v>
      </c>
      <c r="K170" t="s">
        <v>37</v>
      </c>
      <c r="L170" t="s">
        <v>82</v>
      </c>
      <c r="M170" t="s">
        <v>394</v>
      </c>
      <c r="N170" t="s">
        <v>40</v>
      </c>
      <c r="O170" t="s">
        <v>41</v>
      </c>
      <c r="P170">
        <v>21</v>
      </c>
      <c r="Q170">
        <v>0</v>
      </c>
      <c r="R170">
        <v>0</v>
      </c>
      <c r="S170">
        <v>52</v>
      </c>
      <c r="T170">
        <v>5.7</v>
      </c>
      <c r="U170">
        <v>10.98</v>
      </c>
      <c r="V170" s="1">
        <v>45096</v>
      </c>
      <c r="W170" t="s">
        <v>42</v>
      </c>
      <c r="Z170">
        <v>1</v>
      </c>
      <c r="AA170">
        <v>3</v>
      </c>
      <c r="AB170" t="s">
        <v>34</v>
      </c>
      <c r="AC170">
        <v>30</v>
      </c>
      <c r="AD170">
        <v>172</v>
      </c>
      <c r="AE170">
        <v>68</v>
      </c>
      <c r="AF170" t="s">
        <v>70</v>
      </c>
      <c r="AG170">
        <v>61.7</v>
      </c>
      <c r="AH170">
        <v>8.85</v>
      </c>
      <c r="AI170">
        <v>0.72</v>
      </c>
      <c r="AJ170">
        <v>80.63</v>
      </c>
    </row>
    <row r="171" spans="10:36" x14ac:dyDescent="0.3">
      <c r="J171" t="s">
        <v>395</v>
      </c>
      <c r="K171" t="s">
        <v>28</v>
      </c>
      <c r="L171" t="s">
        <v>38</v>
      </c>
      <c r="M171" t="s">
        <v>396</v>
      </c>
      <c r="N171" t="s">
        <v>40</v>
      </c>
      <c r="O171" t="s">
        <v>32</v>
      </c>
      <c r="P171">
        <v>21</v>
      </c>
      <c r="Q171">
        <v>2</v>
      </c>
      <c r="R171">
        <v>6</v>
      </c>
      <c r="S171">
        <v>90.79</v>
      </c>
      <c r="T171">
        <v>19</v>
      </c>
      <c r="U171">
        <v>12.93</v>
      </c>
      <c r="W171" t="s">
        <v>43</v>
      </c>
      <c r="Y171">
        <v>55</v>
      </c>
      <c r="Z171">
        <v>1</v>
      </c>
      <c r="AA171">
        <v>2</v>
      </c>
      <c r="AB171" t="s">
        <v>52</v>
      </c>
      <c r="AC171">
        <v>19</v>
      </c>
      <c r="AD171">
        <v>177</v>
      </c>
      <c r="AE171">
        <v>74</v>
      </c>
      <c r="AF171" t="s">
        <v>62</v>
      </c>
      <c r="AG171">
        <v>43.6</v>
      </c>
      <c r="AH171">
        <v>8.67</v>
      </c>
      <c r="AI171">
        <v>1.1599999999999999</v>
      </c>
      <c r="AJ171">
        <v>85.17</v>
      </c>
    </row>
    <row r="172" spans="10:36" x14ac:dyDescent="0.3">
      <c r="J172" t="s">
        <v>397</v>
      </c>
      <c r="K172" t="s">
        <v>28</v>
      </c>
      <c r="L172" t="s">
        <v>29</v>
      </c>
      <c r="M172" t="s">
        <v>398</v>
      </c>
      <c r="N172" t="s">
        <v>51</v>
      </c>
      <c r="O172" t="s">
        <v>41</v>
      </c>
      <c r="P172">
        <v>73</v>
      </c>
      <c r="Q172">
        <v>1</v>
      </c>
      <c r="R172">
        <v>0</v>
      </c>
      <c r="S172">
        <v>51.99</v>
      </c>
      <c r="T172">
        <v>5.7</v>
      </c>
      <c r="U172">
        <v>11.55</v>
      </c>
      <c r="W172" t="s">
        <v>47</v>
      </c>
      <c r="Z172">
        <v>1</v>
      </c>
      <c r="AA172">
        <v>0</v>
      </c>
      <c r="AB172" t="s">
        <v>61</v>
      </c>
      <c r="AC172">
        <v>26</v>
      </c>
      <c r="AD172">
        <v>161</v>
      </c>
      <c r="AE172">
        <v>99</v>
      </c>
      <c r="AF172" t="s">
        <v>62</v>
      </c>
      <c r="AG172">
        <v>67.099999999999994</v>
      </c>
      <c r="AH172">
        <v>9.86</v>
      </c>
      <c r="AI172">
        <v>1.24</v>
      </c>
      <c r="AJ172">
        <v>98.23</v>
      </c>
    </row>
    <row r="173" spans="10:36" x14ac:dyDescent="0.3">
      <c r="J173" t="s">
        <v>399</v>
      </c>
      <c r="K173" t="s">
        <v>37</v>
      </c>
      <c r="L173" t="s">
        <v>38</v>
      </c>
      <c r="M173" t="s">
        <v>400</v>
      </c>
      <c r="N173" t="s">
        <v>40</v>
      </c>
      <c r="O173" t="s">
        <v>32</v>
      </c>
      <c r="P173">
        <v>20</v>
      </c>
      <c r="Q173">
        <v>0</v>
      </c>
      <c r="R173">
        <v>3</v>
      </c>
      <c r="S173">
        <v>71.34</v>
      </c>
      <c r="T173">
        <v>12.5</v>
      </c>
      <c r="U173">
        <v>14.92</v>
      </c>
      <c r="W173" t="s">
        <v>33</v>
      </c>
      <c r="X173" s="1">
        <v>45029</v>
      </c>
      <c r="Z173">
        <v>0</v>
      </c>
      <c r="AA173">
        <v>3</v>
      </c>
      <c r="AB173" t="s">
        <v>34</v>
      </c>
      <c r="AC173">
        <v>38</v>
      </c>
      <c r="AD173">
        <v>188</v>
      </c>
      <c r="AE173">
        <v>77</v>
      </c>
      <c r="AF173" t="s">
        <v>35</v>
      </c>
      <c r="AG173">
        <v>42</v>
      </c>
      <c r="AH173">
        <v>9.0399999999999991</v>
      </c>
      <c r="AI173">
        <v>1.35</v>
      </c>
      <c r="AJ173">
        <v>96.29</v>
      </c>
    </row>
    <row r="174" spans="10:36" x14ac:dyDescent="0.3">
      <c r="J174" t="s">
        <v>401</v>
      </c>
      <c r="K174" t="s">
        <v>28</v>
      </c>
      <c r="L174" t="s">
        <v>29</v>
      </c>
      <c r="M174" t="s">
        <v>402</v>
      </c>
      <c r="N174" t="s">
        <v>31</v>
      </c>
      <c r="O174" t="s">
        <v>32</v>
      </c>
      <c r="P174">
        <v>38</v>
      </c>
      <c r="Q174">
        <v>4</v>
      </c>
      <c r="R174">
        <v>0</v>
      </c>
      <c r="S174">
        <v>51.69</v>
      </c>
      <c r="T174">
        <v>5.6</v>
      </c>
      <c r="U174">
        <v>7.84</v>
      </c>
      <c r="W174" t="s">
        <v>43</v>
      </c>
      <c r="X174" s="1">
        <v>45156</v>
      </c>
      <c r="Z174">
        <v>0</v>
      </c>
      <c r="AA174">
        <v>4</v>
      </c>
      <c r="AB174" t="s">
        <v>61</v>
      </c>
      <c r="AC174">
        <v>19</v>
      </c>
      <c r="AD174">
        <v>180</v>
      </c>
      <c r="AE174">
        <v>79</v>
      </c>
      <c r="AF174" t="s">
        <v>35</v>
      </c>
      <c r="AG174">
        <v>56</v>
      </c>
      <c r="AH174">
        <v>9.8000000000000007</v>
      </c>
      <c r="AI174">
        <v>0.92</v>
      </c>
      <c r="AJ174">
        <v>73.08</v>
      </c>
    </row>
    <row r="175" spans="10:36" x14ac:dyDescent="0.3">
      <c r="J175" t="s">
        <v>403</v>
      </c>
      <c r="K175" t="s">
        <v>37</v>
      </c>
      <c r="L175" t="s">
        <v>38</v>
      </c>
      <c r="M175" t="s">
        <v>404</v>
      </c>
      <c r="N175" t="s">
        <v>80</v>
      </c>
      <c r="O175" t="s">
        <v>32</v>
      </c>
      <c r="P175">
        <v>21</v>
      </c>
      <c r="Q175">
        <v>3</v>
      </c>
      <c r="R175">
        <v>0</v>
      </c>
      <c r="S175">
        <v>51.65</v>
      </c>
      <c r="T175">
        <v>5.6</v>
      </c>
      <c r="U175">
        <v>8.59</v>
      </c>
      <c r="V175" s="1">
        <v>44944</v>
      </c>
      <c r="W175" t="s">
        <v>47</v>
      </c>
      <c r="X175" s="1">
        <v>45047</v>
      </c>
      <c r="Z175">
        <v>0</v>
      </c>
      <c r="AA175">
        <v>0</v>
      </c>
      <c r="AB175" t="s">
        <v>61</v>
      </c>
      <c r="AC175">
        <v>26</v>
      </c>
      <c r="AD175">
        <v>174</v>
      </c>
      <c r="AE175">
        <v>65</v>
      </c>
      <c r="AF175" t="s">
        <v>53</v>
      </c>
      <c r="AG175">
        <v>44.3</v>
      </c>
      <c r="AH175">
        <v>8.81</v>
      </c>
      <c r="AI175">
        <v>0.8</v>
      </c>
      <c r="AJ175">
        <v>81.78</v>
      </c>
    </row>
    <row r="176" spans="10:36" x14ac:dyDescent="0.3">
      <c r="J176" t="s">
        <v>405</v>
      </c>
      <c r="K176" t="s">
        <v>68</v>
      </c>
      <c r="L176" t="s">
        <v>65</v>
      </c>
      <c r="M176" t="s">
        <v>406</v>
      </c>
      <c r="N176" t="s">
        <v>80</v>
      </c>
      <c r="O176" t="s">
        <v>32</v>
      </c>
      <c r="P176">
        <v>72</v>
      </c>
      <c r="Q176">
        <v>1</v>
      </c>
      <c r="R176">
        <v>3</v>
      </c>
      <c r="S176">
        <v>71.290000000000006</v>
      </c>
      <c r="T176">
        <v>12.5</v>
      </c>
      <c r="U176">
        <v>8.84</v>
      </c>
      <c r="W176" t="s">
        <v>33</v>
      </c>
      <c r="Z176">
        <v>0</v>
      </c>
      <c r="AA176">
        <v>1</v>
      </c>
      <c r="AB176" t="s">
        <v>52</v>
      </c>
      <c r="AC176">
        <v>18</v>
      </c>
      <c r="AD176">
        <v>186</v>
      </c>
      <c r="AE176">
        <v>71</v>
      </c>
      <c r="AF176" t="s">
        <v>44</v>
      </c>
      <c r="AG176">
        <v>40.4</v>
      </c>
      <c r="AH176">
        <v>7.19</v>
      </c>
      <c r="AI176">
        <v>0.83</v>
      </c>
      <c r="AJ176">
        <v>86.6</v>
      </c>
    </row>
    <row r="177" spans="10:36" x14ac:dyDescent="0.3">
      <c r="J177" t="s">
        <v>407</v>
      </c>
      <c r="K177" t="s">
        <v>68</v>
      </c>
      <c r="L177" t="s">
        <v>29</v>
      </c>
      <c r="M177" t="s">
        <v>408</v>
      </c>
      <c r="N177" t="s">
        <v>51</v>
      </c>
      <c r="O177" t="s">
        <v>32</v>
      </c>
      <c r="P177">
        <v>63</v>
      </c>
      <c r="Q177">
        <v>1</v>
      </c>
      <c r="R177">
        <v>5</v>
      </c>
      <c r="S177">
        <v>84.13</v>
      </c>
      <c r="T177">
        <v>16.7</v>
      </c>
      <c r="U177">
        <v>9.66</v>
      </c>
      <c r="W177" t="s">
        <v>43</v>
      </c>
      <c r="Z177">
        <v>0</v>
      </c>
      <c r="AA177">
        <v>2</v>
      </c>
      <c r="AB177" t="s">
        <v>34</v>
      </c>
      <c r="AC177">
        <v>28</v>
      </c>
      <c r="AD177">
        <v>190</v>
      </c>
      <c r="AE177">
        <v>61</v>
      </c>
      <c r="AF177" t="s">
        <v>53</v>
      </c>
      <c r="AG177">
        <v>52.7</v>
      </c>
      <c r="AH177">
        <v>6.42</v>
      </c>
      <c r="AI177">
        <v>1.21</v>
      </c>
      <c r="AJ177">
        <v>85.09</v>
      </c>
    </row>
    <row r="178" spans="10:36" x14ac:dyDescent="0.3">
      <c r="J178" t="s">
        <v>409</v>
      </c>
      <c r="K178" t="s">
        <v>28</v>
      </c>
      <c r="L178" t="s">
        <v>29</v>
      </c>
      <c r="M178" t="s">
        <v>410</v>
      </c>
      <c r="N178" t="s">
        <v>31</v>
      </c>
      <c r="O178" t="s">
        <v>41</v>
      </c>
      <c r="P178">
        <v>51</v>
      </c>
      <c r="Q178">
        <v>2</v>
      </c>
      <c r="R178">
        <v>5</v>
      </c>
      <c r="S178">
        <v>84.05</v>
      </c>
      <c r="T178">
        <v>16.600000000000001</v>
      </c>
      <c r="U178">
        <v>13.36</v>
      </c>
      <c r="V178" s="1">
        <v>44942</v>
      </c>
      <c r="W178" t="s">
        <v>43</v>
      </c>
      <c r="X178" s="1">
        <v>45054</v>
      </c>
      <c r="Z178">
        <v>0</v>
      </c>
      <c r="AA178">
        <v>1</v>
      </c>
      <c r="AB178" t="s">
        <v>61</v>
      </c>
      <c r="AC178">
        <v>20</v>
      </c>
      <c r="AD178">
        <v>174</v>
      </c>
      <c r="AE178">
        <v>66</v>
      </c>
      <c r="AF178" t="s">
        <v>62</v>
      </c>
      <c r="AG178">
        <v>48.9</v>
      </c>
      <c r="AH178">
        <v>9.1300000000000008</v>
      </c>
      <c r="AI178">
        <v>1.32</v>
      </c>
      <c r="AJ178">
        <v>75.819999999999993</v>
      </c>
    </row>
    <row r="179" spans="10:36" x14ac:dyDescent="0.3">
      <c r="J179" t="s">
        <v>411</v>
      </c>
      <c r="K179" t="s">
        <v>37</v>
      </c>
      <c r="L179" t="s">
        <v>65</v>
      </c>
      <c r="M179" t="s">
        <v>412</v>
      </c>
      <c r="N179" t="s">
        <v>31</v>
      </c>
      <c r="O179" t="s">
        <v>32</v>
      </c>
      <c r="P179">
        <v>89</v>
      </c>
      <c r="Q179">
        <v>2</v>
      </c>
      <c r="R179">
        <v>3</v>
      </c>
      <c r="S179">
        <v>71.2</v>
      </c>
      <c r="T179">
        <v>12.4</v>
      </c>
      <c r="U179">
        <v>7.36</v>
      </c>
      <c r="W179" t="s">
        <v>33</v>
      </c>
      <c r="Z179">
        <v>1</v>
      </c>
      <c r="AA179">
        <v>1</v>
      </c>
      <c r="AB179" t="s">
        <v>43</v>
      </c>
      <c r="AC179">
        <v>37</v>
      </c>
      <c r="AD179">
        <v>182</v>
      </c>
      <c r="AE179">
        <v>75</v>
      </c>
      <c r="AF179" t="s">
        <v>62</v>
      </c>
      <c r="AG179">
        <v>54.6</v>
      </c>
      <c r="AH179">
        <v>8.58</v>
      </c>
      <c r="AI179">
        <v>0.68</v>
      </c>
      <c r="AJ179">
        <v>95.76</v>
      </c>
    </row>
    <row r="180" spans="10:36" x14ac:dyDescent="0.3">
      <c r="J180" t="s">
        <v>413</v>
      </c>
      <c r="K180" t="s">
        <v>37</v>
      </c>
      <c r="L180" t="s">
        <v>38</v>
      </c>
      <c r="M180" t="s">
        <v>414</v>
      </c>
      <c r="N180" t="s">
        <v>40</v>
      </c>
      <c r="O180" t="s">
        <v>41</v>
      </c>
      <c r="P180">
        <v>51</v>
      </c>
      <c r="Q180">
        <v>4</v>
      </c>
      <c r="R180">
        <v>6</v>
      </c>
      <c r="S180">
        <v>90.67</v>
      </c>
      <c r="T180">
        <v>19</v>
      </c>
      <c r="U180">
        <v>12.76</v>
      </c>
      <c r="V180" s="1">
        <v>45149</v>
      </c>
      <c r="W180" t="s">
        <v>47</v>
      </c>
      <c r="X180" s="1">
        <v>45267</v>
      </c>
      <c r="Z180">
        <v>0</v>
      </c>
      <c r="AA180">
        <v>0</v>
      </c>
      <c r="AB180" t="s">
        <v>61</v>
      </c>
      <c r="AC180">
        <v>21</v>
      </c>
      <c r="AD180">
        <v>183</v>
      </c>
      <c r="AE180">
        <v>62</v>
      </c>
      <c r="AF180" t="s">
        <v>70</v>
      </c>
      <c r="AG180">
        <v>57.3</v>
      </c>
      <c r="AH180">
        <v>6.19</v>
      </c>
      <c r="AI180">
        <v>0.87</v>
      </c>
      <c r="AJ180">
        <v>90.31</v>
      </c>
    </row>
    <row r="181" spans="10:36" x14ac:dyDescent="0.3">
      <c r="J181" t="s">
        <v>415</v>
      </c>
      <c r="K181" t="s">
        <v>28</v>
      </c>
      <c r="L181" t="s">
        <v>38</v>
      </c>
      <c r="M181" t="s">
        <v>416</v>
      </c>
      <c r="N181" t="s">
        <v>94</v>
      </c>
      <c r="O181" t="s">
        <v>32</v>
      </c>
      <c r="P181">
        <v>87</v>
      </c>
      <c r="Q181">
        <v>4</v>
      </c>
      <c r="R181">
        <v>4</v>
      </c>
      <c r="S181">
        <v>76.92</v>
      </c>
      <c r="T181">
        <v>14.4</v>
      </c>
      <c r="U181">
        <v>9.0500000000000007</v>
      </c>
      <c r="W181" t="s">
        <v>42</v>
      </c>
      <c r="Z181">
        <v>0</v>
      </c>
      <c r="AA181">
        <v>1</v>
      </c>
      <c r="AB181" t="s">
        <v>52</v>
      </c>
      <c r="AC181">
        <v>35</v>
      </c>
      <c r="AD181">
        <v>172</v>
      </c>
      <c r="AE181">
        <v>62</v>
      </c>
      <c r="AF181" t="s">
        <v>48</v>
      </c>
      <c r="AG181">
        <v>41.3</v>
      </c>
      <c r="AH181">
        <v>7.44</v>
      </c>
      <c r="AI181">
        <v>1.4</v>
      </c>
      <c r="AJ181">
        <v>95.14</v>
      </c>
    </row>
    <row r="182" spans="10:36" x14ac:dyDescent="0.3">
      <c r="J182" t="s">
        <v>417</v>
      </c>
      <c r="K182" t="s">
        <v>68</v>
      </c>
      <c r="L182" t="s">
        <v>65</v>
      </c>
      <c r="M182" t="s">
        <v>418</v>
      </c>
      <c r="N182" t="s">
        <v>75</v>
      </c>
      <c r="O182" t="s">
        <v>41</v>
      </c>
      <c r="P182">
        <v>74</v>
      </c>
      <c r="Q182">
        <v>0</v>
      </c>
      <c r="R182">
        <v>0</v>
      </c>
      <c r="S182">
        <v>51.59</v>
      </c>
      <c r="T182">
        <v>5.6</v>
      </c>
      <c r="U182">
        <v>11.02</v>
      </c>
      <c r="W182" t="s">
        <v>47</v>
      </c>
      <c r="Z182">
        <v>0</v>
      </c>
      <c r="AA182">
        <v>3</v>
      </c>
      <c r="AB182" t="s">
        <v>43</v>
      </c>
      <c r="AC182">
        <v>23</v>
      </c>
      <c r="AD182">
        <v>181</v>
      </c>
      <c r="AE182">
        <v>86</v>
      </c>
      <c r="AF182" t="s">
        <v>44</v>
      </c>
      <c r="AG182">
        <v>43.7</v>
      </c>
      <c r="AH182">
        <v>9.83</v>
      </c>
      <c r="AI182">
        <v>1.31</v>
      </c>
      <c r="AJ182">
        <v>95.76</v>
      </c>
    </row>
    <row r="183" spans="10:36" x14ac:dyDescent="0.3">
      <c r="J183" t="s">
        <v>419</v>
      </c>
      <c r="K183" t="s">
        <v>68</v>
      </c>
      <c r="L183" t="s">
        <v>38</v>
      </c>
      <c r="M183" t="s">
        <v>420</v>
      </c>
      <c r="N183" t="s">
        <v>51</v>
      </c>
      <c r="O183" t="s">
        <v>32</v>
      </c>
      <c r="P183">
        <v>94</v>
      </c>
      <c r="Q183">
        <v>0</v>
      </c>
      <c r="R183">
        <v>6</v>
      </c>
      <c r="S183">
        <v>90.65</v>
      </c>
      <c r="T183">
        <v>19</v>
      </c>
      <c r="U183">
        <v>11.33</v>
      </c>
      <c r="V183" s="1">
        <v>45242</v>
      </c>
      <c r="W183" t="s">
        <v>43</v>
      </c>
      <c r="X183" s="1">
        <v>44979</v>
      </c>
      <c r="Z183">
        <v>0</v>
      </c>
      <c r="AA183">
        <v>1</v>
      </c>
      <c r="AB183" t="s">
        <v>52</v>
      </c>
      <c r="AC183">
        <v>20</v>
      </c>
      <c r="AD183">
        <v>196</v>
      </c>
      <c r="AE183">
        <v>99</v>
      </c>
      <c r="AF183" t="s">
        <v>35</v>
      </c>
      <c r="AG183">
        <v>56.8</v>
      </c>
      <c r="AH183">
        <v>8</v>
      </c>
      <c r="AI183">
        <v>1.48</v>
      </c>
      <c r="AJ183">
        <v>92.45</v>
      </c>
    </row>
    <row r="184" spans="10:36" x14ac:dyDescent="0.3">
      <c r="J184" t="s">
        <v>421</v>
      </c>
      <c r="K184" t="s">
        <v>28</v>
      </c>
      <c r="L184" t="s">
        <v>29</v>
      </c>
      <c r="M184" t="s">
        <v>422</v>
      </c>
      <c r="N184" t="s">
        <v>40</v>
      </c>
      <c r="O184" t="s">
        <v>41</v>
      </c>
      <c r="P184">
        <v>75</v>
      </c>
      <c r="Q184">
        <v>4</v>
      </c>
      <c r="R184">
        <v>0</v>
      </c>
      <c r="S184">
        <v>51.57</v>
      </c>
      <c r="T184">
        <v>5.5</v>
      </c>
      <c r="U184">
        <v>8.73</v>
      </c>
      <c r="V184" s="1">
        <v>45255</v>
      </c>
      <c r="W184" t="s">
        <v>33</v>
      </c>
      <c r="Z184">
        <v>0</v>
      </c>
      <c r="AA184">
        <v>2</v>
      </c>
      <c r="AB184" t="s">
        <v>34</v>
      </c>
      <c r="AC184">
        <v>39</v>
      </c>
      <c r="AD184">
        <v>192</v>
      </c>
      <c r="AE184">
        <v>97</v>
      </c>
      <c r="AF184" t="s">
        <v>48</v>
      </c>
      <c r="AG184">
        <v>50.3</v>
      </c>
      <c r="AH184">
        <v>7.73</v>
      </c>
      <c r="AI184">
        <v>1.25</v>
      </c>
      <c r="AJ184">
        <v>83.18</v>
      </c>
    </row>
    <row r="185" spans="10:36" x14ac:dyDescent="0.3">
      <c r="J185" t="s">
        <v>423</v>
      </c>
      <c r="K185" t="s">
        <v>28</v>
      </c>
      <c r="L185" t="s">
        <v>38</v>
      </c>
      <c r="M185" t="s">
        <v>424</v>
      </c>
      <c r="N185" t="s">
        <v>31</v>
      </c>
      <c r="O185" t="s">
        <v>32</v>
      </c>
      <c r="P185">
        <v>36</v>
      </c>
      <c r="Q185">
        <v>4</v>
      </c>
      <c r="R185">
        <v>4</v>
      </c>
      <c r="S185">
        <v>76.88</v>
      </c>
      <c r="T185">
        <v>14.4</v>
      </c>
      <c r="U185">
        <v>10.130000000000001</v>
      </c>
      <c r="W185" t="s">
        <v>43</v>
      </c>
      <c r="X185" s="1">
        <v>45001</v>
      </c>
      <c r="Z185">
        <v>0</v>
      </c>
      <c r="AA185">
        <v>2</v>
      </c>
      <c r="AB185" t="s">
        <v>34</v>
      </c>
      <c r="AC185">
        <v>28</v>
      </c>
      <c r="AD185">
        <v>162</v>
      </c>
      <c r="AE185">
        <v>92</v>
      </c>
      <c r="AF185" t="s">
        <v>44</v>
      </c>
      <c r="AG185">
        <v>61.9</v>
      </c>
      <c r="AH185">
        <v>7.83</v>
      </c>
      <c r="AI185">
        <v>0.89</v>
      </c>
      <c r="AJ185">
        <v>88.32</v>
      </c>
    </row>
    <row r="186" spans="10:36" x14ac:dyDescent="0.3">
      <c r="J186" t="s">
        <v>425</v>
      </c>
      <c r="K186" t="s">
        <v>28</v>
      </c>
      <c r="L186" t="s">
        <v>29</v>
      </c>
      <c r="M186" t="s">
        <v>426</v>
      </c>
      <c r="N186" t="s">
        <v>75</v>
      </c>
      <c r="O186" t="s">
        <v>41</v>
      </c>
      <c r="P186">
        <v>57</v>
      </c>
      <c r="Q186">
        <v>3</v>
      </c>
      <c r="R186">
        <v>5</v>
      </c>
      <c r="S186">
        <v>83.92</v>
      </c>
      <c r="T186">
        <v>16.5</v>
      </c>
      <c r="U186">
        <v>9.1300000000000008</v>
      </c>
      <c r="W186" t="s">
        <v>47</v>
      </c>
      <c r="Z186">
        <v>0</v>
      </c>
      <c r="AA186">
        <v>4</v>
      </c>
      <c r="AB186" t="s">
        <v>43</v>
      </c>
      <c r="AC186">
        <v>32</v>
      </c>
      <c r="AD186">
        <v>178</v>
      </c>
      <c r="AE186">
        <v>87</v>
      </c>
      <c r="AF186" t="s">
        <v>70</v>
      </c>
      <c r="AG186">
        <v>59.6</v>
      </c>
      <c r="AH186">
        <v>6.84</v>
      </c>
      <c r="AI186">
        <v>1.0900000000000001</v>
      </c>
      <c r="AJ186">
        <v>74.81</v>
      </c>
    </row>
    <row r="187" spans="10:36" x14ac:dyDescent="0.3">
      <c r="J187" t="s">
        <v>427</v>
      </c>
      <c r="K187" t="s">
        <v>64</v>
      </c>
      <c r="L187" t="s">
        <v>38</v>
      </c>
      <c r="M187" t="s">
        <v>428</v>
      </c>
      <c r="N187" t="s">
        <v>94</v>
      </c>
      <c r="O187" t="s">
        <v>41</v>
      </c>
      <c r="P187">
        <v>43</v>
      </c>
      <c r="Q187">
        <v>2</v>
      </c>
      <c r="R187">
        <v>6</v>
      </c>
      <c r="S187">
        <v>90.53</v>
      </c>
      <c r="T187">
        <v>18.899999999999999</v>
      </c>
      <c r="U187">
        <v>5.69</v>
      </c>
      <c r="V187" s="1">
        <v>44937</v>
      </c>
      <c r="W187" t="s">
        <v>42</v>
      </c>
      <c r="Z187">
        <v>0</v>
      </c>
      <c r="AA187">
        <v>2</v>
      </c>
      <c r="AB187" t="s">
        <v>43</v>
      </c>
      <c r="AC187">
        <v>39</v>
      </c>
      <c r="AD187">
        <v>182</v>
      </c>
      <c r="AE187">
        <v>60</v>
      </c>
      <c r="AF187" t="s">
        <v>70</v>
      </c>
      <c r="AG187">
        <v>65.400000000000006</v>
      </c>
      <c r="AH187">
        <v>7.47</v>
      </c>
      <c r="AI187">
        <v>1.1599999999999999</v>
      </c>
      <c r="AJ187">
        <v>90.21</v>
      </c>
    </row>
    <row r="188" spans="10:36" x14ac:dyDescent="0.3">
      <c r="J188" t="s">
        <v>429</v>
      </c>
      <c r="K188" t="s">
        <v>28</v>
      </c>
      <c r="L188" t="s">
        <v>29</v>
      </c>
      <c r="M188" t="s">
        <v>430</v>
      </c>
      <c r="N188" t="s">
        <v>51</v>
      </c>
      <c r="O188" t="s">
        <v>41</v>
      </c>
      <c r="P188">
        <v>88</v>
      </c>
      <c r="Q188">
        <v>0</v>
      </c>
      <c r="R188">
        <v>2</v>
      </c>
      <c r="S188">
        <v>65.11</v>
      </c>
      <c r="T188">
        <v>10.3</v>
      </c>
      <c r="U188">
        <v>9.3699999999999992</v>
      </c>
      <c r="W188" t="s">
        <v>42</v>
      </c>
      <c r="Z188">
        <v>1</v>
      </c>
      <c r="AA188">
        <v>1</v>
      </c>
      <c r="AB188" t="s">
        <v>34</v>
      </c>
      <c r="AC188">
        <v>22</v>
      </c>
      <c r="AD188">
        <v>188</v>
      </c>
      <c r="AE188">
        <v>67</v>
      </c>
      <c r="AF188" t="s">
        <v>35</v>
      </c>
      <c r="AG188">
        <v>60.8</v>
      </c>
      <c r="AH188">
        <v>7.48</v>
      </c>
      <c r="AI188">
        <v>0.57999999999999996</v>
      </c>
      <c r="AJ188">
        <v>75.38</v>
      </c>
    </row>
    <row r="189" spans="10:36" x14ac:dyDescent="0.3">
      <c r="J189" t="s">
        <v>431</v>
      </c>
      <c r="K189" t="s">
        <v>68</v>
      </c>
      <c r="L189" t="s">
        <v>29</v>
      </c>
      <c r="M189" t="s">
        <v>432</v>
      </c>
      <c r="N189" t="s">
        <v>75</v>
      </c>
      <c r="O189" t="s">
        <v>41</v>
      </c>
      <c r="P189">
        <v>89</v>
      </c>
      <c r="Q189">
        <v>2</v>
      </c>
      <c r="R189">
        <v>2</v>
      </c>
      <c r="S189">
        <v>65.03</v>
      </c>
      <c r="T189">
        <v>10.3</v>
      </c>
      <c r="U189">
        <v>5.97</v>
      </c>
      <c r="W189" t="s">
        <v>47</v>
      </c>
      <c r="Z189">
        <v>1</v>
      </c>
      <c r="AA189">
        <v>2</v>
      </c>
      <c r="AB189" t="s">
        <v>61</v>
      </c>
      <c r="AC189">
        <v>37</v>
      </c>
      <c r="AD189">
        <v>189</v>
      </c>
      <c r="AE189">
        <v>96</v>
      </c>
      <c r="AF189" t="s">
        <v>62</v>
      </c>
      <c r="AG189">
        <v>52.9</v>
      </c>
      <c r="AH189">
        <v>6.21</v>
      </c>
      <c r="AI189">
        <v>1.04</v>
      </c>
      <c r="AJ189">
        <v>90.82</v>
      </c>
    </row>
    <row r="190" spans="10:36" x14ac:dyDescent="0.3">
      <c r="J190" t="s">
        <v>433</v>
      </c>
      <c r="K190" t="s">
        <v>37</v>
      </c>
      <c r="L190" t="s">
        <v>38</v>
      </c>
      <c r="M190" t="s">
        <v>434</v>
      </c>
      <c r="N190" t="s">
        <v>75</v>
      </c>
      <c r="O190" t="s">
        <v>41</v>
      </c>
      <c r="P190">
        <v>30</v>
      </c>
      <c r="Q190">
        <v>2</v>
      </c>
      <c r="R190">
        <v>2</v>
      </c>
      <c r="S190">
        <v>64.81</v>
      </c>
      <c r="T190">
        <v>10.3</v>
      </c>
      <c r="U190">
        <v>9.0500000000000007</v>
      </c>
      <c r="W190" t="s">
        <v>42</v>
      </c>
      <c r="Z190">
        <v>0</v>
      </c>
      <c r="AA190">
        <v>0</v>
      </c>
      <c r="AB190" t="s">
        <v>43</v>
      </c>
      <c r="AC190">
        <v>27</v>
      </c>
      <c r="AD190">
        <v>198</v>
      </c>
      <c r="AE190">
        <v>91</v>
      </c>
      <c r="AF190" t="s">
        <v>62</v>
      </c>
      <c r="AG190">
        <v>60.2</v>
      </c>
      <c r="AH190">
        <v>9.07</v>
      </c>
      <c r="AI190">
        <v>1.21</v>
      </c>
      <c r="AJ190">
        <v>76.89</v>
      </c>
    </row>
    <row r="191" spans="10:36" x14ac:dyDescent="0.3">
      <c r="J191" t="s">
        <v>435</v>
      </c>
      <c r="K191" t="s">
        <v>68</v>
      </c>
      <c r="L191" t="s">
        <v>38</v>
      </c>
      <c r="M191" t="s">
        <v>436</v>
      </c>
      <c r="N191" t="s">
        <v>51</v>
      </c>
      <c r="O191" t="s">
        <v>32</v>
      </c>
      <c r="P191">
        <v>35</v>
      </c>
      <c r="Q191">
        <v>4</v>
      </c>
      <c r="R191">
        <v>5</v>
      </c>
      <c r="S191">
        <v>83.65</v>
      </c>
      <c r="T191">
        <v>16.399999999999999</v>
      </c>
      <c r="U191">
        <v>10.93</v>
      </c>
      <c r="W191" t="s">
        <v>42</v>
      </c>
      <c r="Z191">
        <v>0</v>
      </c>
      <c r="AA191">
        <v>2</v>
      </c>
      <c r="AB191" t="s">
        <v>61</v>
      </c>
      <c r="AC191">
        <v>29</v>
      </c>
      <c r="AD191">
        <v>184</v>
      </c>
      <c r="AE191">
        <v>96</v>
      </c>
      <c r="AF191" t="s">
        <v>48</v>
      </c>
      <c r="AG191">
        <v>48.3</v>
      </c>
      <c r="AH191">
        <v>7.67</v>
      </c>
      <c r="AI191">
        <v>0.67</v>
      </c>
      <c r="AJ191">
        <v>73.53</v>
      </c>
    </row>
    <row r="192" spans="10:36" x14ac:dyDescent="0.3">
      <c r="J192" t="s">
        <v>437</v>
      </c>
      <c r="K192" t="s">
        <v>28</v>
      </c>
      <c r="L192" t="s">
        <v>29</v>
      </c>
      <c r="M192" t="s">
        <v>438</v>
      </c>
      <c r="N192" t="s">
        <v>94</v>
      </c>
      <c r="O192" t="s">
        <v>41</v>
      </c>
      <c r="P192">
        <v>92</v>
      </c>
      <c r="Q192">
        <v>3</v>
      </c>
      <c r="R192">
        <v>5</v>
      </c>
      <c r="S192">
        <v>83.53</v>
      </c>
      <c r="T192">
        <v>16.399999999999999</v>
      </c>
      <c r="U192">
        <v>10.79</v>
      </c>
      <c r="W192" t="s">
        <v>43</v>
      </c>
      <c r="X192" s="1">
        <v>44958</v>
      </c>
      <c r="Y192">
        <v>52</v>
      </c>
      <c r="Z192">
        <v>1</v>
      </c>
      <c r="AA192">
        <v>3</v>
      </c>
      <c r="AB192" t="s">
        <v>61</v>
      </c>
      <c r="AC192">
        <v>32</v>
      </c>
      <c r="AD192">
        <v>196</v>
      </c>
      <c r="AE192">
        <v>63</v>
      </c>
      <c r="AF192" t="s">
        <v>48</v>
      </c>
      <c r="AG192">
        <v>49.2</v>
      </c>
      <c r="AH192">
        <v>9.2899999999999991</v>
      </c>
      <c r="AI192">
        <v>1.28</v>
      </c>
      <c r="AJ192">
        <v>74.959999999999994</v>
      </c>
    </row>
    <row r="193" spans="10:36" x14ac:dyDescent="0.3">
      <c r="J193" t="s">
        <v>439</v>
      </c>
      <c r="K193" t="s">
        <v>37</v>
      </c>
      <c r="L193" t="s">
        <v>38</v>
      </c>
      <c r="M193" t="s">
        <v>440</v>
      </c>
      <c r="N193" t="s">
        <v>40</v>
      </c>
      <c r="O193" t="s">
        <v>32</v>
      </c>
      <c r="P193">
        <v>78</v>
      </c>
      <c r="Q193">
        <v>1</v>
      </c>
      <c r="R193">
        <v>4</v>
      </c>
      <c r="S193">
        <v>76.510000000000005</v>
      </c>
      <c r="T193">
        <v>14.4</v>
      </c>
      <c r="U193">
        <v>11.63</v>
      </c>
      <c r="V193" s="1">
        <v>45096</v>
      </c>
      <c r="W193" t="s">
        <v>43</v>
      </c>
      <c r="Y193">
        <v>30</v>
      </c>
      <c r="Z193">
        <v>1</v>
      </c>
      <c r="AA193">
        <v>0</v>
      </c>
      <c r="AB193" t="s">
        <v>34</v>
      </c>
      <c r="AC193">
        <v>34</v>
      </c>
      <c r="AD193">
        <v>167</v>
      </c>
      <c r="AE193">
        <v>89</v>
      </c>
      <c r="AF193" t="s">
        <v>53</v>
      </c>
      <c r="AG193">
        <v>63.7</v>
      </c>
      <c r="AH193">
        <v>9.4</v>
      </c>
      <c r="AI193">
        <v>1.08</v>
      </c>
      <c r="AJ193">
        <v>70.06</v>
      </c>
    </row>
    <row r="194" spans="10:36" x14ac:dyDescent="0.3">
      <c r="J194" t="s">
        <v>441</v>
      </c>
      <c r="K194" t="s">
        <v>28</v>
      </c>
      <c r="L194" t="s">
        <v>29</v>
      </c>
      <c r="M194" t="s">
        <v>442</v>
      </c>
      <c r="N194" t="s">
        <v>75</v>
      </c>
      <c r="O194" t="s">
        <v>41</v>
      </c>
      <c r="P194">
        <v>89</v>
      </c>
      <c r="Q194">
        <v>3</v>
      </c>
      <c r="R194">
        <v>0</v>
      </c>
      <c r="S194">
        <v>51.54</v>
      </c>
      <c r="T194">
        <v>5.5</v>
      </c>
      <c r="U194">
        <v>5.95</v>
      </c>
      <c r="W194" t="s">
        <v>42</v>
      </c>
      <c r="Z194">
        <v>0</v>
      </c>
      <c r="AA194">
        <v>4</v>
      </c>
      <c r="AB194" t="s">
        <v>52</v>
      </c>
      <c r="AC194">
        <v>27</v>
      </c>
      <c r="AD194">
        <v>175</v>
      </c>
      <c r="AE194">
        <v>65</v>
      </c>
      <c r="AF194" t="s">
        <v>48</v>
      </c>
      <c r="AG194">
        <v>53.4</v>
      </c>
      <c r="AH194">
        <v>6.85</v>
      </c>
      <c r="AI194">
        <v>1.45</v>
      </c>
      <c r="AJ194">
        <v>91.56</v>
      </c>
    </row>
    <row r="195" spans="10:36" x14ac:dyDescent="0.3">
      <c r="J195" t="s">
        <v>443</v>
      </c>
      <c r="K195" t="s">
        <v>28</v>
      </c>
      <c r="L195" t="s">
        <v>29</v>
      </c>
      <c r="M195" t="s">
        <v>444</v>
      </c>
      <c r="N195" t="s">
        <v>40</v>
      </c>
      <c r="O195" t="s">
        <v>41</v>
      </c>
      <c r="P195">
        <v>22</v>
      </c>
      <c r="Q195">
        <v>3</v>
      </c>
      <c r="R195">
        <v>4</v>
      </c>
      <c r="S195">
        <v>76.48</v>
      </c>
      <c r="T195">
        <v>14.4</v>
      </c>
      <c r="U195">
        <v>11.52</v>
      </c>
      <c r="V195" s="1">
        <v>45257</v>
      </c>
      <c r="W195" t="s">
        <v>33</v>
      </c>
      <c r="X195" s="1">
        <v>45165</v>
      </c>
      <c r="Z195">
        <v>0</v>
      </c>
      <c r="AA195">
        <v>3</v>
      </c>
      <c r="AB195" t="s">
        <v>52</v>
      </c>
      <c r="AC195">
        <v>23</v>
      </c>
      <c r="AD195">
        <v>167</v>
      </c>
      <c r="AE195">
        <v>78</v>
      </c>
      <c r="AF195" t="s">
        <v>48</v>
      </c>
      <c r="AG195">
        <v>64</v>
      </c>
      <c r="AH195">
        <v>8.6300000000000008</v>
      </c>
      <c r="AI195">
        <v>0.54</v>
      </c>
      <c r="AJ195">
        <v>91.97</v>
      </c>
    </row>
    <row r="196" spans="10:36" x14ac:dyDescent="0.3">
      <c r="J196" t="s">
        <v>445</v>
      </c>
      <c r="K196" t="s">
        <v>68</v>
      </c>
      <c r="L196" t="s">
        <v>29</v>
      </c>
      <c r="M196" t="s">
        <v>446</v>
      </c>
      <c r="N196" t="s">
        <v>75</v>
      </c>
      <c r="O196" t="s">
        <v>41</v>
      </c>
      <c r="P196">
        <v>39</v>
      </c>
      <c r="Q196">
        <v>2</v>
      </c>
      <c r="R196">
        <v>4</v>
      </c>
      <c r="S196">
        <v>76.47</v>
      </c>
      <c r="T196">
        <v>14.3</v>
      </c>
      <c r="U196">
        <v>8.1199999999999992</v>
      </c>
      <c r="W196" t="s">
        <v>42</v>
      </c>
      <c r="Z196">
        <v>0</v>
      </c>
      <c r="AA196">
        <v>1</v>
      </c>
      <c r="AB196" t="s">
        <v>52</v>
      </c>
      <c r="AC196">
        <v>35</v>
      </c>
      <c r="AD196">
        <v>160</v>
      </c>
      <c r="AE196">
        <v>91</v>
      </c>
      <c r="AF196" t="s">
        <v>48</v>
      </c>
      <c r="AG196">
        <v>64.7</v>
      </c>
      <c r="AH196">
        <v>7.89</v>
      </c>
      <c r="AI196">
        <v>0.77</v>
      </c>
      <c r="AJ196">
        <v>85.45</v>
      </c>
    </row>
    <row r="197" spans="10:36" x14ac:dyDescent="0.3">
      <c r="J197" t="s">
        <v>447</v>
      </c>
      <c r="K197" t="s">
        <v>64</v>
      </c>
      <c r="L197" t="s">
        <v>29</v>
      </c>
      <c r="M197" t="s">
        <v>448</v>
      </c>
      <c r="N197" t="s">
        <v>75</v>
      </c>
      <c r="O197" t="s">
        <v>32</v>
      </c>
      <c r="P197">
        <v>78</v>
      </c>
      <c r="Q197">
        <v>3</v>
      </c>
      <c r="R197">
        <v>5</v>
      </c>
      <c r="S197">
        <v>83.45</v>
      </c>
      <c r="T197">
        <v>16.3</v>
      </c>
      <c r="U197">
        <v>8.99</v>
      </c>
      <c r="W197" t="s">
        <v>47</v>
      </c>
      <c r="Z197">
        <v>1</v>
      </c>
      <c r="AA197">
        <v>1</v>
      </c>
      <c r="AB197" t="s">
        <v>43</v>
      </c>
      <c r="AC197">
        <v>30</v>
      </c>
      <c r="AD197">
        <v>164</v>
      </c>
      <c r="AE197">
        <v>68</v>
      </c>
      <c r="AF197" t="s">
        <v>48</v>
      </c>
      <c r="AG197">
        <v>65.7</v>
      </c>
      <c r="AH197">
        <v>9.52</v>
      </c>
      <c r="AI197">
        <v>1.1000000000000001</v>
      </c>
      <c r="AJ197">
        <v>74.84</v>
      </c>
    </row>
    <row r="198" spans="10:36" x14ac:dyDescent="0.3">
      <c r="J198" t="s">
        <v>449</v>
      </c>
      <c r="K198" t="s">
        <v>28</v>
      </c>
      <c r="L198" t="s">
        <v>38</v>
      </c>
      <c r="M198" t="s">
        <v>450</v>
      </c>
      <c r="N198" t="s">
        <v>56</v>
      </c>
      <c r="O198" t="s">
        <v>41</v>
      </c>
      <c r="P198">
        <v>55</v>
      </c>
      <c r="Q198">
        <v>0</v>
      </c>
      <c r="R198">
        <v>2</v>
      </c>
      <c r="S198">
        <v>64.69</v>
      </c>
      <c r="T198">
        <v>10.1</v>
      </c>
      <c r="U198">
        <v>13.58</v>
      </c>
      <c r="V198" s="1">
        <v>45239</v>
      </c>
      <c r="W198" t="s">
        <v>42</v>
      </c>
      <c r="Y198">
        <v>32</v>
      </c>
      <c r="Z198">
        <v>1</v>
      </c>
      <c r="AA198">
        <v>1</v>
      </c>
      <c r="AB198" t="s">
        <v>43</v>
      </c>
      <c r="AC198">
        <v>20</v>
      </c>
      <c r="AD198">
        <v>162</v>
      </c>
      <c r="AE198">
        <v>71</v>
      </c>
      <c r="AF198" t="s">
        <v>48</v>
      </c>
      <c r="AG198">
        <v>67.5</v>
      </c>
      <c r="AH198">
        <v>6.86</v>
      </c>
      <c r="AI198">
        <v>0.8</v>
      </c>
      <c r="AJ198">
        <v>72.510000000000005</v>
      </c>
    </row>
    <row r="199" spans="10:36" x14ac:dyDescent="0.3">
      <c r="J199" t="s">
        <v>451</v>
      </c>
      <c r="K199" t="s">
        <v>28</v>
      </c>
      <c r="L199" t="s">
        <v>65</v>
      </c>
      <c r="M199" t="s">
        <v>452</v>
      </c>
      <c r="N199" t="s">
        <v>31</v>
      </c>
      <c r="O199" t="s">
        <v>41</v>
      </c>
      <c r="P199">
        <v>38</v>
      </c>
      <c r="Q199">
        <v>2</v>
      </c>
      <c r="R199">
        <v>1</v>
      </c>
      <c r="S199">
        <v>57.08</v>
      </c>
      <c r="T199">
        <v>7.1</v>
      </c>
      <c r="U199">
        <v>5.09</v>
      </c>
      <c r="W199" t="s">
        <v>42</v>
      </c>
      <c r="Z199">
        <v>0</v>
      </c>
      <c r="AA199">
        <v>3</v>
      </c>
      <c r="AB199" t="s">
        <v>34</v>
      </c>
      <c r="AC199">
        <v>27</v>
      </c>
      <c r="AD199">
        <v>160</v>
      </c>
      <c r="AE199">
        <v>70</v>
      </c>
      <c r="AF199" t="s">
        <v>62</v>
      </c>
      <c r="AG199">
        <v>52.9</v>
      </c>
      <c r="AH199">
        <v>8.7100000000000009</v>
      </c>
      <c r="AI199">
        <v>1.21</v>
      </c>
      <c r="AJ199">
        <v>70.569999999999993</v>
      </c>
    </row>
    <row r="200" spans="10:36" x14ac:dyDescent="0.3">
      <c r="J200" t="s">
        <v>453</v>
      </c>
      <c r="K200" t="s">
        <v>68</v>
      </c>
      <c r="L200" t="s">
        <v>38</v>
      </c>
      <c r="M200" t="s">
        <v>454</v>
      </c>
      <c r="N200" t="s">
        <v>56</v>
      </c>
      <c r="O200" t="s">
        <v>32</v>
      </c>
      <c r="P200">
        <v>86</v>
      </c>
      <c r="Q200">
        <v>0</v>
      </c>
      <c r="R200">
        <v>0</v>
      </c>
      <c r="S200">
        <v>50.83</v>
      </c>
      <c r="T200">
        <v>5.4</v>
      </c>
      <c r="U200">
        <v>10.88</v>
      </c>
      <c r="V200" s="1">
        <v>45028</v>
      </c>
      <c r="W200" t="s">
        <v>42</v>
      </c>
      <c r="Z200">
        <v>1</v>
      </c>
      <c r="AA200">
        <v>3</v>
      </c>
      <c r="AB200" t="s">
        <v>61</v>
      </c>
      <c r="AC200">
        <v>31</v>
      </c>
      <c r="AD200">
        <v>163</v>
      </c>
      <c r="AE200">
        <v>75</v>
      </c>
      <c r="AF200" t="s">
        <v>44</v>
      </c>
      <c r="AG200">
        <v>49.6</v>
      </c>
      <c r="AH200">
        <v>8.43</v>
      </c>
      <c r="AI200">
        <v>1.26</v>
      </c>
      <c r="AJ200">
        <v>74.97</v>
      </c>
    </row>
    <row r="201" spans="10:36" x14ac:dyDescent="0.3">
      <c r="J201" t="s">
        <v>455</v>
      </c>
      <c r="K201" t="s">
        <v>68</v>
      </c>
      <c r="L201" t="s">
        <v>29</v>
      </c>
      <c r="M201" t="s">
        <v>456</v>
      </c>
      <c r="N201" t="s">
        <v>94</v>
      </c>
      <c r="O201" t="s">
        <v>41</v>
      </c>
      <c r="P201">
        <v>38</v>
      </c>
      <c r="Q201">
        <v>1</v>
      </c>
      <c r="R201">
        <v>5</v>
      </c>
      <c r="S201">
        <v>83.38</v>
      </c>
      <c r="T201">
        <v>16.3</v>
      </c>
      <c r="U201">
        <v>10.99</v>
      </c>
      <c r="V201" s="1">
        <v>45159</v>
      </c>
      <c r="W201" t="s">
        <v>43</v>
      </c>
      <c r="X201" s="1">
        <v>44985</v>
      </c>
      <c r="Z201">
        <v>0</v>
      </c>
      <c r="AA201">
        <v>3</v>
      </c>
      <c r="AB201" t="s">
        <v>43</v>
      </c>
      <c r="AC201">
        <v>23</v>
      </c>
      <c r="AD201">
        <v>199</v>
      </c>
      <c r="AE201">
        <v>60</v>
      </c>
      <c r="AF201" t="s">
        <v>35</v>
      </c>
      <c r="AG201">
        <v>57.5</v>
      </c>
      <c r="AH201">
        <v>7.18</v>
      </c>
      <c r="AI201">
        <v>0.6</v>
      </c>
      <c r="AJ201">
        <v>96.73</v>
      </c>
    </row>
    <row r="202" spans="10:36" x14ac:dyDescent="0.3">
      <c r="J202" t="s">
        <v>457</v>
      </c>
      <c r="K202" t="s">
        <v>37</v>
      </c>
      <c r="L202" t="s">
        <v>29</v>
      </c>
      <c r="M202" t="s">
        <v>458</v>
      </c>
      <c r="N202" t="s">
        <v>80</v>
      </c>
      <c r="O202" t="s">
        <v>41</v>
      </c>
      <c r="P202">
        <v>39</v>
      </c>
      <c r="Q202">
        <v>2</v>
      </c>
      <c r="R202">
        <v>2</v>
      </c>
      <c r="S202">
        <v>64.16</v>
      </c>
      <c r="T202">
        <v>10.1</v>
      </c>
      <c r="U202">
        <v>8.9700000000000006</v>
      </c>
      <c r="W202" t="s">
        <v>43</v>
      </c>
      <c r="Y202">
        <v>89</v>
      </c>
      <c r="Z202">
        <v>1</v>
      </c>
      <c r="AA202">
        <v>0</v>
      </c>
      <c r="AB202" t="s">
        <v>43</v>
      </c>
      <c r="AC202">
        <v>20</v>
      </c>
      <c r="AD202">
        <v>194</v>
      </c>
      <c r="AE202">
        <v>80</v>
      </c>
      <c r="AF202" t="s">
        <v>70</v>
      </c>
      <c r="AG202">
        <v>51.1</v>
      </c>
      <c r="AH202">
        <v>6.55</v>
      </c>
      <c r="AI202">
        <v>1.01</v>
      </c>
      <c r="AJ202">
        <v>77.25</v>
      </c>
    </row>
    <row r="203" spans="10:36" x14ac:dyDescent="0.3">
      <c r="J203" t="s">
        <v>459</v>
      </c>
      <c r="K203" t="s">
        <v>37</v>
      </c>
      <c r="L203" t="s">
        <v>38</v>
      </c>
      <c r="M203" t="s">
        <v>460</v>
      </c>
      <c r="N203" t="s">
        <v>94</v>
      </c>
      <c r="O203" t="s">
        <v>32</v>
      </c>
      <c r="P203">
        <v>90</v>
      </c>
      <c r="Q203">
        <v>1</v>
      </c>
      <c r="R203">
        <v>6</v>
      </c>
      <c r="S203">
        <v>90.38</v>
      </c>
      <c r="T203">
        <v>18.7</v>
      </c>
      <c r="U203">
        <v>7.37</v>
      </c>
      <c r="W203" t="s">
        <v>33</v>
      </c>
      <c r="Z203">
        <v>0</v>
      </c>
      <c r="AA203">
        <v>0</v>
      </c>
      <c r="AB203" t="s">
        <v>34</v>
      </c>
      <c r="AC203">
        <v>33</v>
      </c>
      <c r="AD203">
        <v>191</v>
      </c>
      <c r="AE203">
        <v>89</v>
      </c>
      <c r="AF203" t="s">
        <v>35</v>
      </c>
      <c r="AG203">
        <v>58</v>
      </c>
      <c r="AH203">
        <v>8.61</v>
      </c>
      <c r="AI203">
        <v>1.01</v>
      </c>
      <c r="AJ203">
        <v>80.63</v>
      </c>
    </row>
    <row r="204" spans="10:36" x14ac:dyDescent="0.3">
      <c r="J204" t="s">
        <v>461</v>
      </c>
      <c r="K204" t="s">
        <v>28</v>
      </c>
      <c r="L204" t="s">
        <v>38</v>
      </c>
      <c r="M204" t="s">
        <v>462</v>
      </c>
      <c r="N204" t="s">
        <v>56</v>
      </c>
      <c r="O204" t="s">
        <v>32</v>
      </c>
      <c r="P204">
        <v>71</v>
      </c>
      <c r="Q204">
        <v>2</v>
      </c>
      <c r="R204">
        <v>1</v>
      </c>
      <c r="S204">
        <v>56.96</v>
      </c>
      <c r="T204">
        <v>7.1</v>
      </c>
      <c r="U204">
        <v>7.35</v>
      </c>
      <c r="W204" t="s">
        <v>33</v>
      </c>
      <c r="Z204">
        <v>1</v>
      </c>
      <c r="AA204">
        <v>1</v>
      </c>
      <c r="AB204" t="s">
        <v>52</v>
      </c>
      <c r="AC204">
        <v>24</v>
      </c>
      <c r="AD204">
        <v>193</v>
      </c>
      <c r="AE204">
        <v>72</v>
      </c>
      <c r="AF204" t="s">
        <v>62</v>
      </c>
      <c r="AG204">
        <v>61.2</v>
      </c>
      <c r="AH204">
        <v>8.9499999999999993</v>
      </c>
      <c r="AI204">
        <v>0.87</v>
      </c>
      <c r="AJ204">
        <v>73.16</v>
      </c>
    </row>
    <row r="205" spans="10:36" x14ac:dyDescent="0.3">
      <c r="J205" t="s">
        <v>463</v>
      </c>
      <c r="K205" t="s">
        <v>64</v>
      </c>
      <c r="L205" t="s">
        <v>65</v>
      </c>
      <c r="M205" t="s">
        <v>464</v>
      </c>
      <c r="N205" t="s">
        <v>80</v>
      </c>
      <c r="O205" t="s">
        <v>41</v>
      </c>
      <c r="P205">
        <v>52</v>
      </c>
      <c r="Q205">
        <v>4</v>
      </c>
      <c r="R205">
        <v>1</v>
      </c>
      <c r="S205">
        <v>56.3</v>
      </c>
      <c r="T205">
        <v>6.9</v>
      </c>
      <c r="U205">
        <v>13.84</v>
      </c>
      <c r="W205" t="s">
        <v>42</v>
      </c>
      <c r="X205" s="1">
        <v>45258</v>
      </c>
      <c r="Z205">
        <v>0</v>
      </c>
      <c r="AA205">
        <v>2</v>
      </c>
      <c r="AB205" t="s">
        <v>43</v>
      </c>
      <c r="AC205">
        <v>37</v>
      </c>
      <c r="AD205">
        <v>184</v>
      </c>
      <c r="AE205">
        <v>93</v>
      </c>
      <c r="AF205" t="s">
        <v>48</v>
      </c>
      <c r="AG205">
        <v>60.7</v>
      </c>
      <c r="AH205">
        <v>7.26</v>
      </c>
      <c r="AI205">
        <v>1.43</v>
      </c>
      <c r="AJ205">
        <v>76.67</v>
      </c>
    </row>
    <row r="206" spans="10:36" x14ac:dyDescent="0.3">
      <c r="J206" t="s">
        <v>465</v>
      </c>
      <c r="K206" t="s">
        <v>68</v>
      </c>
      <c r="L206" t="s">
        <v>29</v>
      </c>
      <c r="M206" t="s">
        <v>466</v>
      </c>
      <c r="N206" t="s">
        <v>94</v>
      </c>
      <c r="O206" t="s">
        <v>32</v>
      </c>
      <c r="P206">
        <v>59</v>
      </c>
      <c r="Q206">
        <v>3</v>
      </c>
      <c r="R206">
        <v>5</v>
      </c>
      <c r="S206">
        <v>83.2</v>
      </c>
      <c r="T206">
        <v>16.3</v>
      </c>
      <c r="U206">
        <v>9.42</v>
      </c>
      <c r="W206" t="s">
        <v>33</v>
      </c>
      <c r="X206" s="1">
        <v>45274</v>
      </c>
      <c r="Z206">
        <v>0</v>
      </c>
      <c r="AA206">
        <v>1</v>
      </c>
      <c r="AB206" t="s">
        <v>52</v>
      </c>
      <c r="AC206">
        <v>31</v>
      </c>
      <c r="AD206">
        <v>169</v>
      </c>
      <c r="AE206">
        <v>63</v>
      </c>
      <c r="AF206" t="s">
        <v>53</v>
      </c>
      <c r="AG206">
        <v>51.2</v>
      </c>
      <c r="AH206">
        <v>8.58</v>
      </c>
      <c r="AI206">
        <v>1.33</v>
      </c>
      <c r="AJ206">
        <v>85.58</v>
      </c>
    </row>
    <row r="207" spans="10:36" x14ac:dyDescent="0.3">
      <c r="J207" t="s">
        <v>467</v>
      </c>
      <c r="K207" t="s">
        <v>37</v>
      </c>
      <c r="L207" t="s">
        <v>65</v>
      </c>
      <c r="M207" t="s">
        <v>468</v>
      </c>
      <c r="N207" t="s">
        <v>51</v>
      </c>
      <c r="O207" t="s">
        <v>32</v>
      </c>
      <c r="P207">
        <v>58</v>
      </c>
      <c r="Q207">
        <v>4</v>
      </c>
      <c r="R207">
        <v>3</v>
      </c>
      <c r="S207">
        <v>71.03</v>
      </c>
      <c r="T207">
        <v>12.4</v>
      </c>
      <c r="U207">
        <v>8.31</v>
      </c>
      <c r="W207" t="s">
        <v>42</v>
      </c>
      <c r="Z207">
        <v>0</v>
      </c>
      <c r="AA207">
        <v>4</v>
      </c>
      <c r="AB207" t="s">
        <v>52</v>
      </c>
      <c r="AC207">
        <v>26</v>
      </c>
      <c r="AD207">
        <v>180</v>
      </c>
      <c r="AE207">
        <v>87</v>
      </c>
      <c r="AF207" t="s">
        <v>70</v>
      </c>
      <c r="AG207">
        <v>45</v>
      </c>
      <c r="AH207">
        <v>7.58</v>
      </c>
      <c r="AI207">
        <v>1.2</v>
      </c>
      <c r="AJ207">
        <v>88.23</v>
      </c>
    </row>
    <row r="208" spans="10:36" x14ac:dyDescent="0.3">
      <c r="J208" t="s">
        <v>469</v>
      </c>
      <c r="K208" t="s">
        <v>68</v>
      </c>
      <c r="L208" t="s">
        <v>38</v>
      </c>
      <c r="M208" t="s">
        <v>470</v>
      </c>
      <c r="N208" t="s">
        <v>80</v>
      </c>
      <c r="O208" t="s">
        <v>32</v>
      </c>
      <c r="P208">
        <v>20</v>
      </c>
      <c r="Q208">
        <v>1</v>
      </c>
      <c r="R208">
        <v>0</v>
      </c>
      <c r="S208">
        <v>50.43</v>
      </c>
      <c r="T208">
        <v>5.4</v>
      </c>
      <c r="U208">
        <v>9.49</v>
      </c>
      <c r="W208" t="s">
        <v>33</v>
      </c>
      <c r="X208" s="1">
        <v>45053</v>
      </c>
      <c r="Z208">
        <v>1</v>
      </c>
      <c r="AA208">
        <v>0</v>
      </c>
      <c r="AB208" t="s">
        <v>52</v>
      </c>
      <c r="AC208">
        <v>32</v>
      </c>
      <c r="AD208">
        <v>198</v>
      </c>
      <c r="AE208">
        <v>97</v>
      </c>
      <c r="AF208" t="s">
        <v>53</v>
      </c>
      <c r="AG208">
        <v>52.9</v>
      </c>
      <c r="AH208">
        <v>8.85</v>
      </c>
      <c r="AI208">
        <v>1.21</v>
      </c>
      <c r="AJ208">
        <v>77.36</v>
      </c>
    </row>
    <row r="209" spans="10:36" x14ac:dyDescent="0.3">
      <c r="J209" t="s">
        <v>471</v>
      </c>
      <c r="K209" t="s">
        <v>68</v>
      </c>
      <c r="L209" t="s">
        <v>29</v>
      </c>
      <c r="M209" t="s">
        <v>472</v>
      </c>
      <c r="N209" t="s">
        <v>75</v>
      </c>
      <c r="O209" t="s">
        <v>32</v>
      </c>
      <c r="P209">
        <v>30</v>
      </c>
      <c r="Q209">
        <v>3</v>
      </c>
      <c r="R209">
        <v>1</v>
      </c>
      <c r="S209">
        <v>56.08</v>
      </c>
      <c r="T209">
        <v>6.8</v>
      </c>
      <c r="U209">
        <v>11.69</v>
      </c>
      <c r="W209" t="s">
        <v>42</v>
      </c>
      <c r="Z209">
        <v>1</v>
      </c>
      <c r="AA209">
        <v>3</v>
      </c>
      <c r="AB209" t="s">
        <v>52</v>
      </c>
      <c r="AC209">
        <v>38</v>
      </c>
      <c r="AD209">
        <v>186</v>
      </c>
      <c r="AE209">
        <v>90</v>
      </c>
      <c r="AF209" t="s">
        <v>62</v>
      </c>
      <c r="AG209">
        <v>44.3</v>
      </c>
      <c r="AH209">
        <v>6.8</v>
      </c>
      <c r="AI209">
        <v>0.96</v>
      </c>
      <c r="AJ209">
        <v>71.73</v>
      </c>
    </row>
    <row r="210" spans="10:36" x14ac:dyDescent="0.3">
      <c r="J210" t="s">
        <v>473</v>
      </c>
      <c r="K210" t="s">
        <v>37</v>
      </c>
      <c r="L210" t="s">
        <v>29</v>
      </c>
      <c r="M210" t="s">
        <v>474</v>
      </c>
      <c r="N210" t="s">
        <v>94</v>
      </c>
      <c r="O210" t="s">
        <v>41</v>
      </c>
      <c r="P210">
        <v>76</v>
      </c>
      <c r="Q210">
        <v>2</v>
      </c>
      <c r="R210">
        <v>5</v>
      </c>
      <c r="S210">
        <v>83.08</v>
      </c>
      <c r="T210">
        <v>16.3</v>
      </c>
      <c r="U210">
        <v>6.46</v>
      </c>
      <c r="W210" t="s">
        <v>33</v>
      </c>
      <c r="Z210">
        <v>1</v>
      </c>
      <c r="AA210">
        <v>0</v>
      </c>
      <c r="AB210" t="s">
        <v>34</v>
      </c>
      <c r="AC210">
        <v>20</v>
      </c>
      <c r="AD210">
        <v>186</v>
      </c>
      <c r="AE210">
        <v>86</v>
      </c>
      <c r="AF210" t="s">
        <v>35</v>
      </c>
      <c r="AG210">
        <v>66.7</v>
      </c>
      <c r="AH210">
        <v>9.56</v>
      </c>
      <c r="AI210">
        <v>1.42</v>
      </c>
      <c r="AJ210">
        <v>81.73</v>
      </c>
    </row>
    <row r="211" spans="10:36" x14ac:dyDescent="0.3">
      <c r="J211" t="s">
        <v>475</v>
      </c>
      <c r="K211" t="s">
        <v>68</v>
      </c>
      <c r="L211" t="s">
        <v>29</v>
      </c>
      <c r="M211" t="s">
        <v>476</v>
      </c>
      <c r="N211" t="s">
        <v>80</v>
      </c>
      <c r="O211" t="s">
        <v>32</v>
      </c>
      <c r="P211">
        <v>69</v>
      </c>
      <c r="Q211">
        <v>3</v>
      </c>
      <c r="R211">
        <v>5</v>
      </c>
      <c r="S211">
        <v>83.03</v>
      </c>
      <c r="T211">
        <v>16.3</v>
      </c>
      <c r="U211">
        <v>9.49</v>
      </c>
      <c r="W211" t="s">
        <v>33</v>
      </c>
      <c r="Y211">
        <v>56</v>
      </c>
      <c r="Z211">
        <v>1</v>
      </c>
      <c r="AA211">
        <v>3</v>
      </c>
      <c r="AB211" t="s">
        <v>43</v>
      </c>
      <c r="AC211">
        <v>19</v>
      </c>
      <c r="AD211">
        <v>161</v>
      </c>
      <c r="AE211">
        <v>64</v>
      </c>
      <c r="AF211" t="s">
        <v>53</v>
      </c>
      <c r="AG211">
        <v>50.4</v>
      </c>
      <c r="AH211">
        <v>7.15</v>
      </c>
      <c r="AI211">
        <v>1.19</v>
      </c>
      <c r="AJ211">
        <v>77.03</v>
      </c>
    </row>
    <row r="212" spans="10:36" x14ac:dyDescent="0.3">
      <c r="J212" t="s">
        <v>477</v>
      </c>
      <c r="K212" t="s">
        <v>37</v>
      </c>
      <c r="L212" t="s">
        <v>65</v>
      </c>
      <c r="M212" t="s">
        <v>478</v>
      </c>
      <c r="N212" t="s">
        <v>94</v>
      </c>
      <c r="O212" t="s">
        <v>41</v>
      </c>
      <c r="P212">
        <v>42</v>
      </c>
      <c r="Q212">
        <v>0</v>
      </c>
      <c r="R212">
        <v>2</v>
      </c>
      <c r="S212">
        <v>64.08</v>
      </c>
      <c r="T212">
        <v>9.9</v>
      </c>
      <c r="U212">
        <v>10.88</v>
      </c>
      <c r="W212" t="s">
        <v>42</v>
      </c>
      <c r="Z212">
        <v>0</v>
      </c>
      <c r="AA212">
        <v>4</v>
      </c>
      <c r="AB212" t="s">
        <v>34</v>
      </c>
      <c r="AC212">
        <v>19</v>
      </c>
      <c r="AD212">
        <v>172</v>
      </c>
      <c r="AE212">
        <v>84</v>
      </c>
      <c r="AF212" t="s">
        <v>44</v>
      </c>
      <c r="AG212">
        <v>44.6</v>
      </c>
      <c r="AH212">
        <v>7.47</v>
      </c>
      <c r="AI212">
        <v>1.23</v>
      </c>
      <c r="AJ212">
        <v>76.59</v>
      </c>
    </row>
    <row r="213" spans="10:36" x14ac:dyDescent="0.3">
      <c r="J213" t="s">
        <v>479</v>
      </c>
      <c r="K213" t="s">
        <v>68</v>
      </c>
      <c r="L213" t="s">
        <v>38</v>
      </c>
      <c r="M213" t="s">
        <v>480</v>
      </c>
      <c r="N213" t="s">
        <v>75</v>
      </c>
      <c r="O213" t="s">
        <v>41</v>
      </c>
      <c r="P213">
        <v>50</v>
      </c>
      <c r="Q213">
        <v>3</v>
      </c>
      <c r="R213">
        <v>6</v>
      </c>
      <c r="S213">
        <v>90.27</v>
      </c>
      <c r="T213">
        <v>18.7</v>
      </c>
      <c r="U213">
        <v>14.49</v>
      </c>
      <c r="W213" t="s">
        <v>42</v>
      </c>
      <c r="Y213">
        <v>24</v>
      </c>
      <c r="Z213">
        <v>0</v>
      </c>
      <c r="AA213">
        <v>4</v>
      </c>
      <c r="AB213" t="s">
        <v>61</v>
      </c>
      <c r="AC213">
        <v>20</v>
      </c>
      <c r="AD213">
        <v>168</v>
      </c>
      <c r="AE213">
        <v>62</v>
      </c>
      <c r="AF213" t="s">
        <v>44</v>
      </c>
      <c r="AG213">
        <v>40.799999999999997</v>
      </c>
      <c r="AH213">
        <v>6.23</v>
      </c>
      <c r="AI213">
        <v>1.36</v>
      </c>
      <c r="AJ213">
        <v>98.8</v>
      </c>
    </row>
    <row r="214" spans="10:36" x14ac:dyDescent="0.3">
      <c r="J214" t="s">
        <v>481</v>
      </c>
      <c r="K214" t="s">
        <v>64</v>
      </c>
      <c r="L214" t="s">
        <v>65</v>
      </c>
      <c r="M214" t="s">
        <v>482</v>
      </c>
      <c r="N214" t="s">
        <v>94</v>
      </c>
      <c r="O214" t="s">
        <v>41</v>
      </c>
      <c r="P214">
        <v>61</v>
      </c>
      <c r="Q214">
        <v>0</v>
      </c>
      <c r="R214">
        <v>3</v>
      </c>
      <c r="S214">
        <v>70.95</v>
      </c>
      <c r="T214">
        <v>12.4</v>
      </c>
      <c r="U214">
        <v>7.53</v>
      </c>
      <c r="V214" s="1">
        <v>45116</v>
      </c>
      <c r="W214" t="s">
        <v>42</v>
      </c>
      <c r="X214" s="1">
        <v>45202</v>
      </c>
      <c r="Y214">
        <v>34</v>
      </c>
      <c r="Z214">
        <v>0</v>
      </c>
      <c r="AA214">
        <v>0</v>
      </c>
      <c r="AB214" t="s">
        <v>34</v>
      </c>
      <c r="AC214">
        <v>35</v>
      </c>
      <c r="AD214">
        <v>195</v>
      </c>
      <c r="AE214">
        <v>92</v>
      </c>
      <c r="AF214" t="s">
        <v>48</v>
      </c>
      <c r="AG214">
        <v>59.4</v>
      </c>
      <c r="AH214">
        <v>6.45</v>
      </c>
      <c r="AI214">
        <v>0.77</v>
      </c>
      <c r="AJ214">
        <v>88.49</v>
      </c>
    </row>
    <row r="215" spans="10:36" x14ac:dyDescent="0.3">
      <c r="J215" t="s">
        <v>483</v>
      </c>
      <c r="K215" t="s">
        <v>37</v>
      </c>
      <c r="L215" t="s">
        <v>82</v>
      </c>
      <c r="M215" t="s">
        <v>484</v>
      </c>
      <c r="N215" t="s">
        <v>94</v>
      </c>
      <c r="O215" t="s">
        <v>32</v>
      </c>
      <c r="P215">
        <v>26</v>
      </c>
      <c r="Q215">
        <v>0</v>
      </c>
      <c r="R215">
        <v>0</v>
      </c>
      <c r="S215">
        <v>50.41</v>
      </c>
      <c r="T215">
        <v>5.4</v>
      </c>
      <c r="U215">
        <v>8.59</v>
      </c>
      <c r="W215" t="s">
        <v>42</v>
      </c>
      <c r="Z215">
        <v>0</v>
      </c>
      <c r="AA215">
        <v>3</v>
      </c>
      <c r="AB215" t="s">
        <v>34</v>
      </c>
      <c r="AC215">
        <v>31</v>
      </c>
      <c r="AD215">
        <v>181</v>
      </c>
      <c r="AE215">
        <v>63</v>
      </c>
      <c r="AF215" t="s">
        <v>53</v>
      </c>
      <c r="AG215">
        <v>59.1</v>
      </c>
      <c r="AH215">
        <v>8.06</v>
      </c>
      <c r="AI215">
        <v>1.31</v>
      </c>
      <c r="AJ215">
        <v>86.71</v>
      </c>
    </row>
    <row r="216" spans="10:36" x14ac:dyDescent="0.3">
      <c r="J216" t="s">
        <v>485</v>
      </c>
      <c r="K216" t="s">
        <v>64</v>
      </c>
      <c r="L216" t="s">
        <v>38</v>
      </c>
      <c r="M216" t="s">
        <v>486</v>
      </c>
      <c r="N216" t="s">
        <v>31</v>
      </c>
      <c r="O216" t="s">
        <v>32</v>
      </c>
      <c r="P216">
        <v>35</v>
      </c>
      <c r="Q216">
        <v>0</v>
      </c>
      <c r="R216">
        <v>4</v>
      </c>
      <c r="S216">
        <v>76.13</v>
      </c>
      <c r="T216">
        <v>14.3</v>
      </c>
      <c r="U216">
        <v>8.7899999999999991</v>
      </c>
      <c r="V216" s="1">
        <v>45018</v>
      </c>
      <c r="W216" t="s">
        <v>33</v>
      </c>
      <c r="Y216">
        <v>45</v>
      </c>
      <c r="Z216">
        <v>0</v>
      </c>
      <c r="AA216">
        <v>4</v>
      </c>
      <c r="AB216" t="s">
        <v>34</v>
      </c>
      <c r="AC216">
        <v>37</v>
      </c>
      <c r="AD216">
        <v>185</v>
      </c>
      <c r="AE216">
        <v>84</v>
      </c>
      <c r="AF216" t="s">
        <v>53</v>
      </c>
      <c r="AG216">
        <v>50.2</v>
      </c>
      <c r="AH216">
        <v>7.07</v>
      </c>
      <c r="AI216">
        <v>0.7</v>
      </c>
      <c r="AJ216">
        <v>82.47</v>
      </c>
    </row>
    <row r="217" spans="10:36" x14ac:dyDescent="0.3">
      <c r="J217" t="s">
        <v>487</v>
      </c>
      <c r="K217" t="s">
        <v>68</v>
      </c>
      <c r="L217" t="s">
        <v>38</v>
      </c>
      <c r="M217" t="s">
        <v>488</v>
      </c>
      <c r="N217" t="s">
        <v>80</v>
      </c>
      <c r="O217" t="s">
        <v>41</v>
      </c>
      <c r="P217">
        <v>79</v>
      </c>
      <c r="Q217">
        <v>1</v>
      </c>
      <c r="R217">
        <v>6</v>
      </c>
      <c r="S217">
        <v>90.25</v>
      </c>
      <c r="T217">
        <v>18.7</v>
      </c>
      <c r="U217">
        <v>11.06</v>
      </c>
      <c r="W217" t="s">
        <v>47</v>
      </c>
      <c r="X217" s="1">
        <v>45179</v>
      </c>
      <c r="Z217">
        <v>0</v>
      </c>
      <c r="AA217">
        <v>1</v>
      </c>
      <c r="AB217" t="s">
        <v>34</v>
      </c>
      <c r="AC217">
        <v>35</v>
      </c>
      <c r="AD217">
        <v>171</v>
      </c>
      <c r="AE217">
        <v>79</v>
      </c>
      <c r="AF217" t="s">
        <v>53</v>
      </c>
      <c r="AG217">
        <v>42.2</v>
      </c>
      <c r="AH217">
        <v>9.34</v>
      </c>
      <c r="AI217">
        <v>0.85</v>
      </c>
      <c r="AJ217">
        <v>82.87</v>
      </c>
    </row>
    <row r="218" spans="10:36" x14ac:dyDescent="0.3">
      <c r="J218" t="s">
        <v>489</v>
      </c>
      <c r="K218" t="s">
        <v>37</v>
      </c>
      <c r="L218" t="s">
        <v>29</v>
      </c>
      <c r="M218" t="s">
        <v>490</v>
      </c>
      <c r="N218" t="s">
        <v>80</v>
      </c>
      <c r="O218" t="s">
        <v>41</v>
      </c>
      <c r="P218">
        <v>21</v>
      </c>
      <c r="Q218">
        <v>4</v>
      </c>
      <c r="R218">
        <v>6</v>
      </c>
      <c r="S218">
        <v>89.82</v>
      </c>
      <c r="T218">
        <v>18.600000000000001</v>
      </c>
      <c r="U218">
        <v>8.57</v>
      </c>
      <c r="W218" t="s">
        <v>47</v>
      </c>
      <c r="Y218">
        <v>84</v>
      </c>
      <c r="Z218">
        <v>0</v>
      </c>
      <c r="AA218">
        <v>1</v>
      </c>
      <c r="AB218" t="s">
        <v>34</v>
      </c>
      <c r="AC218">
        <v>27</v>
      </c>
      <c r="AD218">
        <v>176</v>
      </c>
      <c r="AE218">
        <v>93</v>
      </c>
      <c r="AF218" t="s">
        <v>53</v>
      </c>
      <c r="AG218">
        <v>52.3</v>
      </c>
      <c r="AH218">
        <v>6.06</v>
      </c>
      <c r="AI218">
        <v>0.84</v>
      </c>
      <c r="AJ218">
        <v>86.23</v>
      </c>
    </row>
    <row r="219" spans="10:36" x14ac:dyDescent="0.3">
      <c r="J219" t="s">
        <v>491</v>
      </c>
      <c r="K219" t="s">
        <v>28</v>
      </c>
      <c r="L219" t="s">
        <v>65</v>
      </c>
      <c r="M219" t="s">
        <v>492</v>
      </c>
      <c r="N219" t="s">
        <v>56</v>
      </c>
      <c r="O219" t="s">
        <v>41</v>
      </c>
      <c r="P219">
        <v>20</v>
      </c>
      <c r="Q219">
        <v>2</v>
      </c>
      <c r="R219">
        <v>2</v>
      </c>
      <c r="S219">
        <v>63.37</v>
      </c>
      <c r="T219">
        <v>9.8000000000000007</v>
      </c>
      <c r="U219">
        <v>10.34</v>
      </c>
      <c r="W219" t="s">
        <v>33</v>
      </c>
      <c r="X219" s="1">
        <v>45073</v>
      </c>
      <c r="Z219">
        <v>0</v>
      </c>
      <c r="AA219">
        <v>3</v>
      </c>
      <c r="AB219" t="s">
        <v>52</v>
      </c>
      <c r="AC219">
        <v>19</v>
      </c>
      <c r="AD219">
        <v>173</v>
      </c>
      <c r="AE219">
        <v>85</v>
      </c>
      <c r="AF219" t="s">
        <v>35</v>
      </c>
      <c r="AG219">
        <v>49.3</v>
      </c>
      <c r="AH219">
        <v>7.52</v>
      </c>
      <c r="AI219">
        <v>1.48</v>
      </c>
      <c r="AJ219">
        <v>90.89</v>
      </c>
    </row>
    <row r="220" spans="10:36" x14ac:dyDescent="0.3">
      <c r="J220" t="s">
        <v>493</v>
      </c>
      <c r="K220" t="s">
        <v>28</v>
      </c>
      <c r="L220" t="s">
        <v>38</v>
      </c>
      <c r="M220" t="s">
        <v>494</v>
      </c>
      <c r="N220" t="s">
        <v>31</v>
      </c>
      <c r="O220" t="s">
        <v>41</v>
      </c>
      <c r="P220">
        <v>67</v>
      </c>
      <c r="Q220">
        <v>3</v>
      </c>
      <c r="R220">
        <v>1</v>
      </c>
      <c r="S220">
        <v>55.95</v>
      </c>
      <c r="T220">
        <v>6.8</v>
      </c>
      <c r="U220">
        <v>12.82</v>
      </c>
      <c r="W220" t="s">
        <v>43</v>
      </c>
      <c r="X220" s="1">
        <v>45048</v>
      </c>
      <c r="Z220">
        <v>0</v>
      </c>
      <c r="AA220">
        <v>0</v>
      </c>
      <c r="AB220" t="s">
        <v>61</v>
      </c>
      <c r="AC220">
        <v>39</v>
      </c>
      <c r="AD220">
        <v>173</v>
      </c>
      <c r="AE220">
        <v>64</v>
      </c>
      <c r="AF220" t="s">
        <v>35</v>
      </c>
      <c r="AG220">
        <v>60.3</v>
      </c>
      <c r="AH220">
        <v>7.35</v>
      </c>
      <c r="AI220">
        <v>1.36</v>
      </c>
      <c r="AJ220">
        <v>91.06</v>
      </c>
    </row>
    <row r="221" spans="10:36" x14ac:dyDescent="0.3">
      <c r="J221" t="s">
        <v>495</v>
      </c>
      <c r="K221" t="s">
        <v>28</v>
      </c>
      <c r="L221" t="s">
        <v>65</v>
      </c>
      <c r="M221" t="s">
        <v>496</v>
      </c>
      <c r="N221" t="s">
        <v>80</v>
      </c>
      <c r="O221" t="s">
        <v>32</v>
      </c>
      <c r="P221">
        <v>31</v>
      </c>
      <c r="Q221">
        <v>4</v>
      </c>
      <c r="R221">
        <v>1</v>
      </c>
      <c r="S221">
        <v>55.78</v>
      </c>
      <c r="T221">
        <v>6.8</v>
      </c>
      <c r="U221">
        <v>12.05</v>
      </c>
      <c r="W221" t="s">
        <v>47</v>
      </c>
      <c r="Z221">
        <v>0</v>
      </c>
      <c r="AA221">
        <v>4</v>
      </c>
      <c r="AB221" t="s">
        <v>34</v>
      </c>
      <c r="AC221">
        <v>18</v>
      </c>
      <c r="AD221">
        <v>193</v>
      </c>
      <c r="AE221">
        <v>94</v>
      </c>
      <c r="AF221" t="s">
        <v>70</v>
      </c>
      <c r="AG221">
        <v>58.2</v>
      </c>
      <c r="AH221">
        <v>6.08</v>
      </c>
      <c r="AI221">
        <v>1.2</v>
      </c>
      <c r="AJ221">
        <v>75.150000000000006</v>
      </c>
    </row>
    <row r="222" spans="10:36" x14ac:dyDescent="0.3">
      <c r="J222" t="s">
        <v>497</v>
      </c>
      <c r="K222" t="s">
        <v>64</v>
      </c>
      <c r="L222" t="s">
        <v>65</v>
      </c>
      <c r="M222" t="s">
        <v>498</v>
      </c>
      <c r="N222" t="s">
        <v>31</v>
      </c>
      <c r="O222" t="s">
        <v>41</v>
      </c>
      <c r="P222">
        <v>88</v>
      </c>
      <c r="Q222">
        <v>2</v>
      </c>
      <c r="R222">
        <v>2</v>
      </c>
      <c r="S222">
        <v>62.75</v>
      </c>
      <c r="T222">
        <v>9.8000000000000007</v>
      </c>
      <c r="U222">
        <v>9.4600000000000009</v>
      </c>
      <c r="W222" t="s">
        <v>33</v>
      </c>
      <c r="Z222">
        <v>1</v>
      </c>
      <c r="AA222">
        <v>0</v>
      </c>
      <c r="AB222" t="s">
        <v>61</v>
      </c>
      <c r="AC222">
        <v>21</v>
      </c>
      <c r="AD222">
        <v>179</v>
      </c>
      <c r="AE222">
        <v>87</v>
      </c>
      <c r="AF222" t="s">
        <v>53</v>
      </c>
      <c r="AG222">
        <v>50.9</v>
      </c>
      <c r="AH222">
        <v>6.5</v>
      </c>
      <c r="AI222">
        <v>1.23</v>
      </c>
      <c r="AJ222">
        <v>85</v>
      </c>
    </row>
    <row r="223" spans="10:36" x14ac:dyDescent="0.3">
      <c r="J223" t="s">
        <v>499</v>
      </c>
      <c r="K223" t="s">
        <v>37</v>
      </c>
      <c r="L223" t="s">
        <v>38</v>
      </c>
      <c r="M223" t="s">
        <v>500</v>
      </c>
      <c r="N223" t="s">
        <v>94</v>
      </c>
      <c r="O223" t="s">
        <v>32</v>
      </c>
      <c r="P223">
        <v>56</v>
      </c>
      <c r="Q223">
        <v>2</v>
      </c>
      <c r="R223">
        <v>5</v>
      </c>
      <c r="S223">
        <v>82.95</v>
      </c>
      <c r="T223">
        <v>16.2</v>
      </c>
      <c r="U223">
        <v>13.64</v>
      </c>
      <c r="W223" t="s">
        <v>47</v>
      </c>
      <c r="Y223">
        <v>60</v>
      </c>
      <c r="Z223">
        <v>0</v>
      </c>
      <c r="AA223">
        <v>1</v>
      </c>
      <c r="AB223" t="s">
        <v>52</v>
      </c>
      <c r="AC223">
        <v>31</v>
      </c>
      <c r="AD223">
        <v>170</v>
      </c>
      <c r="AE223">
        <v>88</v>
      </c>
      <c r="AF223" t="s">
        <v>35</v>
      </c>
      <c r="AG223">
        <v>46.5</v>
      </c>
      <c r="AH223">
        <v>7.65</v>
      </c>
      <c r="AI223">
        <v>1.06</v>
      </c>
      <c r="AJ223">
        <v>82.36</v>
      </c>
    </row>
    <row r="224" spans="10:36" x14ac:dyDescent="0.3">
      <c r="J224" t="s">
        <v>501</v>
      </c>
      <c r="K224" t="s">
        <v>64</v>
      </c>
      <c r="L224" t="s">
        <v>29</v>
      </c>
      <c r="M224" t="s">
        <v>502</v>
      </c>
      <c r="N224" t="s">
        <v>40</v>
      </c>
      <c r="O224" t="s">
        <v>41</v>
      </c>
      <c r="P224">
        <v>51</v>
      </c>
      <c r="Q224">
        <v>0</v>
      </c>
      <c r="R224">
        <v>1</v>
      </c>
      <c r="S224">
        <v>55.6</v>
      </c>
      <c r="T224">
        <v>6.8</v>
      </c>
      <c r="U224">
        <v>10.58</v>
      </c>
      <c r="W224" t="s">
        <v>47</v>
      </c>
      <c r="Z224">
        <v>1</v>
      </c>
      <c r="AA224">
        <v>4</v>
      </c>
      <c r="AB224" t="s">
        <v>43</v>
      </c>
      <c r="AC224">
        <v>18</v>
      </c>
      <c r="AD224">
        <v>175</v>
      </c>
      <c r="AE224">
        <v>68</v>
      </c>
      <c r="AF224" t="s">
        <v>48</v>
      </c>
      <c r="AG224">
        <v>69.599999999999994</v>
      </c>
      <c r="AH224">
        <v>7.97</v>
      </c>
      <c r="AI224">
        <v>1.45</v>
      </c>
      <c r="AJ224">
        <v>96.12</v>
      </c>
    </row>
    <row r="225" spans="10:36" x14ac:dyDescent="0.3">
      <c r="J225" t="s">
        <v>503</v>
      </c>
      <c r="K225" t="s">
        <v>64</v>
      </c>
      <c r="L225" t="s">
        <v>65</v>
      </c>
      <c r="M225" t="s">
        <v>504</v>
      </c>
      <c r="N225" t="s">
        <v>75</v>
      </c>
      <c r="O225" t="s">
        <v>32</v>
      </c>
      <c r="P225">
        <v>28</v>
      </c>
      <c r="Q225">
        <v>1</v>
      </c>
      <c r="R225">
        <v>3</v>
      </c>
      <c r="S225">
        <v>70.849999999999994</v>
      </c>
      <c r="T225">
        <v>12.1</v>
      </c>
      <c r="U225">
        <v>10.4</v>
      </c>
      <c r="W225" t="s">
        <v>42</v>
      </c>
      <c r="X225" s="1">
        <v>45085</v>
      </c>
      <c r="Y225">
        <v>24</v>
      </c>
      <c r="Z225">
        <v>0</v>
      </c>
      <c r="AA225">
        <v>0</v>
      </c>
      <c r="AB225" t="s">
        <v>61</v>
      </c>
      <c r="AC225">
        <v>31</v>
      </c>
      <c r="AD225">
        <v>190</v>
      </c>
      <c r="AE225">
        <v>97</v>
      </c>
      <c r="AF225" t="s">
        <v>53</v>
      </c>
      <c r="AG225">
        <v>53.6</v>
      </c>
      <c r="AH225">
        <v>7.62</v>
      </c>
      <c r="AI225">
        <v>1</v>
      </c>
      <c r="AJ225">
        <v>88.94</v>
      </c>
    </row>
    <row r="226" spans="10:36" x14ac:dyDescent="0.3">
      <c r="J226" t="s">
        <v>505</v>
      </c>
      <c r="K226" t="s">
        <v>37</v>
      </c>
      <c r="L226" t="s">
        <v>38</v>
      </c>
      <c r="M226" t="s">
        <v>506</v>
      </c>
      <c r="N226" t="s">
        <v>94</v>
      </c>
      <c r="O226" t="s">
        <v>41</v>
      </c>
      <c r="P226">
        <v>38</v>
      </c>
      <c r="Q226">
        <v>1</v>
      </c>
      <c r="R226">
        <v>0</v>
      </c>
      <c r="S226">
        <v>50.24</v>
      </c>
      <c r="T226">
        <v>5.3</v>
      </c>
      <c r="U226">
        <v>5.34</v>
      </c>
      <c r="W226" t="s">
        <v>43</v>
      </c>
      <c r="Z226">
        <v>0</v>
      </c>
      <c r="AA226">
        <v>2</v>
      </c>
      <c r="AB226" t="s">
        <v>34</v>
      </c>
      <c r="AC226">
        <v>33</v>
      </c>
      <c r="AD226">
        <v>165</v>
      </c>
      <c r="AE226">
        <v>65</v>
      </c>
      <c r="AF226" t="s">
        <v>48</v>
      </c>
      <c r="AG226">
        <v>60.6</v>
      </c>
      <c r="AH226">
        <v>8.1199999999999992</v>
      </c>
      <c r="AI226">
        <v>0.88</v>
      </c>
      <c r="AJ226">
        <v>85.98</v>
      </c>
    </row>
    <row r="227" spans="10:36" x14ac:dyDescent="0.3">
      <c r="J227" t="s">
        <v>507</v>
      </c>
      <c r="K227" t="s">
        <v>68</v>
      </c>
      <c r="L227" t="s">
        <v>38</v>
      </c>
      <c r="M227" t="s">
        <v>508</v>
      </c>
      <c r="N227" t="s">
        <v>75</v>
      </c>
      <c r="O227" t="s">
        <v>32</v>
      </c>
      <c r="P227">
        <v>67</v>
      </c>
      <c r="Q227">
        <v>4</v>
      </c>
      <c r="R227">
        <v>6</v>
      </c>
      <c r="S227">
        <v>89.79</v>
      </c>
      <c r="T227">
        <v>18.600000000000001</v>
      </c>
      <c r="U227">
        <v>14.87</v>
      </c>
      <c r="W227" t="s">
        <v>33</v>
      </c>
      <c r="Y227">
        <v>77</v>
      </c>
      <c r="Z227">
        <v>0</v>
      </c>
      <c r="AA227">
        <v>3</v>
      </c>
      <c r="AB227" t="s">
        <v>61</v>
      </c>
      <c r="AC227">
        <v>39</v>
      </c>
      <c r="AD227">
        <v>178</v>
      </c>
      <c r="AE227">
        <v>78</v>
      </c>
      <c r="AF227" t="s">
        <v>35</v>
      </c>
      <c r="AG227">
        <v>44.2</v>
      </c>
      <c r="AH227">
        <v>8.3800000000000008</v>
      </c>
      <c r="AI227">
        <v>0.66</v>
      </c>
      <c r="AJ227">
        <v>73.459999999999994</v>
      </c>
    </row>
    <row r="228" spans="10:36" x14ac:dyDescent="0.3">
      <c r="J228" t="s">
        <v>509</v>
      </c>
      <c r="K228" t="s">
        <v>68</v>
      </c>
      <c r="L228" t="s">
        <v>29</v>
      </c>
      <c r="M228" t="s">
        <v>510</v>
      </c>
      <c r="N228" t="s">
        <v>56</v>
      </c>
      <c r="O228" t="s">
        <v>32</v>
      </c>
      <c r="P228">
        <v>22</v>
      </c>
      <c r="Q228">
        <v>1</v>
      </c>
      <c r="R228">
        <v>6</v>
      </c>
      <c r="S228">
        <v>89.73</v>
      </c>
      <c r="T228">
        <v>18.600000000000001</v>
      </c>
      <c r="U228">
        <v>6.23</v>
      </c>
      <c r="W228" t="s">
        <v>47</v>
      </c>
      <c r="Y228">
        <v>30</v>
      </c>
      <c r="Z228">
        <v>0</v>
      </c>
      <c r="AA228">
        <v>3</v>
      </c>
      <c r="AB228" t="s">
        <v>52</v>
      </c>
      <c r="AC228">
        <v>31</v>
      </c>
      <c r="AD228">
        <v>196</v>
      </c>
      <c r="AE228">
        <v>70</v>
      </c>
      <c r="AF228" t="s">
        <v>53</v>
      </c>
      <c r="AG228">
        <v>54.6</v>
      </c>
      <c r="AH228">
        <v>6.04</v>
      </c>
      <c r="AI228">
        <v>1.29</v>
      </c>
      <c r="AJ228">
        <v>88.17</v>
      </c>
    </row>
    <row r="229" spans="10:36" x14ac:dyDescent="0.3">
      <c r="J229" t="s">
        <v>511</v>
      </c>
      <c r="K229" t="s">
        <v>64</v>
      </c>
      <c r="L229" t="s">
        <v>29</v>
      </c>
      <c r="M229" t="s">
        <v>512</v>
      </c>
      <c r="N229" t="s">
        <v>56</v>
      </c>
      <c r="O229" t="s">
        <v>32</v>
      </c>
      <c r="P229">
        <v>39</v>
      </c>
      <c r="Q229">
        <v>3</v>
      </c>
      <c r="R229">
        <v>3</v>
      </c>
      <c r="S229">
        <v>70.790000000000006</v>
      </c>
      <c r="T229">
        <v>12.1</v>
      </c>
      <c r="U229">
        <v>7.31</v>
      </c>
      <c r="W229" t="s">
        <v>47</v>
      </c>
      <c r="Z229">
        <v>0</v>
      </c>
      <c r="AA229">
        <v>2</v>
      </c>
      <c r="AB229" t="s">
        <v>52</v>
      </c>
      <c r="AC229">
        <v>37</v>
      </c>
      <c r="AD229">
        <v>163</v>
      </c>
      <c r="AE229">
        <v>61</v>
      </c>
      <c r="AF229" t="s">
        <v>62</v>
      </c>
      <c r="AG229">
        <v>40.799999999999997</v>
      </c>
      <c r="AH229">
        <v>7.86</v>
      </c>
      <c r="AI229">
        <v>1.23</v>
      </c>
      <c r="AJ229">
        <v>73.52</v>
      </c>
    </row>
    <row r="230" spans="10:36" x14ac:dyDescent="0.3">
      <c r="J230" t="s">
        <v>513</v>
      </c>
      <c r="K230" t="s">
        <v>68</v>
      </c>
      <c r="L230" t="s">
        <v>29</v>
      </c>
      <c r="M230" t="s">
        <v>514</v>
      </c>
      <c r="N230" t="s">
        <v>56</v>
      </c>
      <c r="O230" t="s">
        <v>32</v>
      </c>
      <c r="P230">
        <v>43</v>
      </c>
      <c r="Q230">
        <v>1</v>
      </c>
      <c r="R230">
        <v>1</v>
      </c>
      <c r="S230">
        <v>55.42</v>
      </c>
      <c r="T230">
        <v>6.7</v>
      </c>
      <c r="U230">
        <v>5.52</v>
      </c>
      <c r="W230" t="s">
        <v>33</v>
      </c>
      <c r="Y230">
        <v>22</v>
      </c>
      <c r="Z230">
        <v>0</v>
      </c>
      <c r="AA230">
        <v>1</v>
      </c>
      <c r="AB230" t="s">
        <v>61</v>
      </c>
      <c r="AC230">
        <v>20</v>
      </c>
      <c r="AD230">
        <v>163</v>
      </c>
      <c r="AE230">
        <v>68</v>
      </c>
      <c r="AF230" t="s">
        <v>35</v>
      </c>
      <c r="AG230">
        <v>55.2</v>
      </c>
      <c r="AH230">
        <v>9.85</v>
      </c>
      <c r="AI230">
        <v>0.88</v>
      </c>
      <c r="AJ230">
        <v>80.12</v>
      </c>
    </row>
    <row r="231" spans="10:36" x14ac:dyDescent="0.3">
      <c r="J231" t="s">
        <v>515</v>
      </c>
      <c r="K231" t="s">
        <v>37</v>
      </c>
      <c r="L231" t="s">
        <v>38</v>
      </c>
      <c r="M231" t="s">
        <v>516</v>
      </c>
      <c r="N231" t="s">
        <v>56</v>
      </c>
      <c r="O231" t="s">
        <v>41</v>
      </c>
      <c r="P231">
        <v>73</v>
      </c>
      <c r="Q231">
        <v>4</v>
      </c>
      <c r="R231">
        <v>6</v>
      </c>
      <c r="S231">
        <v>89.67</v>
      </c>
      <c r="T231">
        <v>18.5</v>
      </c>
      <c r="U231">
        <v>11.4</v>
      </c>
      <c r="W231" t="s">
        <v>47</v>
      </c>
      <c r="Y231">
        <v>28</v>
      </c>
      <c r="Z231">
        <v>0</v>
      </c>
      <c r="AA231">
        <v>4</v>
      </c>
      <c r="AB231" t="s">
        <v>61</v>
      </c>
      <c r="AC231">
        <v>20</v>
      </c>
      <c r="AD231">
        <v>179</v>
      </c>
      <c r="AE231">
        <v>80</v>
      </c>
      <c r="AF231" t="s">
        <v>35</v>
      </c>
      <c r="AG231">
        <v>68.900000000000006</v>
      </c>
      <c r="AH231">
        <v>8.08</v>
      </c>
      <c r="AI231">
        <v>0.53</v>
      </c>
      <c r="AJ231">
        <v>74.290000000000006</v>
      </c>
    </row>
    <row r="232" spans="10:36" x14ac:dyDescent="0.3">
      <c r="J232" t="s">
        <v>517</v>
      </c>
      <c r="K232" t="s">
        <v>64</v>
      </c>
      <c r="L232" t="s">
        <v>38</v>
      </c>
      <c r="M232" t="s">
        <v>518</v>
      </c>
      <c r="N232" t="s">
        <v>80</v>
      </c>
      <c r="O232" t="s">
        <v>41</v>
      </c>
      <c r="P232">
        <v>52</v>
      </c>
      <c r="Q232">
        <v>1</v>
      </c>
      <c r="R232">
        <v>4</v>
      </c>
      <c r="S232">
        <v>75.8</v>
      </c>
      <c r="T232">
        <v>14.3</v>
      </c>
      <c r="U232">
        <v>7.25</v>
      </c>
      <c r="V232" s="1">
        <v>45287</v>
      </c>
      <c r="W232" t="s">
        <v>47</v>
      </c>
      <c r="Z232">
        <v>0</v>
      </c>
      <c r="AA232">
        <v>3</v>
      </c>
      <c r="AB232" t="s">
        <v>61</v>
      </c>
      <c r="AC232">
        <v>26</v>
      </c>
      <c r="AD232">
        <v>169</v>
      </c>
      <c r="AE232">
        <v>83</v>
      </c>
      <c r="AF232" t="s">
        <v>53</v>
      </c>
      <c r="AG232">
        <v>51.5</v>
      </c>
      <c r="AH232">
        <v>8.7100000000000009</v>
      </c>
      <c r="AI232">
        <v>1.34</v>
      </c>
      <c r="AJ232">
        <v>90.76</v>
      </c>
    </row>
    <row r="233" spans="10:36" x14ac:dyDescent="0.3">
      <c r="J233" t="s">
        <v>519</v>
      </c>
      <c r="K233" t="s">
        <v>68</v>
      </c>
      <c r="L233" t="s">
        <v>29</v>
      </c>
      <c r="M233" t="s">
        <v>520</v>
      </c>
      <c r="N233" t="s">
        <v>75</v>
      </c>
      <c r="O233" t="s">
        <v>41</v>
      </c>
      <c r="P233">
        <v>43</v>
      </c>
      <c r="Q233">
        <v>3</v>
      </c>
      <c r="R233">
        <v>0</v>
      </c>
      <c r="S233">
        <v>50.23</v>
      </c>
      <c r="T233">
        <v>5.3</v>
      </c>
      <c r="U233">
        <v>6.8</v>
      </c>
      <c r="W233" t="s">
        <v>47</v>
      </c>
      <c r="X233" s="1">
        <v>45073</v>
      </c>
      <c r="Z233">
        <v>0</v>
      </c>
      <c r="AA233">
        <v>2</v>
      </c>
      <c r="AB233" t="s">
        <v>43</v>
      </c>
      <c r="AC233">
        <v>23</v>
      </c>
      <c r="AD233">
        <v>183</v>
      </c>
      <c r="AE233">
        <v>93</v>
      </c>
      <c r="AF233" t="s">
        <v>70</v>
      </c>
      <c r="AG233">
        <v>41.2</v>
      </c>
      <c r="AH233">
        <v>7.25</v>
      </c>
      <c r="AI233">
        <v>0.51</v>
      </c>
      <c r="AJ233">
        <v>76.19</v>
      </c>
    </row>
    <row r="234" spans="10:36" x14ac:dyDescent="0.3">
      <c r="J234" t="s">
        <v>521</v>
      </c>
      <c r="K234" t="s">
        <v>28</v>
      </c>
      <c r="L234" t="s">
        <v>29</v>
      </c>
      <c r="M234" t="s">
        <v>522</v>
      </c>
      <c r="N234" t="s">
        <v>56</v>
      </c>
      <c r="O234" t="s">
        <v>32</v>
      </c>
      <c r="P234">
        <v>94</v>
      </c>
      <c r="Q234">
        <v>0</v>
      </c>
      <c r="R234">
        <v>0</v>
      </c>
      <c r="S234">
        <v>50.23</v>
      </c>
      <c r="T234">
        <v>5.2</v>
      </c>
      <c r="U234">
        <v>5.89</v>
      </c>
      <c r="W234" t="s">
        <v>33</v>
      </c>
      <c r="X234" s="1">
        <v>45029</v>
      </c>
      <c r="Y234">
        <v>43</v>
      </c>
      <c r="Z234">
        <v>0</v>
      </c>
      <c r="AA234">
        <v>2</v>
      </c>
      <c r="AB234" t="s">
        <v>43</v>
      </c>
      <c r="AC234">
        <v>30</v>
      </c>
      <c r="AD234">
        <v>194</v>
      </c>
      <c r="AE234">
        <v>81</v>
      </c>
      <c r="AF234" t="s">
        <v>70</v>
      </c>
      <c r="AG234">
        <v>40.9</v>
      </c>
      <c r="AH234">
        <v>9.1</v>
      </c>
      <c r="AI234">
        <v>1.2</v>
      </c>
      <c r="AJ234">
        <v>81.760000000000005</v>
      </c>
    </row>
    <row r="235" spans="10:36" x14ac:dyDescent="0.3">
      <c r="J235" t="s">
        <v>523</v>
      </c>
      <c r="K235" t="s">
        <v>64</v>
      </c>
      <c r="L235" t="s">
        <v>29</v>
      </c>
      <c r="M235" t="s">
        <v>524</v>
      </c>
      <c r="N235" t="s">
        <v>40</v>
      </c>
      <c r="O235" t="s">
        <v>41</v>
      </c>
      <c r="P235">
        <v>91</v>
      </c>
      <c r="Q235">
        <v>4</v>
      </c>
      <c r="R235">
        <v>6</v>
      </c>
      <c r="S235">
        <v>89.56</v>
      </c>
      <c r="T235">
        <v>18.5</v>
      </c>
      <c r="U235">
        <v>6.03</v>
      </c>
      <c r="W235" t="s">
        <v>43</v>
      </c>
      <c r="Z235">
        <v>0</v>
      </c>
      <c r="AA235">
        <v>1</v>
      </c>
      <c r="AB235" t="s">
        <v>34</v>
      </c>
      <c r="AC235">
        <v>38</v>
      </c>
      <c r="AD235">
        <v>185</v>
      </c>
      <c r="AE235">
        <v>62</v>
      </c>
      <c r="AF235" t="s">
        <v>53</v>
      </c>
      <c r="AG235">
        <v>51.6</v>
      </c>
      <c r="AH235">
        <v>9.09</v>
      </c>
      <c r="AI235">
        <v>1.47</v>
      </c>
      <c r="AJ235">
        <v>96.87</v>
      </c>
    </row>
    <row r="236" spans="10:36" x14ac:dyDescent="0.3">
      <c r="J236" t="s">
        <v>525</v>
      </c>
      <c r="K236" t="s">
        <v>28</v>
      </c>
      <c r="L236" t="s">
        <v>38</v>
      </c>
      <c r="M236" t="s">
        <v>526</v>
      </c>
      <c r="N236" t="s">
        <v>75</v>
      </c>
      <c r="O236" t="s">
        <v>32</v>
      </c>
      <c r="P236">
        <v>55</v>
      </c>
      <c r="Q236">
        <v>0</v>
      </c>
      <c r="R236">
        <v>2</v>
      </c>
      <c r="S236">
        <v>62.66</v>
      </c>
      <c r="T236">
        <v>9.8000000000000007</v>
      </c>
      <c r="U236">
        <v>10.85</v>
      </c>
      <c r="W236" t="s">
        <v>42</v>
      </c>
      <c r="X236" s="1">
        <v>45215</v>
      </c>
      <c r="Y236">
        <v>87</v>
      </c>
      <c r="Z236">
        <v>0</v>
      </c>
      <c r="AA236">
        <v>1</v>
      </c>
      <c r="AB236" t="s">
        <v>34</v>
      </c>
      <c r="AC236">
        <v>19</v>
      </c>
      <c r="AD236">
        <v>196</v>
      </c>
      <c r="AE236">
        <v>71</v>
      </c>
      <c r="AF236" t="s">
        <v>53</v>
      </c>
      <c r="AG236">
        <v>44.8</v>
      </c>
      <c r="AH236">
        <v>8.09</v>
      </c>
      <c r="AI236">
        <v>0.94</v>
      </c>
      <c r="AJ236">
        <v>76.13</v>
      </c>
    </row>
    <row r="237" spans="10:36" x14ac:dyDescent="0.3">
      <c r="J237" t="s">
        <v>527</v>
      </c>
      <c r="K237" t="s">
        <v>37</v>
      </c>
      <c r="L237" t="s">
        <v>29</v>
      </c>
      <c r="M237" t="s">
        <v>528</v>
      </c>
      <c r="N237" t="s">
        <v>80</v>
      </c>
      <c r="O237" t="s">
        <v>32</v>
      </c>
      <c r="P237">
        <v>57</v>
      </c>
      <c r="Q237">
        <v>0</v>
      </c>
      <c r="R237">
        <v>6</v>
      </c>
      <c r="S237">
        <v>89.45</v>
      </c>
      <c r="T237">
        <v>18.399999999999999</v>
      </c>
      <c r="U237">
        <v>11.88</v>
      </c>
      <c r="W237" t="s">
        <v>47</v>
      </c>
      <c r="Z237">
        <v>1</v>
      </c>
      <c r="AA237">
        <v>0</v>
      </c>
      <c r="AB237" t="s">
        <v>52</v>
      </c>
      <c r="AC237">
        <v>25</v>
      </c>
      <c r="AD237">
        <v>197</v>
      </c>
      <c r="AE237">
        <v>87</v>
      </c>
      <c r="AF237" t="s">
        <v>35</v>
      </c>
      <c r="AG237">
        <v>40.700000000000003</v>
      </c>
      <c r="AH237">
        <v>9.9</v>
      </c>
      <c r="AI237">
        <v>0.73</v>
      </c>
      <c r="AJ237">
        <v>85.23</v>
      </c>
    </row>
    <row r="238" spans="10:36" x14ac:dyDescent="0.3">
      <c r="J238" t="s">
        <v>529</v>
      </c>
      <c r="K238" t="s">
        <v>37</v>
      </c>
      <c r="L238" t="s">
        <v>29</v>
      </c>
      <c r="M238" t="s">
        <v>530</v>
      </c>
      <c r="N238" t="s">
        <v>51</v>
      </c>
      <c r="O238" t="s">
        <v>41</v>
      </c>
      <c r="P238">
        <v>44</v>
      </c>
      <c r="Q238">
        <v>0</v>
      </c>
      <c r="R238">
        <v>2</v>
      </c>
      <c r="S238">
        <v>62.48</v>
      </c>
      <c r="T238">
        <v>9.8000000000000007</v>
      </c>
      <c r="U238">
        <v>8.9700000000000006</v>
      </c>
      <c r="W238" t="s">
        <v>33</v>
      </c>
      <c r="Y238">
        <v>77</v>
      </c>
      <c r="Z238">
        <v>0</v>
      </c>
      <c r="AA238">
        <v>3</v>
      </c>
      <c r="AB238" t="s">
        <v>34</v>
      </c>
      <c r="AC238">
        <v>38</v>
      </c>
      <c r="AD238">
        <v>180</v>
      </c>
      <c r="AE238">
        <v>89</v>
      </c>
      <c r="AF238" t="s">
        <v>44</v>
      </c>
      <c r="AG238">
        <v>62.7</v>
      </c>
      <c r="AH238">
        <v>6.5</v>
      </c>
      <c r="AI238">
        <v>1.2</v>
      </c>
      <c r="AJ238">
        <v>82.58</v>
      </c>
    </row>
    <row r="239" spans="10:36" x14ac:dyDescent="0.3">
      <c r="J239" t="s">
        <v>531</v>
      </c>
      <c r="K239" t="s">
        <v>68</v>
      </c>
      <c r="L239" t="s">
        <v>29</v>
      </c>
      <c r="M239" t="s">
        <v>532</v>
      </c>
      <c r="N239" t="s">
        <v>40</v>
      </c>
      <c r="O239" t="s">
        <v>41</v>
      </c>
      <c r="P239">
        <v>37</v>
      </c>
      <c r="Q239">
        <v>2</v>
      </c>
      <c r="R239">
        <v>6</v>
      </c>
      <c r="S239">
        <v>89.07</v>
      </c>
      <c r="T239">
        <v>18.399999999999999</v>
      </c>
      <c r="U239">
        <v>9.8000000000000007</v>
      </c>
      <c r="W239" t="s">
        <v>42</v>
      </c>
      <c r="Y239">
        <v>61</v>
      </c>
      <c r="Z239">
        <v>0</v>
      </c>
      <c r="AA239">
        <v>0</v>
      </c>
      <c r="AB239" t="s">
        <v>52</v>
      </c>
      <c r="AC239">
        <v>19</v>
      </c>
      <c r="AD239">
        <v>199</v>
      </c>
      <c r="AE239">
        <v>85</v>
      </c>
      <c r="AF239" t="s">
        <v>70</v>
      </c>
      <c r="AG239">
        <v>53.8</v>
      </c>
      <c r="AH239">
        <v>6.07</v>
      </c>
      <c r="AI239">
        <v>1.32</v>
      </c>
      <c r="AJ239">
        <v>70.540000000000006</v>
      </c>
    </row>
    <row r="240" spans="10:36" x14ac:dyDescent="0.3">
      <c r="J240" t="s">
        <v>533</v>
      </c>
      <c r="K240" t="s">
        <v>28</v>
      </c>
      <c r="L240" t="s">
        <v>38</v>
      </c>
      <c r="M240" t="s">
        <v>534</v>
      </c>
      <c r="N240" t="s">
        <v>51</v>
      </c>
      <c r="O240" t="s">
        <v>32</v>
      </c>
      <c r="P240">
        <v>85</v>
      </c>
      <c r="Q240">
        <v>2</v>
      </c>
      <c r="R240">
        <v>4</v>
      </c>
      <c r="S240">
        <v>75.760000000000005</v>
      </c>
      <c r="T240">
        <v>14.2</v>
      </c>
      <c r="U240">
        <v>11.86</v>
      </c>
      <c r="W240" t="s">
        <v>33</v>
      </c>
      <c r="Y240">
        <v>36</v>
      </c>
      <c r="Z240">
        <v>1</v>
      </c>
      <c r="AA240">
        <v>2</v>
      </c>
      <c r="AB240" t="s">
        <v>52</v>
      </c>
      <c r="AC240">
        <v>21</v>
      </c>
      <c r="AD240">
        <v>198</v>
      </c>
      <c r="AE240">
        <v>80</v>
      </c>
      <c r="AF240" t="s">
        <v>48</v>
      </c>
      <c r="AG240">
        <v>48.7</v>
      </c>
      <c r="AH240">
        <v>9.08</v>
      </c>
      <c r="AI240">
        <v>1.05</v>
      </c>
      <c r="AJ240">
        <v>93.78</v>
      </c>
    </row>
    <row r="241" spans="10:36" x14ac:dyDescent="0.3">
      <c r="J241" t="s">
        <v>535</v>
      </c>
      <c r="K241" t="s">
        <v>64</v>
      </c>
      <c r="L241" t="s">
        <v>29</v>
      </c>
      <c r="M241" t="s">
        <v>536</v>
      </c>
      <c r="N241" t="s">
        <v>80</v>
      </c>
      <c r="O241" t="s">
        <v>32</v>
      </c>
      <c r="P241">
        <v>73</v>
      </c>
      <c r="Q241">
        <v>0</v>
      </c>
      <c r="R241">
        <v>5</v>
      </c>
      <c r="S241">
        <v>82.95</v>
      </c>
      <c r="T241">
        <v>16.100000000000001</v>
      </c>
      <c r="U241">
        <v>5.17</v>
      </c>
      <c r="W241" t="s">
        <v>42</v>
      </c>
      <c r="Y241">
        <v>38</v>
      </c>
      <c r="Z241">
        <v>0</v>
      </c>
      <c r="AA241">
        <v>4</v>
      </c>
      <c r="AB241" t="s">
        <v>34</v>
      </c>
      <c r="AC241">
        <v>32</v>
      </c>
      <c r="AD241">
        <v>180</v>
      </c>
      <c r="AE241">
        <v>87</v>
      </c>
      <c r="AF241" t="s">
        <v>44</v>
      </c>
      <c r="AG241">
        <v>67</v>
      </c>
      <c r="AH241">
        <v>9.23</v>
      </c>
      <c r="AI241">
        <v>1.47</v>
      </c>
      <c r="AJ241">
        <v>72.069999999999993</v>
      </c>
    </row>
    <row r="242" spans="10:36" x14ac:dyDescent="0.3">
      <c r="J242" t="s">
        <v>537</v>
      </c>
      <c r="K242" t="s">
        <v>28</v>
      </c>
      <c r="L242" t="s">
        <v>38</v>
      </c>
      <c r="M242" t="s">
        <v>538</v>
      </c>
      <c r="N242" t="s">
        <v>40</v>
      </c>
      <c r="O242" t="s">
        <v>32</v>
      </c>
      <c r="P242">
        <v>54</v>
      </c>
      <c r="Q242">
        <v>4</v>
      </c>
      <c r="R242">
        <v>0</v>
      </c>
      <c r="S242">
        <v>50.15</v>
      </c>
      <c r="T242">
        <v>5.2</v>
      </c>
      <c r="U242">
        <v>8.23</v>
      </c>
      <c r="W242" t="s">
        <v>47</v>
      </c>
      <c r="Z242">
        <v>0</v>
      </c>
      <c r="AA242">
        <v>4</v>
      </c>
      <c r="AB242" t="s">
        <v>43</v>
      </c>
      <c r="AC242">
        <v>21</v>
      </c>
      <c r="AD242">
        <v>169</v>
      </c>
      <c r="AE242">
        <v>85</v>
      </c>
      <c r="AF242" t="s">
        <v>48</v>
      </c>
      <c r="AG242">
        <v>43.5</v>
      </c>
      <c r="AH242">
        <v>6.48</v>
      </c>
      <c r="AI242">
        <v>0.55000000000000004</v>
      </c>
      <c r="AJ242">
        <v>84.23</v>
      </c>
    </row>
    <row r="243" spans="10:36" x14ac:dyDescent="0.3">
      <c r="J243" t="s">
        <v>539</v>
      </c>
      <c r="K243" t="s">
        <v>28</v>
      </c>
      <c r="L243" t="s">
        <v>29</v>
      </c>
      <c r="M243" t="s">
        <v>540</v>
      </c>
      <c r="N243" t="s">
        <v>56</v>
      </c>
      <c r="O243" t="s">
        <v>32</v>
      </c>
      <c r="P243">
        <v>80</v>
      </c>
      <c r="Q243">
        <v>3</v>
      </c>
      <c r="R243">
        <v>6</v>
      </c>
      <c r="S243">
        <v>88.9</v>
      </c>
      <c r="T243">
        <v>18.399999999999999</v>
      </c>
      <c r="U243">
        <v>14.73</v>
      </c>
      <c r="W243" t="s">
        <v>43</v>
      </c>
      <c r="Z243">
        <v>0</v>
      </c>
      <c r="AA243">
        <v>1</v>
      </c>
      <c r="AB243" t="s">
        <v>34</v>
      </c>
      <c r="AC243">
        <v>30</v>
      </c>
      <c r="AD243">
        <v>197</v>
      </c>
      <c r="AE243">
        <v>92</v>
      </c>
      <c r="AF243" t="s">
        <v>35</v>
      </c>
      <c r="AG243">
        <v>68.7</v>
      </c>
      <c r="AH243">
        <v>7.06</v>
      </c>
      <c r="AI243">
        <v>1</v>
      </c>
      <c r="AJ243">
        <v>86.82</v>
      </c>
    </row>
    <row r="244" spans="10:36" x14ac:dyDescent="0.3">
      <c r="J244" t="s">
        <v>541</v>
      </c>
      <c r="K244" t="s">
        <v>28</v>
      </c>
      <c r="L244" t="s">
        <v>38</v>
      </c>
      <c r="M244" t="s">
        <v>542</v>
      </c>
      <c r="N244" t="s">
        <v>56</v>
      </c>
      <c r="O244" t="s">
        <v>41</v>
      </c>
      <c r="P244">
        <v>60</v>
      </c>
      <c r="Q244">
        <v>3</v>
      </c>
      <c r="R244">
        <v>4</v>
      </c>
      <c r="S244">
        <v>75.709999999999994</v>
      </c>
      <c r="T244">
        <v>14.2</v>
      </c>
      <c r="U244">
        <v>10.8</v>
      </c>
      <c r="W244" t="s">
        <v>42</v>
      </c>
      <c r="Y244">
        <v>37</v>
      </c>
      <c r="Z244">
        <v>0</v>
      </c>
      <c r="AA244">
        <v>4</v>
      </c>
      <c r="AB244" t="s">
        <v>34</v>
      </c>
      <c r="AC244">
        <v>29</v>
      </c>
      <c r="AD244">
        <v>163</v>
      </c>
      <c r="AE244">
        <v>80</v>
      </c>
      <c r="AF244" t="s">
        <v>70</v>
      </c>
      <c r="AG244">
        <v>49.4</v>
      </c>
      <c r="AH244">
        <v>6.07</v>
      </c>
      <c r="AI244">
        <v>1.22</v>
      </c>
      <c r="AJ244">
        <v>88.85</v>
      </c>
    </row>
    <row r="245" spans="10:36" x14ac:dyDescent="0.3">
      <c r="J245" t="s">
        <v>543</v>
      </c>
      <c r="K245" t="s">
        <v>37</v>
      </c>
      <c r="L245" t="s">
        <v>65</v>
      </c>
      <c r="M245" t="s">
        <v>544</v>
      </c>
      <c r="N245" t="s">
        <v>56</v>
      </c>
      <c r="O245" t="s">
        <v>41</v>
      </c>
      <c r="P245">
        <v>52</v>
      </c>
      <c r="Q245">
        <v>1</v>
      </c>
      <c r="R245">
        <v>2</v>
      </c>
      <c r="S245">
        <v>62.28</v>
      </c>
      <c r="T245">
        <v>9.8000000000000007</v>
      </c>
      <c r="U245">
        <v>7.54</v>
      </c>
      <c r="W245" t="s">
        <v>42</v>
      </c>
      <c r="X245" s="1">
        <v>45123</v>
      </c>
      <c r="Z245">
        <v>0</v>
      </c>
      <c r="AA245">
        <v>4</v>
      </c>
      <c r="AB245" t="s">
        <v>52</v>
      </c>
      <c r="AC245">
        <v>30</v>
      </c>
      <c r="AD245">
        <v>179</v>
      </c>
      <c r="AE245">
        <v>94</v>
      </c>
      <c r="AF245" t="s">
        <v>53</v>
      </c>
      <c r="AG245">
        <v>66.7</v>
      </c>
      <c r="AH245">
        <v>7.17</v>
      </c>
      <c r="AI245">
        <v>1.36</v>
      </c>
      <c r="AJ245">
        <v>90.66</v>
      </c>
    </row>
    <row r="246" spans="10:36" x14ac:dyDescent="0.3">
      <c r="J246" t="s">
        <v>545</v>
      </c>
      <c r="K246" t="s">
        <v>37</v>
      </c>
      <c r="L246" t="s">
        <v>65</v>
      </c>
      <c r="M246" t="s">
        <v>546</v>
      </c>
      <c r="N246" t="s">
        <v>94</v>
      </c>
      <c r="O246" t="s">
        <v>32</v>
      </c>
      <c r="P246">
        <v>87</v>
      </c>
      <c r="Q246">
        <v>4</v>
      </c>
      <c r="R246">
        <v>2</v>
      </c>
      <c r="S246">
        <v>62.23</v>
      </c>
      <c r="T246">
        <v>9.6</v>
      </c>
      <c r="U246">
        <v>10.220000000000001</v>
      </c>
      <c r="W246" t="s">
        <v>47</v>
      </c>
      <c r="Y246">
        <v>44</v>
      </c>
      <c r="Z246">
        <v>1</v>
      </c>
      <c r="AA246">
        <v>4</v>
      </c>
      <c r="AB246" t="s">
        <v>43</v>
      </c>
      <c r="AC246">
        <v>31</v>
      </c>
      <c r="AD246">
        <v>176</v>
      </c>
      <c r="AE246">
        <v>93</v>
      </c>
      <c r="AF246" t="s">
        <v>53</v>
      </c>
      <c r="AG246">
        <v>58.1</v>
      </c>
      <c r="AH246">
        <v>9.09</v>
      </c>
      <c r="AI246">
        <v>0.68</v>
      </c>
      <c r="AJ246">
        <v>77.599999999999994</v>
      </c>
    </row>
    <row r="247" spans="10:36" x14ac:dyDescent="0.3">
      <c r="J247" t="s">
        <v>547</v>
      </c>
      <c r="K247" t="s">
        <v>68</v>
      </c>
      <c r="L247" t="s">
        <v>29</v>
      </c>
      <c r="M247" t="s">
        <v>548</v>
      </c>
      <c r="N247" t="s">
        <v>40</v>
      </c>
      <c r="O247" t="s">
        <v>32</v>
      </c>
      <c r="P247">
        <v>52</v>
      </c>
      <c r="Q247">
        <v>2</v>
      </c>
      <c r="R247">
        <v>0</v>
      </c>
      <c r="S247">
        <v>50.11</v>
      </c>
      <c r="T247">
        <v>5.2</v>
      </c>
      <c r="U247">
        <v>8.43</v>
      </c>
      <c r="V247" s="1">
        <v>45181</v>
      </c>
      <c r="W247" t="s">
        <v>42</v>
      </c>
      <c r="X247" s="1">
        <v>45027</v>
      </c>
      <c r="Y247">
        <v>17</v>
      </c>
      <c r="Z247">
        <v>0</v>
      </c>
      <c r="AA247">
        <v>2</v>
      </c>
      <c r="AB247" t="s">
        <v>34</v>
      </c>
      <c r="AC247">
        <v>37</v>
      </c>
      <c r="AD247">
        <v>166</v>
      </c>
      <c r="AE247">
        <v>77</v>
      </c>
      <c r="AF247" t="s">
        <v>70</v>
      </c>
      <c r="AG247">
        <v>64.8</v>
      </c>
      <c r="AH247">
        <v>8.07</v>
      </c>
      <c r="AI247">
        <v>1.3</v>
      </c>
      <c r="AJ247">
        <v>70.3</v>
      </c>
    </row>
    <row r="248" spans="10:36" x14ac:dyDescent="0.3">
      <c r="J248" t="s">
        <v>549</v>
      </c>
      <c r="K248" t="s">
        <v>68</v>
      </c>
      <c r="L248" t="s">
        <v>65</v>
      </c>
      <c r="M248" t="s">
        <v>550</v>
      </c>
      <c r="N248" t="s">
        <v>94</v>
      </c>
      <c r="O248" t="s">
        <v>32</v>
      </c>
      <c r="P248">
        <v>33</v>
      </c>
      <c r="Q248">
        <v>0</v>
      </c>
      <c r="R248">
        <v>3</v>
      </c>
      <c r="S248">
        <v>70.69</v>
      </c>
      <c r="T248">
        <v>12</v>
      </c>
      <c r="U248">
        <v>10.32</v>
      </c>
      <c r="V248" s="1">
        <v>45155</v>
      </c>
      <c r="W248" t="s">
        <v>42</v>
      </c>
      <c r="Z248">
        <v>0</v>
      </c>
      <c r="AA248">
        <v>4</v>
      </c>
      <c r="AB248" t="s">
        <v>52</v>
      </c>
      <c r="AC248">
        <v>35</v>
      </c>
      <c r="AD248">
        <v>163</v>
      </c>
      <c r="AE248">
        <v>70</v>
      </c>
      <c r="AF248" t="s">
        <v>44</v>
      </c>
      <c r="AG248">
        <v>69.5</v>
      </c>
      <c r="AH248">
        <v>7.39</v>
      </c>
      <c r="AI248">
        <v>1.05</v>
      </c>
      <c r="AJ248">
        <v>91.7</v>
      </c>
    </row>
    <row r="249" spans="10:36" x14ac:dyDescent="0.3">
      <c r="J249" t="s">
        <v>551</v>
      </c>
      <c r="K249" t="s">
        <v>37</v>
      </c>
      <c r="L249" t="s">
        <v>29</v>
      </c>
      <c r="M249" t="s">
        <v>552</v>
      </c>
      <c r="N249" t="s">
        <v>56</v>
      </c>
      <c r="O249" t="s">
        <v>32</v>
      </c>
      <c r="P249">
        <v>40</v>
      </c>
      <c r="Q249">
        <v>1</v>
      </c>
      <c r="R249">
        <v>6</v>
      </c>
      <c r="S249">
        <v>88.75</v>
      </c>
      <c r="T249">
        <v>18.399999999999999</v>
      </c>
      <c r="U249">
        <v>6.26</v>
      </c>
      <c r="V249" s="1">
        <v>45084</v>
      </c>
      <c r="W249" t="s">
        <v>43</v>
      </c>
      <c r="Y249">
        <v>25</v>
      </c>
      <c r="Z249">
        <v>0</v>
      </c>
      <c r="AA249">
        <v>4</v>
      </c>
      <c r="AB249" t="s">
        <v>34</v>
      </c>
      <c r="AC249">
        <v>23</v>
      </c>
      <c r="AD249">
        <v>188</v>
      </c>
      <c r="AE249">
        <v>82</v>
      </c>
      <c r="AF249" t="s">
        <v>48</v>
      </c>
      <c r="AG249">
        <v>48.7</v>
      </c>
      <c r="AH249">
        <v>7.49</v>
      </c>
      <c r="AI249">
        <v>0.9</v>
      </c>
      <c r="AJ249">
        <v>86.07</v>
      </c>
    </row>
    <row r="250" spans="10:36" x14ac:dyDescent="0.3">
      <c r="J250" t="s">
        <v>553</v>
      </c>
      <c r="K250" t="s">
        <v>37</v>
      </c>
      <c r="L250" t="s">
        <v>38</v>
      </c>
      <c r="M250" t="s">
        <v>554</v>
      </c>
      <c r="N250" t="s">
        <v>31</v>
      </c>
      <c r="O250" t="s">
        <v>32</v>
      </c>
      <c r="P250">
        <v>67</v>
      </c>
      <c r="Q250">
        <v>3</v>
      </c>
      <c r="R250">
        <v>1</v>
      </c>
      <c r="S250">
        <v>55.42</v>
      </c>
      <c r="T250">
        <v>6.7</v>
      </c>
      <c r="U250">
        <v>6.33</v>
      </c>
      <c r="W250" t="s">
        <v>47</v>
      </c>
      <c r="X250" s="1">
        <v>45183</v>
      </c>
      <c r="Y250">
        <v>45</v>
      </c>
      <c r="Z250">
        <v>0</v>
      </c>
      <c r="AA250">
        <v>4</v>
      </c>
      <c r="AB250" t="s">
        <v>61</v>
      </c>
      <c r="AC250">
        <v>28</v>
      </c>
      <c r="AD250">
        <v>173</v>
      </c>
      <c r="AE250">
        <v>81</v>
      </c>
      <c r="AF250" t="s">
        <v>48</v>
      </c>
      <c r="AG250">
        <v>68.8</v>
      </c>
      <c r="AH250">
        <v>6.01</v>
      </c>
      <c r="AI250">
        <v>0.63</v>
      </c>
      <c r="AJ250">
        <v>95.08</v>
      </c>
    </row>
    <row r="251" spans="10:36" x14ac:dyDescent="0.3">
      <c r="J251" t="s">
        <v>555</v>
      </c>
      <c r="K251" t="s">
        <v>37</v>
      </c>
      <c r="L251" t="s">
        <v>29</v>
      </c>
      <c r="M251" t="s">
        <v>556</v>
      </c>
      <c r="N251" t="s">
        <v>31</v>
      </c>
      <c r="O251" t="s">
        <v>41</v>
      </c>
      <c r="P251">
        <v>39</v>
      </c>
      <c r="Q251">
        <v>2</v>
      </c>
      <c r="R251">
        <v>2</v>
      </c>
      <c r="S251">
        <v>62.15</v>
      </c>
      <c r="T251">
        <v>9.4</v>
      </c>
      <c r="U251">
        <v>6.44</v>
      </c>
      <c r="W251" t="s">
        <v>42</v>
      </c>
      <c r="X251" s="1">
        <v>44987</v>
      </c>
      <c r="Y251">
        <v>39</v>
      </c>
      <c r="Z251">
        <v>0</v>
      </c>
      <c r="AA251">
        <v>0</v>
      </c>
      <c r="AB251" t="s">
        <v>34</v>
      </c>
      <c r="AC251">
        <v>19</v>
      </c>
      <c r="AD251">
        <v>162</v>
      </c>
      <c r="AE251">
        <v>76</v>
      </c>
      <c r="AF251" t="s">
        <v>35</v>
      </c>
      <c r="AG251">
        <v>51.7</v>
      </c>
      <c r="AH251">
        <v>7.2</v>
      </c>
      <c r="AI251">
        <v>1.37</v>
      </c>
      <c r="AJ251">
        <v>94.64</v>
      </c>
    </row>
    <row r="252" spans="10:36" x14ac:dyDescent="0.3">
      <c r="J252" t="s">
        <v>557</v>
      </c>
      <c r="K252" t="s">
        <v>37</v>
      </c>
      <c r="L252" t="s">
        <v>29</v>
      </c>
      <c r="M252" t="s">
        <v>558</v>
      </c>
      <c r="N252" t="s">
        <v>94</v>
      </c>
      <c r="O252" t="s">
        <v>41</v>
      </c>
      <c r="P252">
        <v>27</v>
      </c>
      <c r="Q252">
        <v>2</v>
      </c>
      <c r="R252">
        <v>5</v>
      </c>
      <c r="S252">
        <v>82.9</v>
      </c>
      <c r="T252">
        <v>16.100000000000001</v>
      </c>
      <c r="U252">
        <v>14.4</v>
      </c>
      <c r="W252" t="s">
        <v>43</v>
      </c>
      <c r="X252" s="1">
        <v>45072</v>
      </c>
      <c r="Z252">
        <v>0</v>
      </c>
      <c r="AA252">
        <v>2</v>
      </c>
      <c r="AB252" t="s">
        <v>52</v>
      </c>
      <c r="AC252">
        <v>36</v>
      </c>
      <c r="AD252">
        <v>183</v>
      </c>
      <c r="AE252">
        <v>64</v>
      </c>
      <c r="AF252" t="s">
        <v>62</v>
      </c>
      <c r="AG252">
        <v>51.6</v>
      </c>
      <c r="AH252">
        <v>8.59</v>
      </c>
      <c r="AI252">
        <v>0.66</v>
      </c>
      <c r="AJ252">
        <v>95.3</v>
      </c>
    </row>
    <row r="253" spans="10:36" x14ac:dyDescent="0.3">
      <c r="J253" t="s">
        <v>559</v>
      </c>
      <c r="K253" t="s">
        <v>64</v>
      </c>
      <c r="L253" t="s">
        <v>38</v>
      </c>
      <c r="M253" t="s">
        <v>560</v>
      </c>
      <c r="N253" t="s">
        <v>80</v>
      </c>
      <c r="O253" t="s">
        <v>32</v>
      </c>
      <c r="P253">
        <v>26</v>
      </c>
      <c r="Q253">
        <v>0</v>
      </c>
      <c r="R253">
        <v>5</v>
      </c>
      <c r="S253">
        <v>82.58</v>
      </c>
      <c r="T253">
        <v>16</v>
      </c>
      <c r="U253">
        <v>12.33</v>
      </c>
      <c r="W253" t="s">
        <v>42</v>
      </c>
      <c r="Z253">
        <v>0</v>
      </c>
      <c r="AA253">
        <v>1</v>
      </c>
      <c r="AB253" t="s">
        <v>52</v>
      </c>
      <c r="AC253">
        <v>36</v>
      </c>
      <c r="AD253">
        <v>196</v>
      </c>
      <c r="AE253">
        <v>70</v>
      </c>
      <c r="AF253" t="s">
        <v>35</v>
      </c>
      <c r="AG253">
        <v>50.2</v>
      </c>
      <c r="AH253">
        <v>9.9</v>
      </c>
      <c r="AI253">
        <v>0.81</v>
      </c>
      <c r="AJ253">
        <v>84.55</v>
      </c>
    </row>
    <row r="254" spans="10:36" x14ac:dyDescent="0.3">
      <c r="J254" t="s">
        <v>561</v>
      </c>
      <c r="K254" t="s">
        <v>64</v>
      </c>
      <c r="L254" t="s">
        <v>29</v>
      </c>
      <c r="M254" t="s">
        <v>562</v>
      </c>
      <c r="N254" t="s">
        <v>51</v>
      </c>
      <c r="O254" t="s">
        <v>32</v>
      </c>
      <c r="P254">
        <v>86</v>
      </c>
      <c r="Q254">
        <v>3</v>
      </c>
      <c r="R254">
        <v>2</v>
      </c>
      <c r="S254">
        <v>61.99</v>
      </c>
      <c r="T254">
        <v>9.4</v>
      </c>
      <c r="U254">
        <v>6.62</v>
      </c>
      <c r="W254" t="s">
        <v>43</v>
      </c>
      <c r="X254" s="1">
        <v>45211</v>
      </c>
      <c r="Y254">
        <v>27</v>
      </c>
      <c r="Z254">
        <v>0</v>
      </c>
      <c r="AA254">
        <v>0</v>
      </c>
      <c r="AB254" t="s">
        <v>43</v>
      </c>
      <c r="AC254">
        <v>22</v>
      </c>
      <c r="AD254">
        <v>175</v>
      </c>
      <c r="AE254">
        <v>89</v>
      </c>
      <c r="AF254" t="s">
        <v>62</v>
      </c>
      <c r="AG254">
        <v>56.2</v>
      </c>
      <c r="AH254">
        <v>9.39</v>
      </c>
      <c r="AI254">
        <v>0.79</v>
      </c>
      <c r="AJ254">
        <v>80.010000000000005</v>
      </c>
    </row>
    <row r="255" spans="10:36" x14ac:dyDescent="0.3">
      <c r="J255" t="s">
        <v>563</v>
      </c>
      <c r="K255" t="s">
        <v>37</v>
      </c>
      <c r="L255" t="s">
        <v>29</v>
      </c>
      <c r="M255" t="s">
        <v>564</v>
      </c>
      <c r="N255" t="s">
        <v>31</v>
      </c>
      <c r="O255" t="s">
        <v>32</v>
      </c>
      <c r="P255">
        <v>36</v>
      </c>
      <c r="Q255">
        <v>4</v>
      </c>
      <c r="R255">
        <v>3</v>
      </c>
      <c r="S255">
        <v>70.58</v>
      </c>
      <c r="T255">
        <v>12</v>
      </c>
      <c r="U255">
        <v>6.88</v>
      </c>
      <c r="W255" t="s">
        <v>43</v>
      </c>
      <c r="Z255">
        <v>0</v>
      </c>
      <c r="AA255">
        <v>3</v>
      </c>
      <c r="AB255" t="s">
        <v>52</v>
      </c>
      <c r="AC255">
        <v>36</v>
      </c>
      <c r="AD255">
        <v>163</v>
      </c>
      <c r="AE255">
        <v>74</v>
      </c>
      <c r="AF255" t="s">
        <v>70</v>
      </c>
      <c r="AG255">
        <v>44.6</v>
      </c>
      <c r="AH255">
        <v>6.09</v>
      </c>
      <c r="AI255">
        <v>1.37</v>
      </c>
      <c r="AJ255">
        <v>93.75</v>
      </c>
    </row>
    <row r="256" spans="10:36" x14ac:dyDescent="0.3">
      <c r="J256" t="s">
        <v>565</v>
      </c>
      <c r="K256" t="s">
        <v>37</v>
      </c>
      <c r="L256" t="s">
        <v>65</v>
      </c>
      <c r="M256" t="s">
        <v>566</v>
      </c>
      <c r="N256" t="s">
        <v>40</v>
      </c>
      <c r="O256" t="s">
        <v>41</v>
      </c>
      <c r="P256">
        <v>52</v>
      </c>
      <c r="Q256">
        <v>2</v>
      </c>
      <c r="R256">
        <v>3</v>
      </c>
      <c r="S256">
        <v>70.48</v>
      </c>
      <c r="T256">
        <v>12</v>
      </c>
      <c r="U256">
        <v>12.31</v>
      </c>
      <c r="W256" t="s">
        <v>42</v>
      </c>
      <c r="Z256">
        <v>0</v>
      </c>
      <c r="AA256">
        <v>2</v>
      </c>
      <c r="AB256" t="s">
        <v>43</v>
      </c>
      <c r="AC256">
        <v>19</v>
      </c>
      <c r="AD256">
        <v>183</v>
      </c>
      <c r="AE256">
        <v>86</v>
      </c>
      <c r="AF256" t="s">
        <v>35</v>
      </c>
      <c r="AG256">
        <v>56.6</v>
      </c>
      <c r="AH256">
        <v>9.59</v>
      </c>
      <c r="AI256">
        <v>1.17</v>
      </c>
      <c r="AJ256">
        <v>83.54</v>
      </c>
    </row>
    <row r="257" spans="10:36" x14ac:dyDescent="0.3">
      <c r="J257" t="s">
        <v>567</v>
      </c>
      <c r="K257" t="s">
        <v>68</v>
      </c>
      <c r="L257" t="s">
        <v>38</v>
      </c>
      <c r="M257" t="s">
        <v>568</v>
      </c>
      <c r="N257" t="s">
        <v>31</v>
      </c>
      <c r="O257" t="s">
        <v>41</v>
      </c>
      <c r="P257">
        <v>67</v>
      </c>
      <c r="Q257">
        <v>0</v>
      </c>
      <c r="R257">
        <v>4</v>
      </c>
      <c r="S257">
        <v>75.459999999999994</v>
      </c>
      <c r="T257">
        <v>14.2</v>
      </c>
      <c r="U257">
        <v>6.56</v>
      </c>
      <c r="V257" s="1">
        <v>44994</v>
      </c>
      <c r="W257" t="s">
        <v>43</v>
      </c>
      <c r="X257" s="1">
        <v>45213</v>
      </c>
      <c r="Z257">
        <v>1</v>
      </c>
      <c r="AA257">
        <v>2</v>
      </c>
      <c r="AB257" t="s">
        <v>34</v>
      </c>
      <c r="AC257">
        <v>27</v>
      </c>
      <c r="AD257">
        <v>193</v>
      </c>
      <c r="AE257">
        <v>94</v>
      </c>
      <c r="AF257" t="s">
        <v>35</v>
      </c>
      <c r="AG257">
        <v>56.3</v>
      </c>
      <c r="AH257">
        <v>9.1300000000000008</v>
      </c>
      <c r="AI257">
        <v>1.3</v>
      </c>
      <c r="AJ257">
        <v>75.5</v>
      </c>
    </row>
    <row r="258" spans="10:36" x14ac:dyDescent="0.3">
      <c r="J258" t="s">
        <v>569</v>
      </c>
      <c r="K258" t="s">
        <v>28</v>
      </c>
      <c r="L258" t="s">
        <v>38</v>
      </c>
      <c r="M258" t="s">
        <v>570</v>
      </c>
      <c r="N258" t="s">
        <v>94</v>
      </c>
      <c r="O258" t="s">
        <v>41</v>
      </c>
      <c r="P258">
        <v>78</v>
      </c>
      <c r="Q258">
        <v>4</v>
      </c>
      <c r="R258">
        <v>5</v>
      </c>
      <c r="S258">
        <v>82.47</v>
      </c>
      <c r="T258">
        <v>15.9</v>
      </c>
      <c r="U258">
        <v>7.35</v>
      </c>
      <c r="W258" t="s">
        <v>42</v>
      </c>
      <c r="Z258">
        <v>0</v>
      </c>
      <c r="AA258">
        <v>3</v>
      </c>
      <c r="AB258" t="s">
        <v>61</v>
      </c>
      <c r="AC258">
        <v>19</v>
      </c>
      <c r="AD258">
        <v>189</v>
      </c>
      <c r="AE258">
        <v>92</v>
      </c>
      <c r="AF258" t="s">
        <v>53</v>
      </c>
      <c r="AG258">
        <v>62.9</v>
      </c>
      <c r="AH258">
        <v>9.1199999999999992</v>
      </c>
      <c r="AI258">
        <v>0.75</v>
      </c>
      <c r="AJ258">
        <v>95.65</v>
      </c>
    </row>
    <row r="259" spans="10:36" x14ac:dyDescent="0.3">
      <c r="J259" t="s">
        <v>571</v>
      </c>
      <c r="K259" t="s">
        <v>37</v>
      </c>
      <c r="L259" t="s">
        <v>38</v>
      </c>
      <c r="M259" t="s">
        <v>572</v>
      </c>
      <c r="N259" t="s">
        <v>75</v>
      </c>
      <c r="O259" t="s">
        <v>32</v>
      </c>
      <c r="P259">
        <v>41</v>
      </c>
      <c r="Q259">
        <v>3</v>
      </c>
      <c r="R259">
        <v>4</v>
      </c>
      <c r="S259">
        <v>75.23</v>
      </c>
      <c r="T259">
        <v>14.2</v>
      </c>
      <c r="U259">
        <v>14.63</v>
      </c>
      <c r="W259" t="s">
        <v>42</v>
      </c>
      <c r="Y259">
        <v>11</v>
      </c>
      <c r="Z259">
        <v>0</v>
      </c>
      <c r="AA259">
        <v>3</v>
      </c>
      <c r="AB259" t="s">
        <v>34</v>
      </c>
      <c r="AC259">
        <v>28</v>
      </c>
      <c r="AD259">
        <v>177</v>
      </c>
      <c r="AE259">
        <v>79</v>
      </c>
      <c r="AF259" t="s">
        <v>35</v>
      </c>
      <c r="AG259">
        <v>65</v>
      </c>
      <c r="AH259">
        <v>7.83</v>
      </c>
      <c r="AI259">
        <v>1.1200000000000001</v>
      </c>
      <c r="AJ259">
        <v>96.48</v>
      </c>
    </row>
    <row r="260" spans="10:36" x14ac:dyDescent="0.3">
      <c r="J260" t="s">
        <v>573</v>
      </c>
      <c r="K260" t="s">
        <v>68</v>
      </c>
      <c r="L260" t="s">
        <v>38</v>
      </c>
      <c r="M260" t="s">
        <v>574</v>
      </c>
      <c r="N260" t="s">
        <v>80</v>
      </c>
      <c r="O260" t="s">
        <v>41</v>
      </c>
      <c r="P260">
        <v>49</v>
      </c>
      <c r="Q260">
        <v>2</v>
      </c>
      <c r="R260">
        <v>5</v>
      </c>
      <c r="S260">
        <v>82.41</v>
      </c>
      <c r="T260">
        <v>15.9</v>
      </c>
      <c r="U260">
        <v>7.55</v>
      </c>
      <c r="V260" s="1">
        <v>45124</v>
      </c>
      <c r="W260" t="s">
        <v>43</v>
      </c>
      <c r="X260" s="1">
        <v>45093</v>
      </c>
      <c r="Z260">
        <v>0</v>
      </c>
      <c r="AA260">
        <v>3</v>
      </c>
      <c r="AB260" t="s">
        <v>43</v>
      </c>
      <c r="AC260">
        <v>35</v>
      </c>
      <c r="AD260">
        <v>178</v>
      </c>
      <c r="AE260">
        <v>75</v>
      </c>
      <c r="AF260" t="s">
        <v>48</v>
      </c>
      <c r="AG260">
        <v>53.2</v>
      </c>
      <c r="AH260">
        <v>7.59</v>
      </c>
      <c r="AI260">
        <v>1.07</v>
      </c>
      <c r="AJ260">
        <v>83.99</v>
      </c>
    </row>
    <row r="261" spans="10:36" x14ac:dyDescent="0.3">
      <c r="J261" t="s">
        <v>575</v>
      </c>
      <c r="K261" t="s">
        <v>68</v>
      </c>
      <c r="L261" t="s">
        <v>38</v>
      </c>
      <c r="M261" t="s">
        <v>576</v>
      </c>
      <c r="N261" t="s">
        <v>31</v>
      </c>
      <c r="O261" t="s">
        <v>41</v>
      </c>
      <c r="P261">
        <v>57</v>
      </c>
      <c r="Q261">
        <v>4</v>
      </c>
      <c r="R261">
        <v>6</v>
      </c>
      <c r="S261">
        <v>88.71</v>
      </c>
      <c r="T261">
        <v>18.3</v>
      </c>
      <c r="U261">
        <v>11.62</v>
      </c>
      <c r="W261" t="s">
        <v>43</v>
      </c>
      <c r="Y261">
        <v>58</v>
      </c>
      <c r="Z261">
        <v>0</v>
      </c>
      <c r="AA261">
        <v>1</v>
      </c>
      <c r="AB261" t="s">
        <v>34</v>
      </c>
      <c r="AC261">
        <v>32</v>
      </c>
      <c r="AD261">
        <v>190</v>
      </c>
      <c r="AE261">
        <v>93</v>
      </c>
      <c r="AF261" t="s">
        <v>70</v>
      </c>
      <c r="AG261">
        <v>49.1</v>
      </c>
      <c r="AH261">
        <v>7.21</v>
      </c>
      <c r="AI261">
        <v>1.33</v>
      </c>
      <c r="AJ261">
        <v>72.27</v>
      </c>
    </row>
    <row r="262" spans="10:36" x14ac:dyDescent="0.3">
      <c r="J262" t="s">
        <v>577</v>
      </c>
      <c r="K262" t="s">
        <v>64</v>
      </c>
      <c r="L262" t="s">
        <v>38</v>
      </c>
      <c r="M262" t="s">
        <v>578</v>
      </c>
      <c r="N262" t="s">
        <v>56</v>
      </c>
      <c r="O262" t="s">
        <v>32</v>
      </c>
      <c r="P262">
        <v>70</v>
      </c>
      <c r="Q262">
        <v>4</v>
      </c>
      <c r="R262">
        <v>6</v>
      </c>
      <c r="S262">
        <v>88.38</v>
      </c>
      <c r="T262">
        <v>18.2</v>
      </c>
      <c r="U262">
        <v>14.79</v>
      </c>
      <c r="W262" t="s">
        <v>33</v>
      </c>
      <c r="Z262">
        <v>0</v>
      </c>
      <c r="AA262">
        <v>4</v>
      </c>
      <c r="AB262" t="s">
        <v>34</v>
      </c>
      <c r="AC262">
        <v>26</v>
      </c>
      <c r="AD262">
        <v>178</v>
      </c>
      <c r="AE262">
        <v>61</v>
      </c>
      <c r="AF262" t="s">
        <v>53</v>
      </c>
      <c r="AG262">
        <v>47.8</v>
      </c>
      <c r="AH262">
        <v>6.26</v>
      </c>
      <c r="AI262">
        <v>1.41</v>
      </c>
      <c r="AJ262">
        <v>81.63</v>
      </c>
    </row>
    <row r="263" spans="10:36" x14ac:dyDescent="0.3">
      <c r="J263" t="s">
        <v>579</v>
      </c>
      <c r="K263" t="s">
        <v>28</v>
      </c>
      <c r="L263" t="s">
        <v>82</v>
      </c>
      <c r="M263" t="s">
        <v>580</v>
      </c>
      <c r="N263" t="s">
        <v>56</v>
      </c>
      <c r="O263" t="s">
        <v>32</v>
      </c>
      <c r="P263">
        <v>73</v>
      </c>
      <c r="Q263">
        <v>1</v>
      </c>
      <c r="R263">
        <v>1</v>
      </c>
      <c r="S263">
        <v>55.21</v>
      </c>
      <c r="T263">
        <v>6.5</v>
      </c>
      <c r="U263">
        <v>8.74</v>
      </c>
      <c r="W263" t="s">
        <v>42</v>
      </c>
      <c r="Y263">
        <v>86</v>
      </c>
      <c r="Z263">
        <v>0</v>
      </c>
      <c r="AA263">
        <v>2</v>
      </c>
      <c r="AB263" t="s">
        <v>61</v>
      </c>
      <c r="AC263">
        <v>36</v>
      </c>
      <c r="AD263">
        <v>178</v>
      </c>
      <c r="AE263">
        <v>94</v>
      </c>
      <c r="AF263" t="s">
        <v>53</v>
      </c>
      <c r="AG263">
        <v>45.8</v>
      </c>
      <c r="AH263">
        <v>6.91</v>
      </c>
      <c r="AI263">
        <v>0.51</v>
      </c>
      <c r="AJ263">
        <v>94.11</v>
      </c>
    </row>
    <row r="264" spans="10:36" x14ac:dyDescent="0.3">
      <c r="J264" t="s">
        <v>581</v>
      </c>
      <c r="K264" t="s">
        <v>28</v>
      </c>
      <c r="L264" t="s">
        <v>38</v>
      </c>
      <c r="M264" t="s">
        <v>582</v>
      </c>
      <c r="N264" t="s">
        <v>56</v>
      </c>
      <c r="O264" t="s">
        <v>41</v>
      </c>
      <c r="P264">
        <v>27</v>
      </c>
      <c r="Q264">
        <v>2</v>
      </c>
      <c r="R264">
        <v>6</v>
      </c>
      <c r="S264">
        <v>88.35</v>
      </c>
      <c r="T264">
        <v>18.2</v>
      </c>
      <c r="U264">
        <v>5.18</v>
      </c>
      <c r="W264" t="s">
        <v>33</v>
      </c>
      <c r="Z264">
        <v>0</v>
      </c>
      <c r="AA264">
        <v>4</v>
      </c>
      <c r="AB264" t="s">
        <v>43</v>
      </c>
      <c r="AC264">
        <v>26</v>
      </c>
      <c r="AD264">
        <v>181</v>
      </c>
      <c r="AE264">
        <v>99</v>
      </c>
      <c r="AF264" t="s">
        <v>53</v>
      </c>
      <c r="AG264">
        <v>41.7</v>
      </c>
      <c r="AH264">
        <v>6.99</v>
      </c>
      <c r="AI264">
        <v>1.17</v>
      </c>
      <c r="AJ264">
        <v>97.05</v>
      </c>
    </row>
    <row r="265" spans="10:36" x14ac:dyDescent="0.3">
      <c r="J265" t="s">
        <v>583</v>
      </c>
      <c r="K265" t="s">
        <v>28</v>
      </c>
      <c r="L265" t="s">
        <v>29</v>
      </c>
      <c r="M265" t="s">
        <v>584</v>
      </c>
      <c r="N265" t="s">
        <v>94</v>
      </c>
      <c r="O265" t="s">
        <v>32</v>
      </c>
      <c r="P265">
        <v>46</v>
      </c>
      <c r="Q265">
        <v>2</v>
      </c>
      <c r="R265">
        <v>1</v>
      </c>
      <c r="S265">
        <v>55.19</v>
      </c>
      <c r="T265">
        <v>6.5</v>
      </c>
      <c r="U265">
        <v>7.44</v>
      </c>
      <c r="W265" t="s">
        <v>47</v>
      </c>
      <c r="Z265">
        <v>1</v>
      </c>
      <c r="AA265">
        <v>4</v>
      </c>
      <c r="AB265" t="s">
        <v>52</v>
      </c>
      <c r="AC265">
        <v>20</v>
      </c>
      <c r="AD265">
        <v>183</v>
      </c>
      <c r="AE265">
        <v>87</v>
      </c>
      <c r="AF265" t="s">
        <v>70</v>
      </c>
      <c r="AG265">
        <v>50.3</v>
      </c>
      <c r="AH265">
        <v>7.94</v>
      </c>
      <c r="AI265">
        <v>0.55000000000000004</v>
      </c>
      <c r="AJ265">
        <v>76.099999999999994</v>
      </c>
    </row>
    <row r="266" spans="10:36" x14ac:dyDescent="0.3">
      <c r="J266" t="s">
        <v>585</v>
      </c>
      <c r="K266" t="s">
        <v>37</v>
      </c>
      <c r="L266" t="s">
        <v>38</v>
      </c>
      <c r="M266" t="s">
        <v>586</v>
      </c>
      <c r="N266" t="s">
        <v>56</v>
      </c>
      <c r="O266" t="s">
        <v>32</v>
      </c>
      <c r="P266">
        <v>46</v>
      </c>
      <c r="Q266">
        <v>1</v>
      </c>
      <c r="R266">
        <v>6</v>
      </c>
      <c r="S266">
        <v>88.09</v>
      </c>
      <c r="T266">
        <v>18</v>
      </c>
      <c r="U266">
        <v>13.31</v>
      </c>
      <c r="W266" t="s">
        <v>42</v>
      </c>
      <c r="Z266">
        <v>0</v>
      </c>
      <c r="AA266">
        <v>3</v>
      </c>
      <c r="AB266" t="s">
        <v>52</v>
      </c>
      <c r="AC266">
        <v>38</v>
      </c>
      <c r="AD266">
        <v>171</v>
      </c>
      <c r="AE266">
        <v>98</v>
      </c>
      <c r="AF266" t="s">
        <v>44</v>
      </c>
      <c r="AG266">
        <v>48.1</v>
      </c>
      <c r="AH266">
        <v>8.99</v>
      </c>
      <c r="AI266">
        <v>1.05</v>
      </c>
      <c r="AJ266">
        <v>72.010000000000005</v>
      </c>
    </row>
    <row r="267" spans="10:36" x14ac:dyDescent="0.3">
      <c r="J267" t="s">
        <v>587</v>
      </c>
      <c r="K267" t="s">
        <v>37</v>
      </c>
      <c r="L267" t="s">
        <v>65</v>
      </c>
      <c r="M267" t="s">
        <v>588</v>
      </c>
      <c r="N267" t="s">
        <v>75</v>
      </c>
      <c r="O267" t="s">
        <v>32</v>
      </c>
      <c r="P267">
        <v>40</v>
      </c>
      <c r="Q267">
        <v>3</v>
      </c>
      <c r="R267">
        <v>0</v>
      </c>
      <c r="S267">
        <v>50.05</v>
      </c>
      <c r="T267">
        <v>5.2</v>
      </c>
      <c r="U267">
        <v>13.65</v>
      </c>
      <c r="V267" s="1">
        <v>45111</v>
      </c>
      <c r="W267" t="s">
        <v>42</v>
      </c>
      <c r="X267" s="1">
        <v>45091</v>
      </c>
      <c r="Y267">
        <v>13</v>
      </c>
      <c r="Z267">
        <v>0</v>
      </c>
      <c r="AA267">
        <v>1</v>
      </c>
      <c r="AB267" t="s">
        <v>52</v>
      </c>
      <c r="AC267">
        <v>26</v>
      </c>
      <c r="AD267">
        <v>189</v>
      </c>
      <c r="AE267">
        <v>65</v>
      </c>
      <c r="AF267" t="s">
        <v>44</v>
      </c>
      <c r="AG267">
        <v>69</v>
      </c>
      <c r="AH267">
        <v>7.9</v>
      </c>
      <c r="AI267">
        <v>0.79</v>
      </c>
      <c r="AJ267">
        <v>96.32</v>
      </c>
    </row>
    <row r="268" spans="10:36" x14ac:dyDescent="0.3">
      <c r="J268" t="s">
        <v>589</v>
      </c>
      <c r="K268" t="s">
        <v>28</v>
      </c>
      <c r="L268" t="s">
        <v>38</v>
      </c>
      <c r="M268" t="s">
        <v>590</v>
      </c>
      <c r="N268" t="s">
        <v>31</v>
      </c>
      <c r="O268" t="s">
        <v>41</v>
      </c>
      <c r="P268">
        <v>49</v>
      </c>
      <c r="Q268">
        <v>0</v>
      </c>
      <c r="R268">
        <v>6</v>
      </c>
      <c r="S268">
        <v>87.87</v>
      </c>
      <c r="T268">
        <v>18</v>
      </c>
      <c r="U268">
        <v>12.69</v>
      </c>
      <c r="W268" t="s">
        <v>42</v>
      </c>
      <c r="Z268">
        <v>1</v>
      </c>
      <c r="AA268">
        <v>0</v>
      </c>
      <c r="AB268" t="s">
        <v>43</v>
      </c>
      <c r="AC268">
        <v>31</v>
      </c>
      <c r="AD268">
        <v>197</v>
      </c>
      <c r="AE268">
        <v>68</v>
      </c>
      <c r="AF268" t="s">
        <v>70</v>
      </c>
      <c r="AG268">
        <v>56.7</v>
      </c>
      <c r="AH268">
        <v>6.23</v>
      </c>
      <c r="AI268">
        <v>0.81</v>
      </c>
      <c r="AJ268">
        <v>81.680000000000007</v>
      </c>
    </row>
    <row r="269" spans="10:36" x14ac:dyDescent="0.3">
      <c r="J269" t="s">
        <v>591</v>
      </c>
      <c r="K269" t="s">
        <v>68</v>
      </c>
      <c r="L269" t="s">
        <v>38</v>
      </c>
      <c r="M269" t="s">
        <v>592</v>
      </c>
      <c r="N269" t="s">
        <v>40</v>
      </c>
      <c r="O269" t="s">
        <v>41</v>
      </c>
      <c r="P269">
        <v>47</v>
      </c>
      <c r="Q269">
        <v>4</v>
      </c>
      <c r="R269">
        <v>4</v>
      </c>
      <c r="S269">
        <v>75.19</v>
      </c>
      <c r="T269">
        <v>13.9</v>
      </c>
      <c r="U269">
        <v>6.13</v>
      </c>
      <c r="W269" t="s">
        <v>33</v>
      </c>
      <c r="Z269">
        <v>1</v>
      </c>
      <c r="AA269">
        <v>1</v>
      </c>
      <c r="AB269" t="s">
        <v>52</v>
      </c>
      <c r="AC269">
        <v>36</v>
      </c>
      <c r="AD269">
        <v>190</v>
      </c>
      <c r="AE269">
        <v>79</v>
      </c>
      <c r="AF269" t="s">
        <v>48</v>
      </c>
      <c r="AG269">
        <v>50.4</v>
      </c>
      <c r="AH269">
        <v>9.83</v>
      </c>
      <c r="AI269">
        <v>0.85</v>
      </c>
      <c r="AJ269">
        <v>86.25</v>
      </c>
    </row>
    <row r="270" spans="10:36" x14ac:dyDescent="0.3">
      <c r="J270" t="s">
        <v>593</v>
      </c>
      <c r="K270" t="s">
        <v>64</v>
      </c>
      <c r="L270" t="s">
        <v>29</v>
      </c>
      <c r="M270" t="s">
        <v>594</v>
      </c>
      <c r="N270" t="s">
        <v>31</v>
      </c>
      <c r="O270" t="s">
        <v>32</v>
      </c>
      <c r="P270">
        <v>83</v>
      </c>
      <c r="Q270">
        <v>1</v>
      </c>
      <c r="R270">
        <v>2</v>
      </c>
      <c r="S270">
        <v>61.87</v>
      </c>
      <c r="T270">
        <v>9.4</v>
      </c>
      <c r="U270">
        <v>12.96</v>
      </c>
      <c r="V270" s="1">
        <v>45027</v>
      </c>
      <c r="W270" t="s">
        <v>47</v>
      </c>
      <c r="Z270">
        <v>1</v>
      </c>
      <c r="AA270">
        <v>4</v>
      </c>
      <c r="AB270" t="s">
        <v>52</v>
      </c>
      <c r="AC270">
        <v>24</v>
      </c>
      <c r="AD270">
        <v>195</v>
      </c>
      <c r="AE270">
        <v>60</v>
      </c>
      <c r="AF270" t="s">
        <v>48</v>
      </c>
      <c r="AG270">
        <v>57.4</v>
      </c>
      <c r="AH270">
        <v>9.77</v>
      </c>
      <c r="AI270">
        <v>1.1200000000000001</v>
      </c>
      <c r="AJ270">
        <v>99.04</v>
      </c>
    </row>
    <row r="271" spans="10:36" x14ac:dyDescent="0.3">
      <c r="J271" t="s">
        <v>595</v>
      </c>
      <c r="K271" t="s">
        <v>64</v>
      </c>
      <c r="L271" t="s">
        <v>38</v>
      </c>
      <c r="M271" t="s">
        <v>596</v>
      </c>
      <c r="N271" t="s">
        <v>40</v>
      </c>
      <c r="O271" t="s">
        <v>32</v>
      </c>
      <c r="P271">
        <v>88</v>
      </c>
      <c r="Q271">
        <v>0</v>
      </c>
      <c r="R271">
        <v>4</v>
      </c>
      <c r="S271">
        <v>75.03</v>
      </c>
      <c r="T271">
        <v>13.9</v>
      </c>
      <c r="U271">
        <v>14.19</v>
      </c>
      <c r="V271" s="1">
        <v>44944</v>
      </c>
      <c r="W271" t="s">
        <v>42</v>
      </c>
      <c r="X271" s="1">
        <v>45221</v>
      </c>
      <c r="Z271">
        <v>0</v>
      </c>
      <c r="AA271">
        <v>1</v>
      </c>
      <c r="AB271" t="s">
        <v>52</v>
      </c>
      <c r="AC271">
        <v>33</v>
      </c>
      <c r="AD271">
        <v>178</v>
      </c>
      <c r="AE271">
        <v>67</v>
      </c>
      <c r="AF271" t="s">
        <v>62</v>
      </c>
      <c r="AG271">
        <v>44.2</v>
      </c>
      <c r="AH271">
        <v>9.14</v>
      </c>
      <c r="AI271">
        <v>0.83</v>
      </c>
      <c r="AJ271">
        <v>72</v>
      </c>
    </row>
    <row r="272" spans="10:36" x14ac:dyDescent="0.3">
      <c r="J272" t="s">
        <v>597</v>
      </c>
      <c r="K272" t="s">
        <v>37</v>
      </c>
      <c r="L272" t="s">
        <v>65</v>
      </c>
      <c r="M272" t="s">
        <v>598</v>
      </c>
      <c r="N272" t="s">
        <v>40</v>
      </c>
      <c r="O272" t="s">
        <v>41</v>
      </c>
      <c r="P272">
        <v>80</v>
      </c>
      <c r="Q272">
        <v>1</v>
      </c>
      <c r="R272">
        <v>2</v>
      </c>
      <c r="S272">
        <v>61.71</v>
      </c>
      <c r="T272">
        <v>9.3000000000000007</v>
      </c>
      <c r="U272">
        <v>11.01</v>
      </c>
      <c r="V272" s="1">
        <v>45074</v>
      </c>
      <c r="W272" t="s">
        <v>33</v>
      </c>
      <c r="Z272">
        <v>0</v>
      </c>
      <c r="AA272">
        <v>3</v>
      </c>
      <c r="AB272" t="s">
        <v>52</v>
      </c>
      <c r="AC272">
        <v>33</v>
      </c>
      <c r="AD272">
        <v>195</v>
      </c>
      <c r="AE272">
        <v>82</v>
      </c>
      <c r="AF272" t="s">
        <v>44</v>
      </c>
      <c r="AG272">
        <v>53.3</v>
      </c>
      <c r="AH272">
        <v>9.9700000000000006</v>
      </c>
      <c r="AI272">
        <v>1.23</v>
      </c>
      <c r="AJ272">
        <v>89.45</v>
      </c>
    </row>
    <row r="273" spans="10:36" x14ac:dyDescent="0.3">
      <c r="J273" t="s">
        <v>599</v>
      </c>
      <c r="K273" t="s">
        <v>68</v>
      </c>
      <c r="L273" t="s">
        <v>29</v>
      </c>
      <c r="M273" t="s">
        <v>600</v>
      </c>
      <c r="N273" t="s">
        <v>40</v>
      </c>
      <c r="O273" t="s">
        <v>32</v>
      </c>
      <c r="P273">
        <v>67</v>
      </c>
      <c r="Q273">
        <v>2</v>
      </c>
      <c r="R273">
        <v>3</v>
      </c>
      <c r="S273">
        <v>69.849999999999994</v>
      </c>
      <c r="T273">
        <v>11.9</v>
      </c>
      <c r="U273">
        <v>14.41</v>
      </c>
      <c r="W273" t="s">
        <v>47</v>
      </c>
      <c r="Z273">
        <v>0</v>
      </c>
      <c r="AA273">
        <v>0</v>
      </c>
      <c r="AB273" t="s">
        <v>34</v>
      </c>
      <c r="AC273">
        <v>18</v>
      </c>
      <c r="AD273">
        <v>189</v>
      </c>
      <c r="AE273">
        <v>62</v>
      </c>
      <c r="AF273" t="s">
        <v>48</v>
      </c>
      <c r="AG273">
        <v>58.8</v>
      </c>
      <c r="AH273">
        <v>8.18</v>
      </c>
      <c r="AI273">
        <v>0.9</v>
      </c>
      <c r="AJ273">
        <v>72.22</v>
      </c>
    </row>
    <row r="274" spans="10:36" x14ac:dyDescent="0.3">
      <c r="J274" t="s">
        <v>601</v>
      </c>
      <c r="K274" t="s">
        <v>37</v>
      </c>
      <c r="L274" t="s">
        <v>38</v>
      </c>
      <c r="M274" t="s">
        <v>602</v>
      </c>
      <c r="N274" t="s">
        <v>94</v>
      </c>
      <c r="O274" t="s">
        <v>32</v>
      </c>
      <c r="P274">
        <v>38</v>
      </c>
      <c r="Q274">
        <v>4</v>
      </c>
      <c r="R274">
        <v>4</v>
      </c>
      <c r="S274">
        <v>75.010000000000005</v>
      </c>
      <c r="T274">
        <v>13.8</v>
      </c>
      <c r="U274">
        <v>13.27</v>
      </c>
      <c r="W274" t="s">
        <v>42</v>
      </c>
      <c r="Z274">
        <v>0</v>
      </c>
      <c r="AA274">
        <v>3</v>
      </c>
      <c r="AB274" t="s">
        <v>43</v>
      </c>
      <c r="AC274">
        <v>21</v>
      </c>
      <c r="AD274">
        <v>192</v>
      </c>
      <c r="AE274">
        <v>63</v>
      </c>
      <c r="AF274" t="s">
        <v>53</v>
      </c>
      <c r="AG274">
        <v>54.7</v>
      </c>
      <c r="AH274">
        <v>9.85</v>
      </c>
      <c r="AI274">
        <v>0.56999999999999995</v>
      </c>
      <c r="AJ274">
        <v>81.260000000000005</v>
      </c>
    </row>
    <row r="275" spans="10:36" x14ac:dyDescent="0.3">
      <c r="J275" t="s">
        <v>603</v>
      </c>
      <c r="K275" t="s">
        <v>28</v>
      </c>
      <c r="L275" t="s">
        <v>29</v>
      </c>
      <c r="M275" t="s">
        <v>604</v>
      </c>
      <c r="N275" t="s">
        <v>94</v>
      </c>
      <c r="O275" t="s">
        <v>32</v>
      </c>
      <c r="P275">
        <v>23</v>
      </c>
      <c r="Q275">
        <v>0</v>
      </c>
      <c r="R275">
        <v>3</v>
      </c>
      <c r="S275">
        <v>69.67</v>
      </c>
      <c r="T275">
        <v>11.8</v>
      </c>
      <c r="U275">
        <v>11.67</v>
      </c>
      <c r="W275" t="s">
        <v>47</v>
      </c>
      <c r="X275" s="1">
        <v>44997</v>
      </c>
      <c r="Y275">
        <v>84</v>
      </c>
      <c r="Z275">
        <v>0</v>
      </c>
      <c r="AA275">
        <v>0</v>
      </c>
      <c r="AB275" t="s">
        <v>52</v>
      </c>
      <c r="AC275">
        <v>21</v>
      </c>
      <c r="AD275">
        <v>177</v>
      </c>
      <c r="AE275">
        <v>84</v>
      </c>
      <c r="AF275" t="s">
        <v>53</v>
      </c>
      <c r="AG275">
        <v>52.1</v>
      </c>
      <c r="AH275">
        <v>6.3</v>
      </c>
      <c r="AI275">
        <v>1.28</v>
      </c>
      <c r="AJ275">
        <v>94.11</v>
      </c>
    </row>
    <row r="276" spans="10:36" x14ac:dyDescent="0.3">
      <c r="J276" t="s">
        <v>605</v>
      </c>
      <c r="K276" t="s">
        <v>37</v>
      </c>
      <c r="L276" t="s">
        <v>65</v>
      </c>
      <c r="M276" t="s">
        <v>606</v>
      </c>
      <c r="N276" t="s">
        <v>56</v>
      </c>
      <c r="O276" t="s">
        <v>32</v>
      </c>
      <c r="P276">
        <v>54</v>
      </c>
      <c r="Q276">
        <v>0</v>
      </c>
      <c r="R276">
        <v>1</v>
      </c>
      <c r="S276">
        <v>55.14</v>
      </c>
      <c r="T276">
        <v>6.5</v>
      </c>
      <c r="U276">
        <v>10.77</v>
      </c>
      <c r="W276" t="s">
        <v>43</v>
      </c>
      <c r="Z276">
        <v>0</v>
      </c>
      <c r="AA276">
        <v>4</v>
      </c>
      <c r="AB276" t="s">
        <v>34</v>
      </c>
      <c r="AC276">
        <v>24</v>
      </c>
      <c r="AD276">
        <v>187</v>
      </c>
      <c r="AE276">
        <v>97</v>
      </c>
      <c r="AF276" t="s">
        <v>53</v>
      </c>
      <c r="AG276">
        <v>69.8</v>
      </c>
      <c r="AH276">
        <v>7.46</v>
      </c>
      <c r="AI276">
        <v>0.79</v>
      </c>
      <c r="AJ276">
        <v>83</v>
      </c>
    </row>
    <row r="277" spans="10:36" x14ac:dyDescent="0.3">
      <c r="J277" t="s">
        <v>607</v>
      </c>
      <c r="K277" t="s">
        <v>37</v>
      </c>
      <c r="L277" t="s">
        <v>82</v>
      </c>
      <c r="M277" t="s">
        <v>608</v>
      </c>
      <c r="N277" t="s">
        <v>51</v>
      </c>
      <c r="O277" t="s">
        <v>41</v>
      </c>
      <c r="P277">
        <v>83</v>
      </c>
      <c r="Q277">
        <v>0</v>
      </c>
      <c r="R277">
        <v>1</v>
      </c>
      <c r="S277">
        <v>54.93</v>
      </c>
      <c r="T277">
        <v>6.5</v>
      </c>
      <c r="U277">
        <v>8.49</v>
      </c>
      <c r="W277" t="s">
        <v>43</v>
      </c>
      <c r="Y277">
        <v>16</v>
      </c>
      <c r="Z277">
        <v>1</v>
      </c>
      <c r="AA277">
        <v>0</v>
      </c>
      <c r="AB277" t="s">
        <v>61</v>
      </c>
      <c r="AC277">
        <v>25</v>
      </c>
      <c r="AD277">
        <v>170</v>
      </c>
      <c r="AE277">
        <v>74</v>
      </c>
      <c r="AF277" t="s">
        <v>53</v>
      </c>
      <c r="AG277">
        <v>66.400000000000006</v>
      </c>
      <c r="AH277">
        <v>6.9</v>
      </c>
      <c r="AI277">
        <v>0.93</v>
      </c>
      <c r="AJ277">
        <v>99.92</v>
      </c>
    </row>
    <row r="278" spans="10:36" x14ac:dyDescent="0.3">
      <c r="J278" t="s">
        <v>609</v>
      </c>
      <c r="K278" t="s">
        <v>37</v>
      </c>
      <c r="L278" t="s">
        <v>29</v>
      </c>
      <c r="M278" t="s">
        <v>610</v>
      </c>
      <c r="N278" t="s">
        <v>40</v>
      </c>
      <c r="O278" t="s">
        <v>32</v>
      </c>
      <c r="P278">
        <v>68</v>
      </c>
      <c r="Q278">
        <v>0</v>
      </c>
      <c r="R278">
        <v>0</v>
      </c>
      <c r="S278">
        <v>50.01</v>
      </c>
      <c r="T278">
        <v>5.2</v>
      </c>
      <c r="U278">
        <v>6.59</v>
      </c>
      <c r="W278" t="s">
        <v>43</v>
      </c>
      <c r="Z278">
        <v>0</v>
      </c>
      <c r="AA278">
        <v>0</v>
      </c>
      <c r="AB278" t="s">
        <v>34</v>
      </c>
      <c r="AC278">
        <v>34</v>
      </c>
      <c r="AD278">
        <v>192</v>
      </c>
      <c r="AE278">
        <v>80</v>
      </c>
      <c r="AF278" t="s">
        <v>44</v>
      </c>
      <c r="AG278">
        <v>58.7</v>
      </c>
      <c r="AH278">
        <v>6.78</v>
      </c>
      <c r="AI278">
        <v>1.19</v>
      </c>
      <c r="AJ278">
        <v>86.77</v>
      </c>
    </row>
    <row r="279" spans="10:36" x14ac:dyDescent="0.3">
      <c r="J279" t="s">
        <v>611</v>
      </c>
      <c r="K279" t="s">
        <v>37</v>
      </c>
      <c r="L279" t="s">
        <v>38</v>
      </c>
      <c r="M279" t="s">
        <v>612</v>
      </c>
      <c r="N279" t="s">
        <v>40</v>
      </c>
      <c r="O279" t="s">
        <v>41</v>
      </c>
      <c r="P279">
        <v>36</v>
      </c>
      <c r="Q279">
        <v>0</v>
      </c>
      <c r="R279">
        <v>6</v>
      </c>
      <c r="S279">
        <v>87.81</v>
      </c>
      <c r="T279">
        <v>18</v>
      </c>
      <c r="U279">
        <v>11.05</v>
      </c>
      <c r="W279" t="s">
        <v>43</v>
      </c>
      <c r="X279" s="1">
        <v>45000</v>
      </c>
      <c r="Z279">
        <v>1</v>
      </c>
      <c r="AA279">
        <v>0</v>
      </c>
      <c r="AB279" t="s">
        <v>61</v>
      </c>
      <c r="AC279">
        <v>22</v>
      </c>
      <c r="AD279">
        <v>176</v>
      </c>
      <c r="AE279">
        <v>94</v>
      </c>
      <c r="AF279" t="s">
        <v>35</v>
      </c>
      <c r="AG279">
        <v>57.1</v>
      </c>
      <c r="AH279">
        <v>6.56</v>
      </c>
      <c r="AI279">
        <v>0.83</v>
      </c>
      <c r="AJ279">
        <v>79.63</v>
      </c>
    </row>
    <row r="280" spans="10:36" x14ac:dyDescent="0.3">
      <c r="J280" t="s">
        <v>613</v>
      </c>
      <c r="K280" t="s">
        <v>64</v>
      </c>
      <c r="L280" t="s">
        <v>38</v>
      </c>
      <c r="M280" t="s">
        <v>614</v>
      </c>
      <c r="N280" t="s">
        <v>80</v>
      </c>
      <c r="O280" t="s">
        <v>41</v>
      </c>
      <c r="P280">
        <v>63</v>
      </c>
      <c r="Q280">
        <v>1</v>
      </c>
      <c r="R280">
        <v>4</v>
      </c>
      <c r="S280">
        <v>74.47</v>
      </c>
      <c r="T280">
        <v>13.8</v>
      </c>
      <c r="U280">
        <v>8.18</v>
      </c>
      <c r="W280" t="s">
        <v>47</v>
      </c>
      <c r="X280" s="1">
        <v>44972</v>
      </c>
      <c r="Z280">
        <v>0</v>
      </c>
      <c r="AA280">
        <v>1</v>
      </c>
      <c r="AB280" t="s">
        <v>52</v>
      </c>
      <c r="AC280">
        <v>24</v>
      </c>
      <c r="AD280">
        <v>165</v>
      </c>
      <c r="AE280">
        <v>73</v>
      </c>
      <c r="AF280" t="s">
        <v>62</v>
      </c>
      <c r="AG280">
        <v>58.6</v>
      </c>
      <c r="AH280">
        <v>8.49</v>
      </c>
      <c r="AI280">
        <v>0.56000000000000005</v>
      </c>
      <c r="AJ280">
        <v>76.599999999999994</v>
      </c>
    </row>
    <row r="281" spans="10:36" x14ac:dyDescent="0.3">
      <c r="J281" t="s">
        <v>615</v>
      </c>
      <c r="K281" t="s">
        <v>68</v>
      </c>
      <c r="L281" t="s">
        <v>29</v>
      </c>
      <c r="M281" t="s">
        <v>616</v>
      </c>
      <c r="N281" t="s">
        <v>31</v>
      </c>
      <c r="O281" t="s">
        <v>41</v>
      </c>
      <c r="P281">
        <v>49</v>
      </c>
      <c r="Q281">
        <v>4</v>
      </c>
      <c r="R281">
        <v>3</v>
      </c>
      <c r="S281">
        <v>69.45</v>
      </c>
      <c r="T281">
        <v>11.8</v>
      </c>
      <c r="U281">
        <v>13.66</v>
      </c>
      <c r="W281" t="s">
        <v>42</v>
      </c>
      <c r="Z281">
        <v>0</v>
      </c>
      <c r="AA281">
        <v>1</v>
      </c>
      <c r="AB281" t="s">
        <v>52</v>
      </c>
      <c r="AC281">
        <v>37</v>
      </c>
      <c r="AD281">
        <v>163</v>
      </c>
      <c r="AE281">
        <v>95</v>
      </c>
      <c r="AF281" t="s">
        <v>70</v>
      </c>
      <c r="AG281">
        <v>46</v>
      </c>
      <c r="AH281">
        <v>9.1300000000000008</v>
      </c>
      <c r="AI281">
        <v>0.87</v>
      </c>
      <c r="AJ281">
        <v>80.52</v>
      </c>
    </row>
  </sheetData>
  <autoFilter ref="J1:AJ281" xr:uid="{1EA04AE7-C158-4C42-BB79-FCE98D6012CC}"/>
  <pageMargins left="0.7" right="0.7" top="0.75" bottom="0.75" header="0.3" footer="0.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420A2-260C-4B22-BB53-D0DA9B923DDC}">
  <dimension ref="A1:B77"/>
  <sheetViews>
    <sheetView workbookViewId="0">
      <selection activeCell="C3" sqref="C3"/>
    </sheetView>
  </sheetViews>
  <sheetFormatPr defaultRowHeight="14.4" x14ac:dyDescent="0.3"/>
  <cols>
    <col min="1" max="1" width="13.44140625" bestFit="1" customWidth="1"/>
    <col min="2" max="2" width="22.6640625" bestFit="1" customWidth="1"/>
  </cols>
  <sheetData>
    <row r="1" spans="1:2" x14ac:dyDescent="0.3">
      <c r="A1" s="42" t="s">
        <v>688</v>
      </c>
    </row>
    <row r="3" spans="1:2" x14ac:dyDescent="0.3">
      <c r="A3" t="s">
        <v>13</v>
      </c>
      <c r="B3" t="s">
        <v>15</v>
      </c>
    </row>
    <row r="4" spans="1:2" x14ac:dyDescent="0.3">
      <c r="A4" t="s">
        <v>42</v>
      </c>
    </row>
    <row r="5" spans="1:2" x14ac:dyDescent="0.3">
      <c r="A5" t="s">
        <v>42</v>
      </c>
      <c r="B5">
        <v>57</v>
      </c>
    </row>
    <row r="6" spans="1:2" x14ac:dyDescent="0.3">
      <c r="A6" t="s">
        <v>42</v>
      </c>
    </row>
    <row r="7" spans="1:2" x14ac:dyDescent="0.3">
      <c r="A7" t="s">
        <v>42</v>
      </c>
    </row>
    <row r="8" spans="1:2" x14ac:dyDescent="0.3">
      <c r="A8" t="s">
        <v>42</v>
      </c>
    </row>
    <row r="9" spans="1:2" x14ac:dyDescent="0.3">
      <c r="A9" t="s">
        <v>42</v>
      </c>
      <c r="B9">
        <v>22</v>
      </c>
    </row>
    <row r="10" spans="1:2" x14ac:dyDescent="0.3">
      <c r="A10" t="s">
        <v>42</v>
      </c>
    </row>
    <row r="11" spans="1:2" x14ac:dyDescent="0.3">
      <c r="A11" t="s">
        <v>42</v>
      </c>
    </row>
    <row r="12" spans="1:2" x14ac:dyDescent="0.3">
      <c r="A12" t="s">
        <v>42</v>
      </c>
      <c r="B12">
        <v>13</v>
      </c>
    </row>
    <row r="13" spans="1:2" x14ac:dyDescent="0.3">
      <c r="A13" t="s">
        <v>42</v>
      </c>
    </row>
    <row r="14" spans="1:2" x14ac:dyDescent="0.3">
      <c r="A14" t="s">
        <v>42</v>
      </c>
    </row>
    <row r="15" spans="1:2" x14ac:dyDescent="0.3">
      <c r="A15" t="s">
        <v>42</v>
      </c>
      <c r="B15">
        <v>86</v>
      </c>
    </row>
    <row r="16" spans="1:2" x14ac:dyDescent="0.3">
      <c r="A16" t="s">
        <v>42</v>
      </c>
      <c r="B16">
        <v>11</v>
      </c>
    </row>
    <row r="17" spans="1:2" x14ac:dyDescent="0.3">
      <c r="A17" t="s">
        <v>42</v>
      </c>
    </row>
    <row r="18" spans="1:2" x14ac:dyDescent="0.3">
      <c r="A18" t="s">
        <v>42</v>
      </c>
    </row>
    <row r="19" spans="1:2" x14ac:dyDescent="0.3">
      <c r="A19" t="s">
        <v>42</v>
      </c>
    </row>
    <row r="20" spans="1:2" x14ac:dyDescent="0.3">
      <c r="A20" t="s">
        <v>42</v>
      </c>
      <c r="B20">
        <v>39</v>
      </c>
    </row>
    <row r="21" spans="1:2" x14ac:dyDescent="0.3">
      <c r="A21" t="s">
        <v>42</v>
      </c>
    </row>
    <row r="22" spans="1:2" x14ac:dyDescent="0.3">
      <c r="A22" t="s">
        <v>42</v>
      </c>
    </row>
    <row r="23" spans="1:2" x14ac:dyDescent="0.3">
      <c r="A23" t="s">
        <v>42</v>
      </c>
      <c r="B23">
        <v>17</v>
      </c>
    </row>
    <row r="24" spans="1:2" x14ac:dyDescent="0.3">
      <c r="A24" t="s">
        <v>42</v>
      </c>
    </row>
    <row r="25" spans="1:2" x14ac:dyDescent="0.3">
      <c r="A25" t="s">
        <v>42</v>
      </c>
      <c r="B25">
        <v>37</v>
      </c>
    </row>
    <row r="26" spans="1:2" x14ac:dyDescent="0.3">
      <c r="A26" t="s">
        <v>42</v>
      </c>
      <c r="B26">
        <v>38</v>
      </c>
    </row>
    <row r="27" spans="1:2" x14ac:dyDescent="0.3">
      <c r="A27" t="s">
        <v>42</v>
      </c>
      <c r="B27">
        <v>61</v>
      </c>
    </row>
    <row r="28" spans="1:2" x14ac:dyDescent="0.3">
      <c r="A28" t="s">
        <v>42</v>
      </c>
      <c r="B28">
        <v>13</v>
      </c>
    </row>
    <row r="29" spans="1:2" x14ac:dyDescent="0.3">
      <c r="A29" t="s">
        <v>42</v>
      </c>
    </row>
    <row r="30" spans="1:2" x14ac:dyDescent="0.3">
      <c r="A30" t="s">
        <v>42</v>
      </c>
      <c r="B30">
        <v>87</v>
      </c>
    </row>
    <row r="31" spans="1:2" x14ac:dyDescent="0.3">
      <c r="A31" t="s">
        <v>42</v>
      </c>
      <c r="B31">
        <v>24</v>
      </c>
    </row>
    <row r="32" spans="1:2" x14ac:dyDescent="0.3">
      <c r="A32" t="s">
        <v>42</v>
      </c>
    </row>
    <row r="33" spans="1:2" x14ac:dyDescent="0.3">
      <c r="A33" t="s">
        <v>42</v>
      </c>
      <c r="B33">
        <v>34</v>
      </c>
    </row>
    <row r="34" spans="1:2" x14ac:dyDescent="0.3">
      <c r="A34" t="s">
        <v>42</v>
      </c>
      <c r="B34">
        <v>24</v>
      </c>
    </row>
    <row r="35" spans="1:2" x14ac:dyDescent="0.3">
      <c r="A35" t="s">
        <v>42</v>
      </c>
    </row>
    <row r="36" spans="1:2" x14ac:dyDescent="0.3">
      <c r="A36" t="s">
        <v>42</v>
      </c>
      <c r="B36">
        <v>32</v>
      </c>
    </row>
    <row r="37" spans="1:2" x14ac:dyDescent="0.3">
      <c r="A37" t="s">
        <v>42</v>
      </c>
    </row>
    <row r="38" spans="1:2" x14ac:dyDescent="0.3">
      <c r="A38" t="s">
        <v>42</v>
      </c>
    </row>
    <row r="39" spans="1:2" x14ac:dyDescent="0.3">
      <c r="A39" t="s">
        <v>42</v>
      </c>
    </row>
    <row r="40" spans="1:2" x14ac:dyDescent="0.3">
      <c r="A40" t="s">
        <v>42</v>
      </c>
    </row>
    <row r="41" spans="1:2" x14ac:dyDescent="0.3">
      <c r="A41" t="s">
        <v>42</v>
      </c>
      <c r="B41">
        <v>10</v>
      </c>
    </row>
    <row r="42" spans="1:2" x14ac:dyDescent="0.3">
      <c r="A42" t="s">
        <v>42</v>
      </c>
    </row>
    <row r="43" spans="1:2" x14ac:dyDescent="0.3">
      <c r="A43" t="s">
        <v>42</v>
      </c>
      <c r="B43">
        <v>63</v>
      </c>
    </row>
    <row r="44" spans="1:2" x14ac:dyDescent="0.3">
      <c r="A44" t="s">
        <v>42</v>
      </c>
      <c r="B44">
        <v>32</v>
      </c>
    </row>
    <row r="45" spans="1:2" x14ac:dyDescent="0.3">
      <c r="A45" t="s">
        <v>42</v>
      </c>
    </row>
    <row r="46" spans="1:2" x14ac:dyDescent="0.3">
      <c r="A46" t="s">
        <v>42</v>
      </c>
    </row>
    <row r="47" spans="1:2" x14ac:dyDescent="0.3">
      <c r="A47" t="s">
        <v>42</v>
      </c>
    </row>
    <row r="48" spans="1:2" x14ac:dyDescent="0.3">
      <c r="A48" t="s">
        <v>42</v>
      </c>
    </row>
    <row r="49" spans="1:2" x14ac:dyDescent="0.3">
      <c r="A49" t="s">
        <v>42</v>
      </c>
    </row>
    <row r="50" spans="1:2" x14ac:dyDescent="0.3">
      <c r="A50" t="s">
        <v>42</v>
      </c>
    </row>
    <row r="51" spans="1:2" x14ac:dyDescent="0.3">
      <c r="A51" t="s">
        <v>42</v>
      </c>
    </row>
    <row r="52" spans="1:2" x14ac:dyDescent="0.3">
      <c r="A52" t="s">
        <v>42</v>
      </c>
    </row>
    <row r="53" spans="1:2" x14ac:dyDescent="0.3">
      <c r="A53" t="s">
        <v>42</v>
      </c>
    </row>
    <row r="54" spans="1:2" x14ac:dyDescent="0.3">
      <c r="A54" t="s">
        <v>42</v>
      </c>
      <c r="B54">
        <v>57</v>
      </c>
    </row>
    <row r="55" spans="1:2" x14ac:dyDescent="0.3">
      <c r="A55" t="s">
        <v>42</v>
      </c>
    </row>
    <row r="56" spans="1:2" x14ac:dyDescent="0.3">
      <c r="A56" t="s">
        <v>42</v>
      </c>
    </row>
    <row r="57" spans="1:2" x14ac:dyDescent="0.3">
      <c r="A57" t="s">
        <v>42</v>
      </c>
      <c r="B57">
        <v>88</v>
      </c>
    </row>
    <row r="58" spans="1:2" x14ac:dyDescent="0.3">
      <c r="A58" t="s">
        <v>42</v>
      </c>
    </row>
    <row r="59" spans="1:2" x14ac:dyDescent="0.3">
      <c r="A59" t="s">
        <v>42</v>
      </c>
      <c r="B59">
        <v>46</v>
      </c>
    </row>
    <row r="60" spans="1:2" x14ac:dyDescent="0.3">
      <c r="A60" t="s">
        <v>42</v>
      </c>
    </row>
    <row r="61" spans="1:2" x14ac:dyDescent="0.3">
      <c r="A61" t="s">
        <v>42</v>
      </c>
    </row>
    <row r="62" spans="1:2" x14ac:dyDescent="0.3">
      <c r="A62" t="s">
        <v>42</v>
      </c>
    </row>
    <row r="63" spans="1:2" x14ac:dyDescent="0.3">
      <c r="A63" t="s">
        <v>42</v>
      </c>
    </row>
    <row r="64" spans="1:2" x14ac:dyDescent="0.3">
      <c r="A64" t="s">
        <v>42</v>
      </c>
      <c r="B64">
        <v>79</v>
      </c>
    </row>
    <row r="65" spans="1:2" x14ac:dyDescent="0.3">
      <c r="A65" t="s">
        <v>42</v>
      </c>
      <c r="B65">
        <v>57</v>
      </c>
    </row>
    <row r="66" spans="1:2" x14ac:dyDescent="0.3">
      <c r="A66" t="s">
        <v>42</v>
      </c>
    </row>
    <row r="67" spans="1:2" x14ac:dyDescent="0.3">
      <c r="A67" t="s">
        <v>42</v>
      </c>
    </row>
    <row r="68" spans="1:2" x14ac:dyDescent="0.3">
      <c r="A68" t="s">
        <v>42</v>
      </c>
    </row>
    <row r="69" spans="1:2" x14ac:dyDescent="0.3">
      <c r="A69" t="s">
        <v>42</v>
      </c>
    </row>
    <row r="70" spans="1:2" x14ac:dyDescent="0.3">
      <c r="A70" t="s">
        <v>42</v>
      </c>
    </row>
    <row r="71" spans="1:2" x14ac:dyDescent="0.3">
      <c r="A71" t="s">
        <v>42</v>
      </c>
    </row>
    <row r="72" spans="1:2" x14ac:dyDescent="0.3">
      <c r="A72" t="s">
        <v>42</v>
      </c>
    </row>
    <row r="73" spans="1:2" x14ac:dyDescent="0.3">
      <c r="A73" t="s">
        <v>42</v>
      </c>
      <c r="B73">
        <v>81</v>
      </c>
    </row>
    <row r="74" spans="1:2" x14ac:dyDescent="0.3">
      <c r="A74" t="s">
        <v>42</v>
      </c>
    </row>
    <row r="75" spans="1:2" x14ac:dyDescent="0.3">
      <c r="A75" t="s">
        <v>42</v>
      </c>
    </row>
    <row r="76" spans="1:2" x14ac:dyDescent="0.3">
      <c r="A76" t="s">
        <v>42</v>
      </c>
      <c r="B76">
        <v>53</v>
      </c>
    </row>
    <row r="77" spans="1:2" x14ac:dyDescent="0.3">
      <c r="A77" t="s">
        <v>42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39A85-356A-D242-B41C-BB8ED3DD17CA}">
  <dimension ref="A1:Z281"/>
  <sheetViews>
    <sheetView zoomScaleNormal="150" zoomScaleSheetLayoutView="100" workbookViewId="0">
      <selection activeCell="S31" sqref="S31"/>
    </sheetView>
  </sheetViews>
  <sheetFormatPr defaultRowHeight="15" customHeight="1" x14ac:dyDescent="0.3"/>
  <cols>
    <col min="11" max="11" width="15.88671875" bestFit="1" customWidth="1"/>
    <col min="14" max="14" width="15.88671875" bestFit="1" customWidth="1"/>
    <col min="15" max="15" width="31" bestFit="1" customWidth="1"/>
    <col min="16" max="16" width="15.88671875" bestFit="1" customWidth="1"/>
    <col min="17" max="17" width="20.44140625" bestFit="1" customWidth="1"/>
    <col min="19" max="19" width="19" bestFit="1" customWidth="1"/>
    <col min="23" max="23" width="19" bestFit="1" customWidth="1"/>
  </cols>
  <sheetData>
    <row r="1" spans="1:26" ht="43.2" x14ac:dyDescent="0.3">
      <c r="A1" s="19" t="s">
        <v>689</v>
      </c>
      <c r="K1" s="2" t="s">
        <v>13</v>
      </c>
      <c r="L1" s="2" t="s">
        <v>15</v>
      </c>
    </row>
    <row r="2" spans="1:26" ht="14.4" x14ac:dyDescent="0.3">
      <c r="A2" s="18" t="s">
        <v>690</v>
      </c>
      <c r="K2" t="s">
        <v>33</v>
      </c>
      <c r="O2" s="41"/>
      <c r="P2" s="75" t="s">
        <v>13</v>
      </c>
      <c r="Q2" s="75" t="s">
        <v>691</v>
      </c>
      <c r="S2" s="69" t="s">
        <v>692</v>
      </c>
      <c r="T2" s="69" t="s">
        <v>693</v>
      </c>
      <c r="U2" s="69" t="s">
        <v>694</v>
      </c>
      <c r="W2" s="68" t="s">
        <v>621</v>
      </c>
      <c r="X2" s="70">
        <f>MIN(L2:L281)</f>
        <v>10</v>
      </c>
    </row>
    <row r="3" spans="1:26" ht="14.4" x14ac:dyDescent="0.3">
      <c r="A3" s="18" t="s">
        <v>695</v>
      </c>
      <c r="K3" t="s">
        <v>42</v>
      </c>
      <c r="L3">
        <v>57</v>
      </c>
      <c r="P3" t="s">
        <v>47</v>
      </c>
      <c r="Q3">
        <v>75</v>
      </c>
      <c r="S3" s="48" t="s">
        <v>696</v>
      </c>
      <c r="T3" s="70">
        <f>Q7</f>
        <v>279</v>
      </c>
      <c r="U3" s="74" t="s">
        <v>697</v>
      </c>
      <c r="W3" s="68" t="s">
        <v>624</v>
      </c>
      <c r="X3" s="70">
        <f>MAX(L2:L281)</f>
        <v>89</v>
      </c>
    </row>
    <row r="4" spans="1:26" ht="14.4" x14ac:dyDescent="0.3">
      <c r="K4" t="s">
        <v>47</v>
      </c>
      <c r="P4" t="s">
        <v>42</v>
      </c>
      <c r="Q4">
        <v>74</v>
      </c>
      <c r="S4" s="48" t="s">
        <v>698</v>
      </c>
      <c r="T4" s="72">
        <f>Q3+Q4+Q5</f>
        <v>220</v>
      </c>
      <c r="U4" s="73">
        <f>T4/T3</f>
        <v>0.78853046594982079</v>
      </c>
      <c r="W4" s="68" t="s">
        <v>659</v>
      </c>
      <c r="X4" s="71">
        <f>AVERAGE(L2:L281)</f>
        <v>49.561797752808985</v>
      </c>
    </row>
    <row r="5" spans="1:26" ht="14.4" x14ac:dyDescent="0.3">
      <c r="K5" t="s">
        <v>42</v>
      </c>
      <c r="P5" t="s">
        <v>33</v>
      </c>
      <c r="Q5">
        <v>71</v>
      </c>
      <c r="S5" s="48" t="s">
        <v>699</v>
      </c>
      <c r="T5" s="70">
        <f>Q6</f>
        <v>59</v>
      </c>
      <c r="U5" s="73">
        <f>T5/T3</f>
        <v>0.21146953405017921</v>
      </c>
      <c r="W5" s="68" t="s">
        <v>700</v>
      </c>
      <c r="X5" s="70">
        <f>X3-X2</f>
        <v>79</v>
      </c>
    </row>
    <row r="6" spans="1:26" ht="14.4" x14ac:dyDescent="0.3">
      <c r="K6" t="s">
        <v>33</v>
      </c>
      <c r="P6" t="s">
        <v>43</v>
      </c>
      <c r="Q6">
        <v>59</v>
      </c>
      <c r="W6" s="68" t="s">
        <v>626</v>
      </c>
      <c r="X6" s="70">
        <f>MEDIAN(L2:L281)</f>
        <v>45</v>
      </c>
    </row>
    <row r="7" spans="1:26" ht="14.4" x14ac:dyDescent="0.3">
      <c r="K7" t="s">
        <v>42</v>
      </c>
      <c r="L7">
        <v>22</v>
      </c>
      <c r="P7" s="75" t="s">
        <v>633</v>
      </c>
      <c r="Q7" s="75">
        <v>279</v>
      </c>
    </row>
    <row r="8" spans="1:26" ht="14.4" x14ac:dyDescent="0.3">
      <c r="K8" t="s">
        <v>42</v>
      </c>
    </row>
    <row r="9" spans="1:26" ht="15" customHeight="1" x14ac:dyDescent="0.3">
      <c r="K9" t="s">
        <v>33</v>
      </c>
      <c r="P9" s="108" t="s">
        <v>701</v>
      </c>
      <c r="Q9" s="108"/>
      <c r="R9" s="108"/>
      <c r="S9" s="108"/>
      <c r="T9" s="108"/>
      <c r="U9" s="47"/>
      <c r="V9" s="47"/>
      <c r="W9" s="47"/>
      <c r="X9" s="47"/>
      <c r="Y9" s="47"/>
      <c r="Z9" s="47"/>
    </row>
    <row r="10" spans="1:26" ht="14.4" x14ac:dyDescent="0.3">
      <c r="K10" t="s">
        <v>43</v>
      </c>
      <c r="P10" s="108"/>
      <c r="Q10" s="108"/>
      <c r="R10" s="108"/>
      <c r="S10" s="108"/>
      <c r="T10" s="108"/>
      <c r="U10" s="47"/>
      <c r="V10" s="47"/>
      <c r="W10" s="47"/>
      <c r="X10" s="47"/>
      <c r="Y10" s="47"/>
      <c r="Z10" s="47"/>
    </row>
    <row r="11" spans="1:26" ht="14.4" x14ac:dyDescent="0.3">
      <c r="K11" t="s">
        <v>42</v>
      </c>
      <c r="P11" s="108"/>
      <c r="Q11" s="108"/>
      <c r="R11" s="108"/>
      <c r="S11" s="108"/>
      <c r="T11" s="108"/>
      <c r="U11" s="47"/>
      <c r="V11" s="47"/>
      <c r="W11" s="47"/>
      <c r="Z11" s="47"/>
    </row>
    <row r="12" spans="1:26" ht="14.4" x14ac:dyDescent="0.3">
      <c r="K12" t="s">
        <v>33</v>
      </c>
      <c r="P12" s="108"/>
      <c r="Q12" s="108"/>
      <c r="R12" s="108"/>
      <c r="S12" s="108"/>
      <c r="T12" s="108"/>
      <c r="U12" s="47"/>
      <c r="V12" s="47"/>
      <c r="W12" s="47"/>
      <c r="Z12" s="47"/>
    </row>
    <row r="13" spans="1:26" ht="14.4" x14ac:dyDescent="0.3">
      <c r="K13" t="s">
        <v>33</v>
      </c>
      <c r="P13" s="108"/>
      <c r="Q13" s="108"/>
      <c r="R13" s="108"/>
      <c r="S13" s="108"/>
      <c r="T13" s="108"/>
      <c r="U13" s="47"/>
      <c r="V13" s="47"/>
      <c r="W13" s="47"/>
      <c r="Y13" s="41"/>
      <c r="Z13" s="47"/>
    </row>
    <row r="14" spans="1:26" ht="14.4" x14ac:dyDescent="0.3">
      <c r="K14" t="s">
        <v>47</v>
      </c>
      <c r="L14">
        <v>82</v>
      </c>
      <c r="P14" s="108"/>
      <c r="Q14" s="108"/>
      <c r="R14" s="108"/>
      <c r="S14" s="108"/>
      <c r="T14" s="108"/>
      <c r="U14" s="47"/>
      <c r="V14" s="47"/>
      <c r="W14" s="47"/>
      <c r="Z14" s="47"/>
    </row>
    <row r="15" spans="1:26" ht="14.4" x14ac:dyDescent="0.3">
      <c r="K15" t="s">
        <v>33</v>
      </c>
      <c r="P15" s="108"/>
      <c r="Q15" s="108"/>
      <c r="R15" s="108"/>
      <c r="S15" s="108"/>
      <c r="T15" s="108"/>
      <c r="U15" s="47"/>
      <c r="V15" s="47"/>
      <c r="W15" s="47"/>
      <c r="Z15" s="47"/>
    </row>
    <row r="16" spans="1:26" ht="14.4" x14ac:dyDescent="0.3">
      <c r="K16" t="s">
        <v>47</v>
      </c>
      <c r="L16">
        <v>86</v>
      </c>
      <c r="P16" s="108"/>
      <c r="Q16" s="108"/>
      <c r="R16" s="108"/>
      <c r="S16" s="108"/>
      <c r="T16" s="108"/>
      <c r="U16" s="47"/>
      <c r="V16" s="47"/>
      <c r="W16" s="47"/>
      <c r="X16" s="47"/>
      <c r="Y16" s="47"/>
      <c r="Z16" s="47"/>
    </row>
    <row r="17" spans="11:26" ht="14.4" x14ac:dyDescent="0.3">
      <c r="K17" t="s">
        <v>47</v>
      </c>
      <c r="P17" s="108"/>
      <c r="Q17" s="108"/>
      <c r="R17" s="108"/>
      <c r="S17" s="108"/>
      <c r="T17" s="108"/>
      <c r="U17" s="47"/>
      <c r="V17" s="47"/>
      <c r="W17" s="47"/>
      <c r="X17" s="47"/>
      <c r="Y17" s="47"/>
      <c r="Z17" s="47"/>
    </row>
    <row r="18" spans="11:26" ht="14.4" x14ac:dyDescent="0.3">
      <c r="K18" t="s">
        <v>33</v>
      </c>
      <c r="L18">
        <v>40</v>
      </c>
      <c r="P18" s="108"/>
      <c r="Q18" s="108"/>
      <c r="R18" s="108"/>
      <c r="S18" s="108"/>
      <c r="T18" s="108"/>
      <c r="U18" s="47"/>
      <c r="V18" s="47"/>
      <c r="W18" s="47"/>
      <c r="X18" s="47"/>
      <c r="Y18" s="47"/>
      <c r="Z18" s="47"/>
    </row>
    <row r="19" spans="11:26" ht="14.4" x14ac:dyDescent="0.3">
      <c r="K19" t="s">
        <v>42</v>
      </c>
    </row>
    <row r="20" spans="11:26" ht="14.4" x14ac:dyDescent="0.3">
      <c r="K20" t="s">
        <v>33</v>
      </c>
      <c r="L20">
        <v>84</v>
      </c>
    </row>
    <row r="21" spans="11:26" ht="14.4" x14ac:dyDescent="0.3">
      <c r="K21" t="s">
        <v>33</v>
      </c>
    </row>
    <row r="22" spans="11:26" ht="14.4" x14ac:dyDescent="0.3">
      <c r="K22" t="s">
        <v>43</v>
      </c>
      <c r="L22">
        <v>77</v>
      </c>
    </row>
    <row r="23" spans="11:26" ht="14.4" x14ac:dyDescent="0.3">
      <c r="K23" t="s">
        <v>47</v>
      </c>
    </row>
    <row r="24" spans="11:26" ht="14.4" x14ac:dyDescent="0.3">
      <c r="K24" t="s">
        <v>43</v>
      </c>
    </row>
    <row r="25" spans="11:26" ht="14.4" x14ac:dyDescent="0.3">
      <c r="K25" t="s">
        <v>43</v>
      </c>
    </row>
    <row r="26" spans="11:26" ht="14.4" x14ac:dyDescent="0.3">
      <c r="K26" t="s">
        <v>42</v>
      </c>
      <c r="L26">
        <v>13</v>
      </c>
    </row>
    <row r="27" spans="11:26" ht="14.4" x14ac:dyDescent="0.3">
      <c r="K27" t="s">
        <v>42</v>
      </c>
    </row>
    <row r="28" spans="11:26" ht="14.4" x14ac:dyDescent="0.3">
      <c r="K28" t="s">
        <v>47</v>
      </c>
    </row>
    <row r="29" spans="11:26" ht="14.4" x14ac:dyDescent="0.3">
      <c r="K29" t="s">
        <v>47</v>
      </c>
    </row>
    <row r="30" spans="11:26" ht="14.4" x14ac:dyDescent="0.3">
      <c r="K30" t="s">
        <v>47</v>
      </c>
    </row>
    <row r="31" spans="11:26" ht="14.4" x14ac:dyDescent="0.3">
      <c r="K31" t="s">
        <v>33</v>
      </c>
      <c r="L31">
        <v>28</v>
      </c>
    </row>
    <row r="32" spans="11:26" ht="14.4" x14ac:dyDescent="0.3">
      <c r="K32" t="s">
        <v>33</v>
      </c>
      <c r="L32">
        <v>79</v>
      </c>
    </row>
    <row r="33" spans="11:12" ht="14.4" x14ac:dyDescent="0.3">
      <c r="K33" t="s">
        <v>43</v>
      </c>
      <c r="L33">
        <v>22</v>
      </c>
    </row>
    <row r="34" spans="11:12" ht="14.4" x14ac:dyDescent="0.3">
      <c r="K34" t="s">
        <v>42</v>
      </c>
      <c r="L34">
        <v>32</v>
      </c>
    </row>
    <row r="35" spans="11:12" ht="14.4" x14ac:dyDescent="0.3">
      <c r="K35" t="s">
        <v>33</v>
      </c>
    </row>
    <row r="36" spans="11:12" ht="14.4" x14ac:dyDescent="0.3">
      <c r="K36" t="s">
        <v>43</v>
      </c>
    </row>
    <row r="37" spans="11:12" ht="14.4" x14ac:dyDescent="0.3">
      <c r="K37" t="s">
        <v>33</v>
      </c>
      <c r="L37">
        <v>84</v>
      </c>
    </row>
    <row r="38" spans="11:12" ht="14.4" x14ac:dyDescent="0.3">
      <c r="K38" t="s">
        <v>47</v>
      </c>
    </row>
    <row r="39" spans="11:12" ht="14.4" x14ac:dyDescent="0.3">
      <c r="K39" t="s">
        <v>42</v>
      </c>
      <c r="L39">
        <v>10</v>
      </c>
    </row>
    <row r="40" spans="11:12" ht="14.4" x14ac:dyDescent="0.3">
      <c r="K40" t="s">
        <v>47</v>
      </c>
    </row>
    <row r="41" spans="11:12" ht="14.4" x14ac:dyDescent="0.3">
      <c r="K41" t="s">
        <v>42</v>
      </c>
      <c r="L41">
        <v>63</v>
      </c>
    </row>
    <row r="42" spans="11:12" ht="14.4" x14ac:dyDescent="0.3">
      <c r="K42" t="s">
        <v>43</v>
      </c>
      <c r="L42">
        <v>80</v>
      </c>
    </row>
    <row r="43" spans="11:12" ht="14.4" x14ac:dyDescent="0.3">
      <c r="K43" t="s">
        <v>42</v>
      </c>
    </row>
    <row r="44" spans="11:12" ht="14.4" x14ac:dyDescent="0.3">
      <c r="K44" t="s">
        <v>33</v>
      </c>
    </row>
    <row r="45" spans="11:12" ht="14.4" x14ac:dyDescent="0.3">
      <c r="K45" t="s">
        <v>47</v>
      </c>
      <c r="L45">
        <v>24</v>
      </c>
    </row>
    <row r="46" spans="11:12" ht="14.4" x14ac:dyDescent="0.3">
      <c r="K46" t="s">
        <v>33</v>
      </c>
      <c r="L46">
        <v>74</v>
      </c>
    </row>
    <row r="47" spans="11:12" ht="14.4" x14ac:dyDescent="0.3">
      <c r="K47" t="s">
        <v>33</v>
      </c>
      <c r="L47">
        <v>85</v>
      </c>
    </row>
    <row r="48" spans="11:12" ht="14.4" x14ac:dyDescent="0.3">
      <c r="K48" t="s">
        <v>47</v>
      </c>
      <c r="L48">
        <v>80</v>
      </c>
    </row>
    <row r="49" spans="11:12" ht="14.4" x14ac:dyDescent="0.3">
      <c r="K49" t="s">
        <v>47</v>
      </c>
      <c r="L49">
        <v>24</v>
      </c>
    </row>
    <row r="50" spans="11:12" ht="14.4" x14ac:dyDescent="0.3">
      <c r="K50" t="s">
        <v>33</v>
      </c>
    </row>
    <row r="51" spans="11:12" ht="14.4" x14ac:dyDescent="0.3">
      <c r="K51" t="s">
        <v>33</v>
      </c>
    </row>
    <row r="52" spans="11:12" ht="14.4" x14ac:dyDescent="0.3">
      <c r="K52" t="s">
        <v>43</v>
      </c>
    </row>
    <row r="53" spans="11:12" ht="14.4" x14ac:dyDescent="0.3">
      <c r="K53" t="s">
        <v>33</v>
      </c>
      <c r="L53">
        <v>30</v>
      </c>
    </row>
    <row r="54" spans="11:12" ht="14.4" x14ac:dyDescent="0.3">
      <c r="K54" t="s">
        <v>47</v>
      </c>
    </row>
    <row r="55" spans="11:12" ht="14.4" x14ac:dyDescent="0.3">
      <c r="K55" t="s">
        <v>47</v>
      </c>
    </row>
    <row r="56" spans="11:12" ht="14.4" x14ac:dyDescent="0.3">
      <c r="K56" t="s">
        <v>33</v>
      </c>
    </row>
    <row r="57" spans="11:12" ht="14.4" x14ac:dyDescent="0.3">
      <c r="K57" t="s">
        <v>33</v>
      </c>
    </row>
    <row r="58" spans="11:12" ht="14.4" x14ac:dyDescent="0.3">
      <c r="K58" t="s">
        <v>33</v>
      </c>
      <c r="L58">
        <v>28</v>
      </c>
    </row>
    <row r="59" spans="11:12" ht="14.4" x14ac:dyDescent="0.3">
      <c r="K59" t="s">
        <v>42</v>
      </c>
    </row>
    <row r="60" spans="11:12" ht="14.4" x14ac:dyDescent="0.3">
      <c r="K60" t="s">
        <v>42</v>
      </c>
    </row>
    <row r="61" spans="11:12" ht="14.4" x14ac:dyDescent="0.3">
      <c r="K61" t="s">
        <v>43</v>
      </c>
    </row>
    <row r="62" spans="11:12" ht="14.4" x14ac:dyDescent="0.3">
      <c r="K62" t="s">
        <v>47</v>
      </c>
    </row>
    <row r="63" spans="11:12" ht="14.4" x14ac:dyDescent="0.3">
      <c r="K63" t="s">
        <v>47</v>
      </c>
    </row>
    <row r="64" spans="11:12" ht="14.4" x14ac:dyDescent="0.3">
      <c r="K64" t="s">
        <v>47</v>
      </c>
    </row>
    <row r="65" spans="11:12" ht="14.4" x14ac:dyDescent="0.3">
      <c r="K65" t="s">
        <v>42</v>
      </c>
    </row>
    <row r="66" spans="11:12" ht="14.4" x14ac:dyDescent="0.3">
      <c r="K66" t="s">
        <v>33</v>
      </c>
      <c r="L66">
        <v>69</v>
      </c>
    </row>
    <row r="67" spans="11:12" ht="14.4" x14ac:dyDescent="0.3">
      <c r="K67" t="s">
        <v>43</v>
      </c>
    </row>
    <row r="68" spans="11:12" ht="14.4" x14ac:dyDescent="0.3">
      <c r="K68" t="s">
        <v>33</v>
      </c>
    </row>
    <row r="69" spans="11:12" ht="14.4" x14ac:dyDescent="0.3">
      <c r="K69" t="s">
        <v>47</v>
      </c>
    </row>
    <row r="70" spans="11:12" ht="14.4" x14ac:dyDescent="0.3">
      <c r="K70" t="s">
        <v>43</v>
      </c>
      <c r="L70">
        <v>42</v>
      </c>
    </row>
    <row r="71" spans="11:12" ht="14.4" x14ac:dyDescent="0.3">
      <c r="K71" t="s">
        <v>47</v>
      </c>
      <c r="L71">
        <v>58</v>
      </c>
    </row>
    <row r="72" spans="11:12" ht="14.4" x14ac:dyDescent="0.3">
      <c r="K72" t="s">
        <v>43</v>
      </c>
    </row>
    <row r="73" spans="11:12" ht="14.4" x14ac:dyDescent="0.3">
      <c r="K73" t="s">
        <v>43</v>
      </c>
      <c r="L73">
        <v>44</v>
      </c>
    </row>
    <row r="74" spans="11:12" ht="14.4" x14ac:dyDescent="0.3">
      <c r="K74" t="s">
        <v>43</v>
      </c>
    </row>
    <row r="75" spans="11:12" ht="14.4" x14ac:dyDescent="0.3">
      <c r="K75" t="s">
        <v>42</v>
      </c>
    </row>
    <row r="76" spans="11:12" ht="14.4" x14ac:dyDescent="0.3">
      <c r="K76" t="s">
        <v>43</v>
      </c>
    </row>
    <row r="77" spans="11:12" ht="14.4" x14ac:dyDescent="0.3">
      <c r="K77" t="s">
        <v>47</v>
      </c>
    </row>
    <row r="78" spans="11:12" ht="14.4" x14ac:dyDescent="0.3">
      <c r="K78" t="s">
        <v>47</v>
      </c>
    </row>
    <row r="79" spans="11:12" ht="14.4" x14ac:dyDescent="0.3">
      <c r="K79" t="s">
        <v>43</v>
      </c>
    </row>
    <row r="80" spans="11:12" ht="14.4" x14ac:dyDescent="0.3">
      <c r="K80" t="s">
        <v>33</v>
      </c>
    </row>
    <row r="81" spans="11:12" ht="14.4" x14ac:dyDescent="0.3">
      <c r="K81" t="s">
        <v>42</v>
      </c>
      <c r="L81">
        <v>53</v>
      </c>
    </row>
    <row r="82" spans="11:12" ht="14.4" x14ac:dyDescent="0.3">
      <c r="K82" t="s">
        <v>33</v>
      </c>
      <c r="L82">
        <v>20</v>
      </c>
    </row>
    <row r="83" spans="11:12" ht="14.4" x14ac:dyDescent="0.3">
      <c r="K83" t="s">
        <v>33</v>
      </c>
    </row>
    <row r="84" spans="11:12" ht="14.4" x14ac:dyDescent="0.3">
      <c r="K84" t="s">
        <v>47</v>
      </c>
    </row>
    <row r="85" spans="11:12" ht="14.4" x14ac:dyDescent="0.3">
      <c r="K85" t="s">
        <v>43</v>
      </c>
    </row>
    <row r="86" spans="11:12" ht="14.4" x14ac:dyDescent="0.3">
      <c r="K86" t="s">
        <v>33</v>
      </c>
    </row>
    <row r="87" spans="11:12" ht="14.4" x14ac:dyDescent="0.3">
      <c r="K87" t="s">
        <v>33</v>
      </c>
    </row>
    <row r="88" spans="11:12" ht="14.4" x14ac:dyDescent="0.3">
      <c r="K88" t="s">
        <v>47</v>
      </c>
    </row>
    <row r="89" spans="11:12" ht="14.4" x14ac:dyDescent="0.3">
      <c r="K89" t="s">
        <v>42</v>
      </c>
    </row>
    <row r="90" spans="11:12" ht="14.4" x14ac:dyDescent="0.3">
      <c r="K90" t="s">
        <v>33</v>
      </c>
    </row>
    <row r="91" spans="11:12" ht="14.4" x14ac:dyDescent="0.3">
      <c r="K91" t="s">
        <v>42</v>
      </c>
    </row>
    <row r="92" spans="11:12" ht="14.4" x14ac:dyDescent="0.3">
      <c r="K92" t="s">
        <v>47</v>
      </c>
    </row>
    <row r="93" spans="11:12" ht="14.4" x14ac:dyDescent="0.3">
      <c r="K93" t="s">
        <v>43</v>
      </c>
    </row>
    <row r="94" spans="11:12" ht="14.4" x14ac:dyDescent="0.3">
      <c r="K94" t="s">
        <v>42</v>
      </c>
      <c r="L94">
        <v>81</v>
      </c>
    </row>
    <row r="95" spans="11:12" ht="14.4" x14ac:dyDescent="0.3">
      <c r="K95" t="s">
        <v>47</v>
      </c>
    </row>
    <row r="96" spans="11:12" ht="14.4" x14ac:dyDescent="0.3">
      <c r="K96" t="s">
        <v>43</v>
      </c>
      <c r="L96">
        <v>87</v>
      </c>
    </row>
    <row r="97" spans="11:12" ht="14.4" x14ac:dyDescent="0.3">
      <c r="K97" t="s">
        <v>33</v>
      </c>
    </row>
    <row r="98" spans="11:12" ht="14.4" x14ac:dyDescent="0.3">
      <c r="K98" t="s">
        <v>42</v>
      </c>
    </row>
    <row r="99" spans="11:12" ht="14.4" x14ac:dyDescent="0.3">
      <c r="K99" t="s">
        <v>47</v>
      </c>
    </row>
    <row r="100" spans="11:12" ht="14.4" x14ac:dyDescent="0.3">
      <c r="K100" t="s">
        <v>43</v>
      </c>
    </row>
    <row r="101" spans="11:12" ht="14.4" x14ac:dyDescent="0.3">
      <c r="K101" t="s">
        <v>33</v>
      </c>
      <c r="L101">
        <v>83</v>
      </c>
    </row>
    <row r="102" spans="11:12" ht="14.4" x14ac:dyDescent="0.3">
      <c r="K102" t="s">
        <v>33</v>
      </c>
      <c r="L102">
        <v>75</v>
      </c>
    </row>
    <row r="103" spans="11:12" ht="14.4" x14ac:dyDescent="0.3">
      <c r="K103" t="s">
        <v>43</v>
      </c>
      <c r="L103">
        <v>55</v>
      </c>
    </row>
    <row r="104" spans="11:12" ht="14.4" x14ac:dyDescent="0.3">
      <c r="K104" t="s">
        <v>47</v>
      </c>
    </row>
    <row r="105" spans="11:12" ht="14.4" x14ac:dyDescent="0.3">
      <c r="K105" t="s">
        <v>43</v>
      </c>
    </row>
    <row r="106" spans="11:12" ht="14.4" x14ac:dyDescent="0.3">
      <c r="K106" t="s">
        <v>43</v>
      </c>
      <c r="L106">
        <v>18</v>
      </c>
    </row>
    <row r="107" spans="11:12" ht="14.4" x14ac:dyDescent="0.3">
      <c r="K107" t="s">
        <v>43</v>
      </c>
      <c r="L107">
        <v>12</v>
      </c>
    </row>
    <row r="108" spans="11:12" ht="14.4" x14ac:dyDescent="0.3">
      <c r="K108" t="s">
        <v>43</v>
      </c>
    </row>
    <row r="109" spans="11:12" ht="14.4" x14ac:dyDescent="0.3">
      <c r="K109" t="s">
        <v>47</v>
      </c>
    </row>
    <row r="110" spans="11:12" ht="14.4" x14ac:dyDescent="0.3">
      <c r="K110" t="s">
        <v>33</v>
      </c>
    </row>
    <row r="111" spans="11:12" ht="14.4" x14ac:dyDescent="0.3">
      <c r="K111" t="s">
        <v>43</v>
      </c>
    </row>
    <row r="112" spans="11:12" ht="14.4" x14ac:dyDescent="0.3">
      <c r="K112" t="s">
        <v>42</v>
      </c>
    </row>
    <row r="113" spans="11:12" ht="14.4" x14ac:dyDescent="0.3">
      <c r="K113" t="s">
        <v>42</v>
      </c>
    </row>
    <row r="114" spans="11:12" ht="14.4" x14ac:dyDescent="0.3">
      <c r="K114" t="s">
        <v>33</v>
      </c>
    </row>
    <row r="115" spans="11:12" ht="14.4" x14ac:dyDescent="0.3">
      <c r="K115" t="s">
        <v>43</v>
      </c>
    </row>
    <row r="116" spans="11:12" ht="14.4" x14ac:dyDescent="0.3">
      <c r="K116" t="s">
        <v>47</v>
      </c>
    </row>
    <row r="117" spans="11:12" ht="14.4" x14ac:dyDescent="0.3">
      <c r="K117" t="s">
        <v>43</v>
      </c>
      <c r="L117">
        <v>35</v>
      </c>
    </row>
    <row r="118" spans="11:12" ht="14.4" x14ac:dyDescent="0.3">
      <c r="K118" t="s">
        <v>43</v>
      </c>
    </row>
    <row r="119" spans="11:12" ht="14.4" x14ac:dyDescent="0.3">
      <c r="K119" t="s">
        <v>33</v>
      </c>
      <c r="L119">
        <v>81</v>
      </c>
    </row>
    <row r="120" spans="11:12" ht="14.4" x14ac:dyDescent="0.3">
      <c r="K120" t="s">
        <v>33</v>
      </c>
    </row>
    <row r="121" spans="11:12" ht="14.4" x14ac:dyDescent="0.3">
      <c r="K121" t="s">
        <v>43</v>
      </c>
    </row>
    <row r="122" spans="11:12" ht="14.4" x14ac:dyDescent="0.3">
      <c r="K122" t="s">
        <v>42</v>
      </c>
    </row>
    <row r="123" spans="11:12" ht="14.4" x14ac:dyDescent="0.3">
      <c r="K123" t="s">
        <v>42</v>
      </c>
    </row>
    <row r="124" spans="11:12" ht="14.4" x14ac:dyDescent="0.3">
      <c r="K124" t="s">
        <v>42</v>
      </c>
    </row>
    <row r="125" spans="11:12" ht="14.4" x14ac:dyDescent="0.3">
      <c r="K125" t="s">
        <v>42</v>
      </c>
      <c r="L125">
        <v>57</v>
      </c>
    </row>
    <row r="126" spans="11:12" ht="14.4" x14ac:dyDescent="0.3">
      <c r="K126" t="s">
        <v>47</v>
      </c>
    </row>
    <row r="127" spans="11:12" ht="14.4" x14ac:dyDescent="0.3">
      <c r="K127" t="s">
        <v>33</v>
      </c>
      <c r="L127">
        <v>75</v>
      </c>
    </row>
    <row r="128" spans="11:12" ht="14.4" x14ac:dyDescent="0.3">
      <c r="K128" t="s">
        <v>42</v>
      </c>
      <c r="L128">
        <v>79</v>
      </c>
    </row>
    <row r="129" spans="11:12" ht="14.4" x14ac:dyDescent="0.3">
      <c r="K129" t="s">
        <v>47</v>
      </c>
    </row>
    <row r="130" spans="11:12" ht="14.4" x14ac:dyDescent="0.3">
      <c r="K130" t="s">
        <v>43</v>
      </c>
      <c r="L130">
        <v>37</v>
      </c>
    </row>
    <row r="131" spans="11:12" ht="14.4" x14ac:dyDescent="0.3">
      <c r="K131" t="s">
        <v>33</v>
      </c>
      <c r="L131">
        <v>35</v>
      </c>
    </row>
    <row r="132" spans="11:12" ht="14.4" x14ac:dyDescent="0.3">
      <c r="K132" t="s">
        <v>33</v>
      </c>
    </row>
    <row r="133" spans="11:12" ht="14.4" x14ac:dyDescent="0.3">
      <c r="K133" t="s">
        <v>47</v>
      </c>
      <c r="L133">
        <v>34</v>
      </c>
    </row>
    <row r="134" spans="11:12" ht="14.4" x14ac:dyDescent="0.3">
      <c r="K134" t="s">
        <v>47</v>
      </c>
      <c r="L134">
        <v>21</v>
      </c>
    </row>
    <row r="135" spans="11:12" ht="14.4" x14ac:dyDescent="0.3">
      <c r="K135" t="s">
        <v>42</v>
      </c>
    </row>
    <row r="136" spans="11:12" ht="14.4" x14ac:dyDescent="0.3">
      <c r="K136" t="s">
        <v>42</v>
      </c>
    </row>
    <row r="137" spans="11:12" ht="14.4" x14ac:dyDescent="0.3">
      <c r="K137" t="s">
        <v>47</v>
      </c>
      <c r="L137">
        <v>14</v>
      </c>
    </row>
    <row r="138" spans="11:12" ht="14.4" x14ac:dyDescent="0.3">
      <c r="K138" t="s">
        <v>47</v>
      </c>
    </row>
    <row r="139" spans="11:12" ht="14.4" x14ac:dyDescent="0.3">
      <c r="K139" t="s">
        <v>33</v>
      </c>
    </row>
    <row r="140" spans="11:12" ht="14.4" x14ac:dyDescent="0.3">
      <c r="K140" t="s">
        <v>47</v>
      </c>
    </row>
    <row r="141" spans="11:12" ht="14.4" x14ac:dyDescent="0.3">
      <c r="K141" t="s">
        <v>47</v>
      </c>
      <c r="L141">
        <v>57</v>
      </c>
    </row>
    <row r="142" spans="11:12" ht="14.4" x14ac:dyDescent="0.3">
      <c r="K142" t="s">
        <v>42</v>
      </c>
      <c r="L142">
        <v>46</v>
      </c>
    </row>
    <row r="143" spans="11:12" ht="14.4" x14ac:dyDescent="0.3">
      <c r="K143" t="s">
        <v>33</v>
      </c>
    </row>
    <row r="144" spans="11:12" ht="14.4" x14ac:dyDescent="0.3">
      <c r="K144" t="s">
        <v>47</v>
      </c>
    </row>
    <row r="145" spans="11:12" ht="14.4" x14ac:dyDescent="0.3">
      <c r="K145" t="s">
        <v>42</v>
      </c>
    </row>
    <row r="146" spans="11:12" ht="14.4" x14ac:dyDescent="0.3">
      <c r="K146" t="s">
        <v>42</v>
      </c>
      <c r="L146">
        <v>88</v>
      </c>
    </row>
    <row r="147" spans="11:12" ht="14.4" x14ac:dyDescent="0.3">
      <c r="K147" t="s">
        <v>42</v>
      </c>
    </row>
    <row r="148" spans="11:12" ht="14.4" x14ac:dyDescent="0.3">
      <c r="K148" t="s">
        <v>47</v>
      </c>
    </row>
    <row r="149" spans="11:12" ht="14.4" x14ac:dyDescent="0.3">
      <c r="K149" t="s">
        <v>42</v>
      </c>
    </row>
    <row r="150" spans="11:12" ht="14.4" x14ac:dyDescent="0.3">
      <c r="K150" t="s">
        <v>47</v>
      </c>
    </row>
    <row r="151" spans="11:12" ht="14.4" x14ac:dyDescent="0.3">
      <c r="K151" t="s">
        <v>47</v>
      </c>
    </row>
    <row r="152" spans="11:12" ht="14.4" x14ac:dyDescent="0.3">
      <c r="K152" t="s">
        <v>33</v>
      </c>
      <c r="L152">
        <v>53</v>
      </c>
    </row>
    <row r="153" spans="11:12" ht="14.4" x14ac:dyDescent="0.3">
      <c r="K153" t="s">
        <v>47</v>
      </c>
    </row>
    <row r="154" spans="11:12" ht="14.4" x14ac:dyDescent="0.3">
      <c r="K154" t="s">
        <v>43</v>
      </c>
    </row>
    <row r="155" spans="11:12" ht="14.4" x14ac:dyDescent="0.3">
      <c r="K155" t="s">
        <v>43</v>
      </c>
      <c r="L155">
        <v>24</v>
      </c>
    </row>
    <row r="156" spans="11:12" ht="14.4" x14ac:dyDescent="0.3">
      <c r="K156" t="s">
        <v>33</v>
      </c>
    </row>
    <row r="157" spans="11:12" ht="14.4" x14ac:dyDescent="0.3">
      <c r="K157" t="s">
        <v>47</v>
      </c>
      <c r="L157">
        <v>52</v>
      </c>
    </row>
    <row r="158" spans="11:12" ht="14.4" x14ac:dyDescent="0.3">
      <c r="K158" t="s">
        <v>42</v>
      </c>
      <c r="L158">
        <v>57</v>
      </c>
    </row>
    <row r="159" spans="11:12" ht="14.4" x14ac:dyDescent="0.3">
      <c r="K159" t="s">
        <v>33</v>
      </c>
    </row>
    <row r="160" spans="11:12" ht="14.4" x14ac:dyDescent="0.3">
      <c r="K160" t="s">
        <v>33</v>
      </c>
    </row>
    <row r="161" spans="11:12" ht="14.4" x14ac:dyDescent="0.3">
      <c r="K161" t="s">
        <v>47</v>
      </c>
    </row>
    <row r="162" spans="11:12" ht="14.4" x14ac:dyDescent="0.3">
      <c r="K162" t="s">
        <v>43</v>
      </c>
    </row>
    <row r="163" spans="11:12" ht="14.4" x14ac:dyDescent="0.3">
      <c r="K163" t="s">
        <v>47</v>
      </c>
      <c r="L163">
        <v>79</v>
      </c>
    </row>
    <row r="164" spans="11:12" ht="14.4" x14ac:dyDescent="0.3">
      <c r="K164" t="s">
        <v>47</v>
      </c>
    </row>
    <row r="165" spans="11:12" ht="14.4" x14ac:dyDescent="0.3">
      <c r="K165" t="s">
        <v>33</v>
      </c>
    </row>
    <row r="166" spans="11:12" ht="14.4" x14ac:dyDescent="0.3">
      <c r="K166" t="s">
        <v>33</v>
      </c>
    </row>
    <row r="167" spans="11:12" ht="14.4" x14ac:dyDescent="0.3">
      <c r="K167" t="s">
        <v>47</v>
      </c>
    </row>
    <row r="168" spans="11:12" ht="14.4" x14ac:dyDescent="0.3">
      <c r="K168" t="s">
        <v>33</v>
      </c>
    </row>
    <row r="169" spans="11:12" ht="14.4" x14ac:dyDescent="0.3">
      <c r="K169" t="s">
        <v>47</v>
      </c>
    </row>
    <row r="170" spans="11:12" ht="14.4" x14ac:dyDescent="0.3">
      <c r="K170" t="s">
        <v>42</v>
      </c>
    </row>
    <row r="171" spans="11:12" ht="14.4" x14ac:dyDescent="0.3">
      <c r="K171" t="s">
        <v>43</v>
      </c>
      <c r="L171">
        <v>55</v>
      </c>
    </row>
    <row r="172" spans="11:12" ht="14.4" x14ac:dyDescent="0.3">
      <c r="K172" t="s">
        <v>47</v>
      </c>
    </row>
    <row r="173" spans="11:12" ht="14.4" x14ac:dyDescent="0.3">
      <c r="K173" t="s">
        <v>33</v>
      </c>
    </row>
    <row r="174" spans="11:12" ht="14.4" x14ac:dyDescent="0.3">
      <c r="K174" t="s">
        <v>43</v>
      </c>
    </row>
    <row r="175" spans="11:12" ht="14.4" x14ac:dyDescent="0.3">
      <c r="K175" t="s">
        <v>47</v>
      </c>
    </row>
    <row r="176" spans="11:12" ht="14.4" x14ac:dyDescent="0.3">
      <c r="K176" t="s">
        <v>33</v>
      </c>
    </row>
    <row r="177" spans="11:12" ht="14.4" x14ac:dyDescent="0.3">
      <c r="K177" t="s">
        <v>43</v>
      </c>
    </row>
    <row r="178" spans="11:12" ht="14.4" x14ac:dyDescent="0.3">
      <c r="K178" t="s">
        <v>43</v>
      </c>
    </row>
    <row r="179" spans="11:12" ht="14.4" x14ac:dyDescent="0.3">
      <c r="K179" t="s">
        <v>33</v>
      </c>
    </row>
    <row r="180" spans="11:12" ht="14.4" x14ac:dyDescent="0.3">
      <c r="K180" t="s">
        <v>47</v>
      </c>
    </row>
    <row r="181" spans="11:12" ht="14.4" x14ac:dyDescent="0.3">
      <c r="K181" t="s">
        <v>42</v>
      </c>
    </row>
    <row r="182" spans="11:12" ht="14.4" x14ac:dyDescent="0.3">
      <c r="K182" t="s">
        <v>47</v>
      </c>
    </row>
    <row r="183" spans="11:12" ht="14.4" x14ac:dyDescent="0.3">
      <c r="K183" t="s">
        <v>43</v>
      </c>
    </row>
    <row r="184" spans="11:12" ht="14.4" x14ac:dyDescent="0.3">
      <c r="K184" t="s">
        <v>33</v>
      </c>
    </row>
    <row r="185" spans="11:12" ht="14.4" x14ac:dyDescent="0.3">
      <c r="K185" t="s">
        <v>43</v>
      </c>
    </row>
    <row r="186" spans="11:12" ht="14.4" x14ac:dyDescent="0.3">
      <c r="K186" t="s">
        <v>47</v>
      </c>
    </row>
    <row r="187" spans="11:12" ht="14.4" x14ac:dyDescent="0.3">
      <c r="K187" t="s">
        <v>42</v>
      </c>
    </row>
    <row r="188" spans="11:12" ht="14.4" x14ac:dyDescent="0.3">
      <c r="K188" t="s">
        <v>42</v>
      </c>
    </row>
    <row r="189" spans="11:12" ht="14.4" x14ac:dyDescent="0.3">
      <c r="K189" t="s">
        <v>47</v>
      </c>
    </row>
    <row r="190" spans="11:12" ht="14.4" x14ac:dyDescent="0.3">
      <c r="K190" t="s">
        <v>42</v>
      </c>
    </row>
    <row r="191" spans="11:12" ht="14.4" x14ac:dyDescent="0.3">
      <c r="K191" t="s">
        <v>42</v>
      </c>
    </row>
    <row r="192" spans="11:12" ht="14.4" x14ac:dyDescent="0.3">
      <c r="K192" t="s">
        <v>43</v>
      </c>
      <c r="L192">
        <v>52</v>
      </c>
    </row>
    <row r="193" spans="11:12" ht="14.4" x14ac:dyDescent="0.3">
      <c r="K193" t="s">
        <v>43</v>
      </c>
      <c r="L193">
        <v>30</v>
      </c>
    </row>
    <row r="194" spans="11:12" ht="14.4" x14ac:dyDescent="0.3">
      <c r="K194" t="s">
        <v>42</v>
      </c>
    </row>
    <row r="195" spans="11:12" ht="14.4" x14ac:dyDescent="0.3">
      <c r="K195" t="s">
        <v>33</v>
      </c>
    </row>
    <row r="196" spans="11:12" ht="14.4" x14ac:dyDescent="0.3">
      <c r="K196" t="s">
        <v>42</v>
      </c>
    </row>
    <row r="197" spans="11:12" ht="14.4" x14ac:dyDescent="0.3">
      <c r="K197" t="s">
        <v>47</v>
      </c>
    </row>
    <row r="198" spans="11:12" ht="14.4" x14ac:dyDescent="0.3">
      <c r="K198" t="s">
        <v>42</v>
      </c>
      <c r="L198">
        <v>32</v>
      </c>
    </row>
    <row r="199" spans="11:12" ht="14.4" x14ac:dyDescent="0.3">
      <c r="K199" t="s">
        <v>42</v>
      </c>
    </row>
    <row r="200" spans="11:12" ht="14.4" x14ac:dyDescent="0.3">
      <c r="K200" t="s">
        <v>42</v>
      </c>
    </row>
    <row r="201" spans="11:12" ht="14.4" x14ac:dyDescent="0.3">
      <c r="K201" t="s">
        <v>43</v>
      </c>
    </row>
    <row r="202" spans="11:12" ht="14.4" x14ac:dyDescent="0.3">
      <c r="K202" t="s">
        <v>43</v>
      </c>
      <c r="L202">
        <v>89</v>
      </c>
    </row>
    <row r="203" spans="11:12" ht="14.4" x14ac:dyDescent="0.3">
      <c r="K203" t="s">
        <v>33</v>
      </c>
    </row>
    <row r="204" spans="11:12" ht="14.4" x14ac:dyDescent="0.3">
      <c r="K204" t="s">
        <v>33</v>
      </c>
    </row>
    <row r="205" spans="11:12" ht="14.4" x14ac:dyDescent="0.3">
      <c r="K205" t="s">
        <v>42</v>
      </c>
    </row>
    <row r="206" spans="11:12" ht="14.4" x14ac:dyDescent="0.3">
      <c r="K206" t="s">
        <v>33</v>
      </c>
    </row>
    <row r="207" spans="11:12" ht="14.4" x14ac:dyDescent="0.3">
      <c r="K207" t="s">
        <v>42</v>
      </c>
    </row>
    <row r="208" spans="11:12" ht="14.4" x14ac:dyDescent="0.3">
      <c r="K208" t="s">
        <v>33</v>
      </c>
    </row>
    <row r="209" spans="11:12" ht="14.4" x14ac:dyDescent="0.3">
      <c r="K209" t="s">
        <v>42</v>
      </c>
    </row>
    <row r="210" spans="11:12" ht="14.4" x14ac:dyDescent="0.3">
      <c r="K210" t="s">
        <v>33</v>
      </c>
    </row>
    <row r="211" spans="11:12" ht="14.4" x14ac:dyDescent="0.3">
      <c r="K211" t="s">
        <v>33</v>
      </c>
      <c r="L211">
        <v>56</v>
      </c>
    </row>
    <row r="212" spans="11:12" ht="14.4" x14ac:dyDescent="0.3">
      <c r="K212" t="s">
        <v>42</v>
      </c>
    </row>
    <row r="213" spans="11:12" ht="14.4" x14ac:dyDescent="0.3">
      <c r="K213" t="s">
        <v>42</v>
      </c>
      <c r="L213">
        <v>24</v>
      </c>
    </row>
    <row r="214" spans="11:12" ht="14.4" x14ac:dyDescent="0.3">
      <c r="K214" t="s">
        <v>42</v>
      </c>
      <c r="L214">
        <v>34</v>
      </c>
    </row>
    <row r="215" spans="11:12" ht="14.4" x14ac:dyDescent="0.3">
      <c r="K215" t="s">
        <v>42</v>
      </c>
    </row>
    <row r="216" spans="11:12" ht="14.4" x14ac:dyDescent="0.3">
      <c r="K216" t="s">
        <v>33</v>
      </c>
      <c r="L216">
        <v>45</v>
      </c>
    </row>
    <row r="217" spans="11:12" ht="14.4" x14ac:dyDescent="0.3">
      <c r="K217" t="s">
        <v>47</v>
      </c>
    </row>
    <row r="218" spans="11:12" ht="14.4" x14ac:dyDescent="0.3">
      <c r="K218" t="s">
        <v>47</v>
      </c>
      <c r="L218">
        <v>84</v>
      </c>
    </row>
    <row r="219" spans="11:12" ht="14.4" x14ac:dyDescent="0.3">
      <c r="K219" t="s">
        <v>33</v>
      </c>
    </row>
    <row r="220" spans="11:12" ht="14.4" x14ac:dyDescent="0.3">
      <c r="K220" t="s">
        <v>43</v>
      </c>
    </row>
    <row r="221" spans="11:12" ht="14.4" x14ac:dyDescent="0.3">
      <c r="K221" t="s">
        <v>47</v>
      </c>
    </row>
    <row r="222" spans="11:12" ht="14.4" x14ac:dyDescent="0.3">
      <c r="K222" t="s">
        <v>33</v>
      </c>
    </row>
    <row r="223" spans="11:12" ht="14.4" x14ac:dyDescent="0.3">
      <c r="K223" t="s">
        <v>47</v>
      </c>
      <c r="L223">
        <v>60</v>
      </c>
    </row>
    <row r="224" spans="11:12" ht="14.4" x14ac:dyDescent="0.3">
      <c r="K224" t="s">
        <v>47</v>
      </c>
    </row>
    <row r="225" spans="11:12" ht="14.4" x14ac:dyDescent="0.3">
      <c r="K225" t="s">
        <v>42</v>
      </c>
      <c r="L225">
        <v>24</v>
      </c>
    </row>
    <row r="226" spans="11:12" ht="14.4" x14ac:dyDescent="0.3">
      <c r="K226" t="s">
        <v>43</v>
      </c>
    </row>
    <row r="227" spans="11:12" ht="14.4" x14ac:dyDescent="0.3">
      <c r="K227" t="s">
        <v>33</v>
      </c>
      <c r="L227">
        <v>77</v>
      </c>
    </row>
    <row r="228" spans="11:12" ht="14.4" x14ac:dyDescent="0.3">
      <c r="K228" t="s">
        <v>47</v>
      </c>
      <c r="L228">
        <v>30</v>
      </c>
    </row>
    <row r="229" spans="11:12" ht="14.4" x14ac:dyDescent="0.3">
      <c r="K229" t="s">
        <v>47</v>
      </c>
    </row>
    <row r="230" spans="11:12" ht="14.4" x14ac:dyDescent="0.3">
      <c r="K230" t="s">
        <v>33</v>
      </c>
      <c r="L230">
        <v>22</v>
      </c>
    </row>
    <row r="231" spans="11:12" ht="14.4" x14ac:dyDescent="0.3">
      <c r="K231" t="s">
        <v>47</v>
      </c>
      <c r="L231">
        <v>28</v>
      </c>
    </row>
    <row r="232" spans="11:12" ht="14.4" x14ac:dyDescent="0.3">
      <c r="K232" t="s">
        <v>47</v>
      </c>
    </row>
    <row r="233" spans="11:12" ht="14.4" x14ac:dyDescent="0.3">
      <c r="K233" t="s">
        <v>47</v>
      </c>
    </row>
    <row r="234" spans="11:12" ht="14.4" x14ac:dyDescent="0.3">
      <c r="K234" t="s">
        <v>33</v>
      </c>
      <c r="L234">
        <v>43</v>
      </c>
    </row>
    <row r="235" spans="11:12" ht="14.4" x14ac:dyDescent="0.3">
      <c r="K235" t="s">
        <v>43</v>
      </c>
    </row>
    <row r="236" spans="11:12" ht="14.4" x14ac:dyDescent="0.3">
      <c r="K236" t="s">
        <v>42</v>
      </c>
      <c r="L236">
        <v>87</v>
      </c>
    </row>
    <row r="237" spans="11:12" ht="14.4" x14ac:dyDescent="0.3">
      <c r="K237" t="s">
        <v>47</v>
      </c>
    </row>
    <row r="238" spans="11:12" ht="14.4" x14ac:dyDescent="0.3">
      <c r="K238" t="s">
        <v>33</v>
      </c>
      <c r="L238">
        <v>77</v>
      </c>
    </row>
    <row r="239" spans="11:12" ht="14.4" x14ac:dyDescent="0.3">
      <c r="K239" t="s">
        <v>42</v>
      </c>
      <c r="L239">
        <v>61</v>
      </c>
    </row>
    <row r="240" spans="11:12" ht="14.4" x14ac:dyDescent="0.3">
      <c r="K240" t="s">
        <v>33</v>
      </c>
      <c r="L240">
        <v>36</v>
      </c>
    </row>
    <row r="241" spans="11:12" ht="14.4" x14ac:dyDescent="0.3">
      <c r="K241" t="s">
        <v>42</v>
      </c>
      <c r="L241">
        <v>38</v>
      </c>
    </row>
    <row r="242" spans="11:12" ht="14.4" x14ac:dyDescent="0.3">
      <c r="K242" t="s">
        <v>47</v>
      </c>
    </row>
    <row r="243" spans="11:12" ht="14.4" x14ac:dyDescent="0.3">
      <c r="K243" t="s">
        <v>43</v>
      </c>
    </row>
    <row r="244" spans="11:12" ht="14.4" x14ac:dyDescent="0.3">
      <c r="K244" t="s">
        <v>42</v>
      </c>
      <c r="L244">
        <v>37</v>
      </c>
    </row>
    <row r="245" spans="11:12" ht="14.4" x14ac:dyDescent="0.3">
      <c r="K245" t="s">
        <v>42</v>
      </c>
    </row>
    <row r="246" spans="11:12" ht="14.4" x14ac:dyDescent="0.3">
      <c r="K246" t="s">
        <v>47</v>
      </c>
      <c r="L246">
        <v>44</v>
      </c>
    </row>
    <row r="247" spans="11:12" ht="14.4" x14ac:dyDescent="0.3">
      <c r="K247" t="s">
        <v>42</v>
      </c>
      <c r="L247">
        <v>17</v>
      </c>
    </row>
    <row r="248" spans="11:12" ht="14.4" x14ac:dyDescent="0.3">
      <c r="K248" t="s">
        <v>42</v>
      </c>
    </row>
    <row r="249" spans="11:12" ht="14.4" x14ac:dyDescent="0.3">
      <c r="K249" t="s">
        <v>43</v>
      </c>
      <c r="L249">
        <v>25</v>
      </c>
    </row>
    <row r="250" spans="11:12" ht="14.4" x14ac:dyDescent="0.3">
      <c r="K250" t="s">
        <v>47</v>
      </c>
      <c r="L250">
        <v>45</v>
      </c>
    </row>
    <row r="251" spans="11:12" ht="14.4" x14ac:dyDescent="0.3">
      <c r="K251" t="s">
        <v>42</v>
      </c>
      <c r="L251">
        <v>39</v>
      </c>
    </row>
    <row r="252" spans="11:12" ht="14.4" x14ac:dyDescent="0.3">
      <c r="K252" t="s">
        <v>43</v>
      </c>
    </row>
    <row r="253" spans="11:12" ht="14.4" x14ac:dyDescent="0.3">
      <c r="K253" t="s">
        <v>42</v>
      </c>
    </row>
    <row r="254" spans="11:12" ht="14.4" x14ac:dyDescent="0.3">
      <c r="K254" t="s">
        <v>43</v>
      </c>
      <c r="L254">
        <v>27</v>
      </c>
    </row>
    <row r="255" spans="11:12" ht="14.4" x14ac:dyDescent="0.3">
      <c r="K255" t="s">
        <v>43</v>
      </c>
    </row>
    <row r="256" spans="11:12" ht="14.4" x14ac:dyDescent="0.3">
      <c r="K256" t="s">
        <v>42</v>
      </c>
    </row>
    <row r="257" spans="11:12" ht="14.4" x14ac:dyDescent="0.3">
      <c r="K257" t="s">
        <v>43</v>
      </c>
    </row>
    <row r="258" spans="11:12" ht="14.4" x14ac:dyDescent="0.3">
      <c r="K258" t="s">
        <v>42</v>
      </c>
    </row>
    <row r="259" spans="11:12" ht="14.4" x14ac:dyDescent="0.3">
      <c r="K259" t="s">
        <v>42</v>
      </c>
      <c r="L259">
        <v>11</v>
      </c>
    </row>
    <row r="260" spans="11:12" ht="14.4" x14ac:dyDescent="0.3">
      <c r="K260" t="s">
        <v>43</v>
      </c>
    </row>
    <row r="261" spans="11:12" ht="14.4" x14ac:dyDescent="0.3">
      <c r="K261" t="s">
        <v>43</v>
      </c>
      <c r="L261">
        <v>58</v>
      </c>
    </row>
    <row r="262" spans="11:12" ht="14.4" x14ac:dyDescent="0.3">
      <c r="K262" t="s">
        <v>33</v>
      </c>
    </row>
    <row r="263" spans="11:12" ht="14.4" x14ac:dyDescent="0.3">
      <c r="K263" t="s">
        <v>42</v>
      </c>
      <c r="L263">
        <v>86</v>
      </c>
    </row>
    <row r="264" spans="11:12" ht="14.4" x14ac:dyDescent="0.3">
      <c r="K264" t="s">
        <v>33</v>
      </c>
    </row>
    <row r="265" spans="11:12" ht="14.4" x14ac:dyDescent="0.3">
      <c r="K265" t="s">
        <v>47</v>
      </c>
    </row>
    <row r="266" spans="11:12" ht="14.4" x14ac:dyDescent="0.3">
      <c r="K266" t="s">
        <v>42</v>
      </c>
    </row>
    <row r="267" spans="11:12" ht="14.4" x14ac:dyDescent="0.3">
      <c r="K267" t="s">
        <v>42</v>
      </c>
      <c r="L267">
        <v>13</v>
      </c>
    </row>
    <row r="268" spans="11:12" ht="14.4" x14ac:dyDescent="0.3">
      <c r="K268" t="s">
        <v>42</v>
      </c>
    </row>
    <row r="269" spans="11:12" ht="14.4" x14ac:dyDescent="0.3">
      <c r="K269" t="s">
        <v>33</v>
      </c>
    </row>
    <row r="270" spans="11:12" ht="14.4" x14ac:dyDescent="0.3">
      <c r="K270" t="s">
        <v>47</v>
      </c>
    </row>
    <row r="271" spans="11:12" ht="14.4" x14ac:dyDescent="0.3">
      <c r="K271" t="s">
        <v>42</v>
      </c>
    </row>
    <row r="272" spans="11:12" ht="14.4" x14ac:dyDescent="0.3">
      <c r="K272" t="s">
        <v>33</v>
      </c>
    </row>
    <row r="273" spans="11:12" ht="14.4" x14ac:dyDescent="0.3">
      <c r="K273" t="s">
        <v>47</v>
      </c>
    </row>
    <row r="274" spans="11:12" ht="14.4" x14ac:dyDescent="0.3">
      <c r="K274" t="s">
        <v>42</v>
      </c>
    </row>
    <row r="275" spans="11:12" ht="14.4" x14ac:dyDescent="0.3">
      <c r="K275" t="s">
        <v>47</v>
      </c>
      <c r="L275">
        <v>84</v>
      </c>
    </row>
    <row r="276" spans="11:12" ht="14.4" x14ac:dyDescent="0.3">
      <c r="K276" t="s">
        <v>43</v>
      </c>
    </row>
    <row r="277" spans="11:12" ht="14.4" x14ac:dyDescent="0.3">
      <c r="K277" t="s">
        <v>43</v>
      </c>
      <c r="L277">
        <v>16</v>
      </c>
    </row>
    <row r="278" spans="11:12" ht="14.4" x14ac:dyDescent="0.3">
      <c r="K278" t="s">
        <v>43</v>
      </c>
    </row>
    <row r="279" spans="11:12" ht="14.4" x14ac:dyDescent="0.3">
      <c r="K279" t="s">
        <v>43</v>
      </c>
    </row>
    <row r="280" spans="11:12" ht="14.4" x14ac:dyDescent="0.3">
      <c r="K280" t="s">
        <v>47</v>
      </c>
    </row>
    <row r="281" spans="11:12" ht="14.4" x14ac:dyDescent="0.3">
      <c r="K281" t="s">
        <v>42</v>
      </c>
    </row>
  </sheetData>
  <mergeCells count="1">
    <mergeCell ref="P9:T18"/>
  </mergeCell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E1101-5533-0A4B-B417-81948C5C5963}">
  <dimension ref="A1:O285"/>
  <sheetViews>
    <sheetView topLeftCell="H13" zoomScaleNormal="150" zoomScaleSheetLayoutView="100" workbookViewId="0">
      <selection activeCell="L38" sqref="L38"/>
    </sheetView>
  </sheetViews>
  <sheetFormatPr defaultRowHeight="14.4" x14ac:dyDescent="0.3"/>
  <cols>
    <col min="4" max="4" width="17.6640625" customWidth="1"/>
    <col min="6" max="6" width="18" customWidth="1"/>
    <col min="12" max="12" width="14.6640625" customWidth="1"/>
    <col min="13" max="13" width="23.44140625" bestFit="1" customWidth="1"/>
    <col min="14" max="14" width="31.44140625" bestFit="1" customWidth="1"/>
    <col min="15" max="15" width="19.33203125" bestFit="1" customWidth="1"/>
  </cols>
  <sheetData>
    <row r="1" spans="1:15" ht="25.8" x14ac:dyDescent="0.3">
      <c r="A1" s="19" t="s">
        <v>702</v>
      </c>
    </row>
    <row r="2" spans="1:15" x14ac:dyDescent="0.3">
      <c r="A2" s="18" t="s">
        <v>703</v>
      </c>
    </row>
    <row r="3" spans="1:15" x14ac:dyDescent="0.3">
      <c r="A3" s="18" t="s">
        <v>704</v>
      </c>
    </row>
    <row r="5" spans="1:15" ht="43.2" x14ac:dyDescent="0.3">
      <c r="A5" s="2" t="s">
        <v>23</v>
      </c>
      <c r="B5" s="2" t="s">
        <v>25</v>
      </c>
      <c r="C5" s="2" t="s">
        <v>26</v>
      </c>
      <c r="D5" s="2" t="s">
        <v>12</v>
      </c>
      <c r="E5" s="2" t="s">
        <v>13</v>
      </c>
      <c r="F5" s="2" t="s">
        <v>14</v>
      </c>
      <c r="G5" s="2" t="s">
        <v>15</v>
      </c>
      <c r="H5" s="2" t="s">
        <v>17</v>
      </c>
      <c r="I5" s="2" t="s">
        <v>18</v>
      </c>
      <c r="L5" s="4" t="s">
        <v>632</v>
      </c>
      <c r="M5" t="s">
        <v>705</v>
      </c>
      <c r="N5" t="s">
        <v>706</v>
      </c>
      <c r="O5" t="s">
        <v>707</v>
      </c>
    </row>
    <row r="6" spans="1:15" x14ac:dyDescent="0.3">
      <c r="A6">
        <v>66.099999999999994</v>
      </c>
      <c r="B6">
        <v>1.08</v>
      </c>
      <c r="C6">
        <v>98.33</v>
      </c>
      <c r="E6" t="s">
        <v>33</v>
      </c>
      <c r="H6">
        <v>3</v>
      </c>
      <c r="I6" t="s">
        <v>34</v>
      </c>
      <c r="L6" s="5" t="s">
        <v>33</v>
      </c>
      <c r="M6" s="41">
        <v>53.54444444444443</v>
      </c>
      <c r="N6" s="41">
        <v>1.0291666666666663</v>
      </c>
      <c r="O6" s="41">
        <v>84.904861111111117</v>
      </c>
    </row>
    <row r="7" spans="1:15" x14ac:dyDescent="0.3">
      <c r="A7">
        <v>63</v>
      </c>
      <c r="B7">
        <v>0.65</v>
      </c>
      <c r="C7">
        <v>89.25</v>
      </c>
      <c r="E7" t="s">
        <v>42</v>
      </c>
      <c r="F7" s="1">
        <v>45025</v>
      </c>
      <c r="G7">
        <v>57</v>
      </c>
      <c r="H7">
        <v>2</v>
      </c>
      <c r="I7" t="s">
        <v>43</v>
      </c>
      <c r="L7" s="5" t="s">
        <v>42</v>
      </c>
      <c r="M7" s="41">
        <v>55.06216216216216</v>
      </c>
      <c r="N7" s="41">
        <v>1.0160810810810812</v>
      </c>
      <c r="O7" s="41">
        <v>83.951891891891876</v>
      </c>
    </row>
    <row r="8" spans="1:15" x14ac:dyDescent="0.3">
      <c r="A8">
        <v>63.7</v>
      </c>
      <c r="B8">
        <v>1.31</v>
      </c>
      <c r="C8">
        <v>90.14</v>
      </c>
      <c r="D8" s="1">
        <v>45154</v>
      </c>
      <c r="E8" t="s">
        <v>47</v>
      </c>
      <c r="H8">
        <v>0</v>
      </c>
      <c r="I8" t="s">
        <v>34</v>
      </c>
      <c r="L8" s="5" t="s">
        <v>47</v>
      </c>
      <c r="M8" s="41">
        <v>55.251999999999995</v>
      </c>
      <c r="N8" s="41">
        <v>1.0080000000000007</v>
      </c>
      <c r="O8" s="41">
        <v>84.54346666666666</v>
      </c>
    </row>
    <row r="9" spans="1:15" x14ac:dyDescent="0.3">
      <c r="A9">
        <v>59.9</v>
      </c>
      <c r="B9">
        <v>1.1399999999999999</v>
      </c>
      <c r="C9">
        <v>88.97</v>
      </c>
      <c r="E9" t="s">
        <v>42</v>
      </c>
      <c r="F9" s="1">
        <v>44973</v>
      </c>
      <c r="H9">
        <v>4</v>
      </c>
      <c r="I9" t="s">
        <v>52</v>
      </c>
      <c r="L9" s="5" t="s">
        <v>43</v>
      </c>
      <c r="M9" s="41">
        <v>54.635593220338976</v>
      </c>
      <c r="N9" s="41">
        <v>1.0003389830508471</v>
      </c>
      <c r="O9" s="41">
        <v>84.39084745762716</v>
      </c>
    </row>
    <row r="10" spans="1:15" x14ac:dyDescent="0.3">
      <c r="A10">
        <v>47.8</v>
      </c>
      <c r="B10">
        <v>0.89</v>
      </c>
      <c r="C10">
        <v>75.97</v>
      </c>
      <c r="E10" t="s">
        <v>33</v>
      </c>
      <c r="F10" s="1">
        <v>44943</v>
      </c>
      <c r="H10">
        <v>4</v>
      </c>
      <c r="I10" t="s">
        <v>34</v>
      </c>
      <c r="L10" s="5" t="s">
        <v>633</v>
      </c>
      <c r="M10" s="41">
        <v>54.632857142857155</v>
      </c>
      <c r="N10" s="41">
        <v>1.0139642857142859</v>
      </c>
      <c r="O10" s="41">
        <v>84.447892857142818</v>
      </c>
    </row>
    <row r="11" spans="1:15" x14ac:dyDescent="0.3">
      <c r="A11">
        <v>67.2</v>
      </c>
      <c r="B11">
        <v>1.17</v>
      </c>
      <c r="C11">
        <v>82.55</v>
      </c>
      <c r="E11" t="s">
        <v>42</v>
      </c>
      <c r="G11">
        <v>22</v>
      </c>
      <c r="H11">
        <v>0</v>
      </c>
      <c r="I11" t="s">
        <v>52</v>
      </c>
      <c r="L11" t="s">
        <v>708</v>
      </c>
    </row>
    <row r="12" spans="1:15" x14ac:dyDescent="0.3">
      <c r="A12">
        <v>60.1</v>
      </c>
      <c r="B12">
        <v>0.76</v>
      </c>
      <c r="C12">
        <v>92.53</v>
      </c>
      <c r="E12" t="s">
        <v>42</v>
      </c>
      <c r="H12">
        <v>0</v>
      </c>
      <c r="I12" t="s">
        <v>61</v>
      </c>
      <c r="L12" t="s">
        <v>709</v>
      </c>
    </row>
    <row r="13" spans="1:15" x14ac:dyDescent="0.3">
      <c r="A13">
        <v>56.8</v>
      </c>
      <c r="B13">
        <v>0.85</v>
      </c>
      <c r="C13">
        <v>73.040000000000006</v>
      </c>
      <c r="D13" s="1">
        <v>45247</v>
      </c>
      <c r="E13" t="s">
        <v>33</v>
      </c>
      <c r="H13">
        <v>4</v>
      </c>
      <c r="I13" t="s">
        <v>52</v>
      </c>
      <c r="L13" t="s">
        <v>710</v>
      </c>
    </row>
    <row r="14" spans="1:15" x14ac:dyDescent="0.3">
      <c r="A14">
        <v>43.3</v>
      </c>
      <c r="B14">
        <v>1.42</v>
      </c>
      <c r="C14">
        <v>78.34</v>
      </c>
      <c r="E14" t="s">
        <v>43</v>
      </c>
      <c r="H14">
        <v>2</v>
      </c>
      <c r="I14" t="s">
        <v>34</v>
      </c>
    </row>
    <row r="15" spans="1:15" x14ac:dyDescent="0.3">
      <c r="A15">
        <v>53.4</v>
      </c>
      <c r="B15">
        <v>0.79</v>
      </c>
      <c r="C15">
        <v>78.290000000000006</v>
      </c>
      <c r="E15" t="s">
        <v>42</v>
      </c>
      <c r="H15">
        <v>4</v>
      </c>
      <c r="I15" t="s">
        <v>43</v>
      </c>
      <c r="L15" s="4" t="s">
        <v>632</v>
      </c>
      <c r="M15" t="s">
        <v>706</v>
      </c>
      <c r="N15" t="s">
        <v>707</v>
      </c>
      <c r="O15" t="s">
        <v>705</v>
      </c>
    </row>
    <row r="16" spans="1:15" x14ac:dyDescent="0.3">
      <c r="A16">
        <v>53.8</v>
      </c>
      <c r="B16">
        <v>0.97</v>
      </c>
      <c r="C16">
        <v>82.96</v>
      </c>
      <c r="E16" t="s">
        <v>33</v>
      </c>
      <c r="H16">
        <v>0</v>
      </c>
      <c r="I16" t="s">
        <v>61</v>
      </c>
      <c r="L16" s="5">
        <v>0</v>
      </c>
      <c r="M16" s="41">
        <v>1.0222580645161288</v>
      </c>
      <c r="N16" s="41">
        <v>83.658064516129045</v>
      </c>
      <c r="O16" s="41">
        <v>54.979032258064507</v>
      </c>
    </row>
    <row r="17" spans="1:15" x14ac:dyDescent="0.3">
      <c r="A17">
        <v>65.900000000000006</v>
      </c>
      <c r="B17">
        <v>1.39</v>
      </c>
      <c r="C17">
        <v>99.41</v>
      </c>
      <c r="E17" t="s">
        <v>33</v>
      </c>
      <c r="H17">
        <v>3</v>
      </c>
      <c r="I17" t="s">
        <v>61</v>
      </c>
      <c r="L17" s="5">
        <v>1</v>
      </c>
      <c r="M17" s="41">
        <v>0.9869230769230769</v>
      </c>
      <c r="N17" s="41">
        <v>83.94211538461542</v>
      </c>
      <c r="O17" s="41">
        <v>54.451923076923059</v>
      </c>
    </row>
    <row r="18" spans="1:15" x14ac:dyDescent="0.3">
      <c r="A18">
        <v>56.4</v>
      </c>
      <c r="B18">
        <v>1.21</v>
      </c>
      <c r="C18">
        <v>72.03</v>
      </c>
      <c r="E18" t="s">
        <v>47</v>
      </c>
      <c r="G18">
        <v>82</v>
      </c>
      <c r="H18">
        <v>1</v>
      </c>
      <c r="I18" t="s">
        <v>52</v>
      </c>
      <c r="L18" s="5">
        <v>2</v>
      </c>
      <c r="M18" s="41">
        <v>0.98346153846153817</v>
      </c>
      <c r="N18" s="41">
        <v>84.768846153846184</v>
      </c>
      <c r="O18" s="41">
        <v>52.446153846153848</v>
      </c>
    </row>
    <row r="19" spans="1:15" x14ac:dyDescent="0.3">
      <c r="A19">
        <v>51.4</v>
      </c>
      <c r="B19">
        <v>0.56000000000000005</v>
      </c>
      <c r="C19">
        <v>85.56</v>
      </c>
      <c r="D19" s="1">
        <v>45208</v>
      </c>
      <c r="E19" t="s">
        <v>33</v>
      </c>
      <c r="H19">
        <v>3</v>
      </c>
      <c r="I19" t="s">
        <v>43</v>
      </c>
      <c r="L19" s="5">
        <v>3</v>
      </c>
      <c r="M19" s="41">
        <v>1.0250877192982455</v>
      </c>
      <c r="N19" s="41">
        <v>84.822105263157908</v>
      </c>
      <c r="O19" s="41">
        <v>55.126315789473672</v>
      </c>
    </row>
    <row r="20" spans="1:15" x14ac:dyDescent="0.3">
      <c r="A20">
        <v>69.3</v>
      </c>
      <c r="B20">
        <v>0.65</v>
      </c>
      <c r="C20">
        <v>75.38</v>
      </c>
      <c r="E20" t="s">
        <v>47</v>
      </c>
      <c r="F20" s="1">
        <v>44990</v>
      </c>
      <c r="G20">
        <v>86</v>
      </c>
      <c r="H20">
        <v>3</v>
      </c>
      <c r="I20" t="s">
        <v>43</v>
      </c>
      <c r="L20" s="5">
        <v>4</v>
      </c>
      <c r="M20" s="41">
        <v>1.0463157894736841</v>
      </c>
      <c r="N20" s="41">
        <v>85.101403508771938</v>
      </c>
      <c r="O20" s="41">
        <v>55.92280701754386</v>
      </c>
    </row>
    <row r="21" spans="1:15" x14ac:dyDescent="0.3">
      <c r="A21">
        <v>43.3</v>
      </c>
      <c r="B21">
        <v>0.51</v>
      </c>
      <c r="C21">
        <v>99.12</v>
      </c>
      <c r="D21" s="1">
        <v>45213</v>
      </c>
      <c r="E21" t="s">
        <v>47</v>
      </c>
      <c r="F21" s="1">
        <v>45079</v>
      </c>
      <c r="H21">
        <v>0</v>
      </c>
      <c r="I21" t="s">
        <v>34</v>
      </c>
      <c r="L21" s="5" t="s">
        <v>633</v>
      </c>
      <c r="M21" s="41">
        <v>1.0139642857142852</v>
      </c>
      <c r="N21" s="41">
        <v>84.44789285714289</v>
      </c>
      <c r="O21" s="41">
        <v>54.632857142857119</v>
      </c>
    </row>
    <row r="22" spans="1:15" x14ac:dyDescent="0.3">
      <c r="A22">
        <v>52.7</v>
      </c>
      <c r="B22">
        <v>1.1299999999999999</v>
      </c>
      <c r="C22">
        <v>73.400000000000006</v>
      </c>
      <c r="E22" t="s">
        <v>33</v>
      </c>
      <c r="G22">
        <v>40</v>
      </c>
      <c r="H22">
        <v>4</v>
      </c>
      <c r="I22" t="s">
        <v>34</v>
      </c>
    </row>
    <row r="23" spans="1:15" x14ac:dyDescent="0.3">
      <c r="A23">
        <v>41.3</v>
      </c>
      <c r="B23">
        <v>0.95</v>
      </c>
      <c r="C23">
        <v>82.11</v>
      </c>
      <c r="E23" t="s">
        <v>42</v>
      </c>
      <c r="H23">
        <v>2</v>
      </c>
      <c r="I23" t="s">
        <v>34</v>
      </c>
      <c r="L23" t="s">
        <v>711</v>
      </c>
    </row>
    <row r="24" spans="1:15" x14ac:dyDescent="0.3">
      <c r="A24">
        <v>62.2</v>
      </c>
      <c r="B24">
        <v>0.63</v>
      </c>
      <c r="C24">
        <v>92.14</v>
      </c>
      <c r="E24" t="s">
        <v>33</v>
      </c>
      <c r="F24" s="1">
        <v>45187</v>
      </c>
      <c r="G24">
        <v>84</v>
      </c>
      <c r="H24">
        <v>3</v>
      </c>
      <c r="I24" t="s">
        <v>34</v>
      </c>
    </row>
    <row r="25" spans="1:15" x14ac:dyDescent="0.3">
      <c r="A25">
        <v>67.5</v>
      </c>
      <c r="B25">
        <v>1.46</v>
      </c>
      <c r="C25">
        <v>91.14</v>
      </c>
      <c r="E25" t="s">
        <v>33</v>
      </c>
      <c r="H25">
        <v>4</v>
      </c>
      <c r="I25" t="s">
        <v>52</v>
      </c>
      <c r="L25" t="s">
        <v>712</v>
      </c>
    </row>
    <row r="26" spans="1:15" x14ac:dyDescent="0.3">
      <c r="A26">
        <v>48.4</v>
      </c>
      <c r="B26">
        <v>1.03</v>
      </c>
      <c r="C26">
        <v>82.68</v>
      </c>
      <c r="E26" t="s">
        <v>43</v>
      </c>
      <c r="F26" s="1">
        <v>45120</v>
      </c>
      <c r="G26">
        <v>77</v>
      </c>
      <c r="H26">
        <v>2</v>
      </c>
      <c r="I26" t="s">
        <v>52</v>
      </c>
      <c r="L26" t="s">
        <v>713</v>
      </c>
    </row>
    <row r="27" spans="1:15" x14ac:dyDescent="0.3">
      <c r="A27">
        <v>65.8</v>
      </c>
      <c r="B27">
        <v>0.74</v>
      </c>
      <c r="C27">
        <v>80.400000000000006</v>
      </c>
      <c r="E27" t="s">
        <v>47</v>
      </c>
      <c r="F27" s="1">
        <v>45034</v>
      </c>
      <c r="H27">
        <v>3</v>
      </c>
      <c r="I27" t="s">
        <v>52</v>
      </c>
    </row>
    <row r="28" spans="1:15" x14ac:dyDescent="0.3">
      <c r="A28">
        <v>48.8</v>
      </c>
      <c r="B28">
        <v>1</v>
      </c>
      <c r="C28">
        <v>81.93</v>
      </c>
      <c r="E28" t="s">
        <v>43</v>
      </c>
      <c r="H28">
        <v>2</v>
      </c>
      <c r="I28" t="s">
        <v>34</v>
      </c>
    </row>
    <row r="29" spans="1:15" x14ac:dyDescent="0.3">
      <c r="A29">
        <v>67.3</v>
      </c>
      <c r="B29">
        <v>1.18</v>
      </c>
      <c r="C29">
        <v>77.930000000000007</v>
      </c>
      <c r="E29" t="s">
        <v>43</v>
      </c>
      <c r="F29" s="1">
        <v>45147</v>
      </c>
      <c r="H29">
        <v>4</v>
      </c>
      <c r="I29" t="s">
        <v>61</v>
      </c>
    </row>
    <row r="30" spans="1:15" x14ac:dyDescent="0.3">
      <c r="A30">
        <v>62.6</v>
      </c>
      <c r="B30">
        <v>0.57999999999999996</v>
      </c>
      <c r="C30">
        <v>76.16</v>
      </c>
      <c r="E30" t="s">
        <v>42</v>
      </c>
      <c r="F30" s="1">
        <v>44964</v>
      </c>
      <c r="G30">
        <v>13</v>
      </c>
      <c r="H30">
        <v>1</v>
      </c>
      <c r="I30" t="s">
        <v>43</v>
      </c>
    </row>
    <row r="31" spans="1:15" x14ac:dyDescent="0.3">
      <c r="A31">
        <v>64.099999999999994</v>
      </c>
      <c r="B31">
        <v>0.77</v>
      </c>
      <c r="C31">
        <v>84.49</v>
      </c>
      <c r="E31" t="s">
        <v>42</v>
      </c>
      <c r="H31">
        <v>4</v>
      </c>
      <c r="I31" t="s">
        <v>43</v>
      </c>
      <c r="L31" s="67" t="s">
        <v>714</v>
      </c>
      <c r="M31" s="67"/>
      <c r="N31" s="67"/>
      <c r="O31" s="67"/>
    </row>
    <row r="32" spans="1:15" x14ac:dyDescent="0.3">
      <c r="A32">
        <v>40.5</v>
      </c>
      <c r="B32">
        <v>1.31</v>
      </c>
      <c r="C32">
        <v>78.06</v>
      </c>
      <c r="D32" s="1">
        <v>45122</v>
      </c>
      <c r="E32" t="s">
        <v>47</v>
      </c>
      <c r="H32">
        <v>0</v>
      </c>
      <c r="I32" t="s">
        <v>61</v>
      </c>
      <c r="L32" s="67" t="s">
        <v>715</v>
      </c>
      <c r="M32" s="67"/>
      <c r="N32" s="67"/>
      <c r="O32" s="67"/>
    </row>
    <row r="33" spans="1:15" x14ac:dyDescent="0.3">
      <c r="A33">
        <v>68.900000000000006</v>
      </c>
      <c r="B33">
        <v>0.96</v>
      </c>
      <c r="C33">
        <v>78.62</v>
      </c>
      <c r="E33" t="s">
        <v>47</v>
      </c>
      <c r="H33">
        <v>2</v>
      </c>
      <c r="I33" t="s">
        <v>34</v>
      </c>
      <c r="L33" s="67" t="s">
        <v>716</v>
      </c>
      <c r="M33" s="67"/>
      <c r="N33" s="67"/>
      <c r="O33" s="67"/>
    </row>
    <row r="34" spans="1:15" x14ac:dyDescent="0.3">
      <c r="A34">
        <v>61.8</v>
      </c>
      <c r="B34">
        <v>1.05</v>
      </c>
      <c r="C34">
        <v>89.7</v>
      </c>
      <c r="E34" t="s">
        <v>47</v>
      </c>
      <c r="H34">
        <v>1</v>
      </c>
      <c r="I34" t="s">
        <v>34</v>
      </c>
      <c r="L34" s="67" t="s">
        <v>717</v>
      </c>
      <c r="M34" s="67"/>
      <c r="N34" s="67"/>
      <c r="O34" s="67"/>
    </row>
    <row r="35" spans="1:15" x14ac:dyDescent="0.3">
      <c r="A35">
        <v>49.1</v>
      </c>
      <c r="B35">
        <v>0.93</v>
      </c>
      <c r="C35">
        <v>99.06</v>
      </c>
      <c r="E35" t="s">
        <v>33</v>
      </c>
      <c r="G35">
        <v>28</v>
      </c>
      <c r="H35">
        <v>2</v>
      </c>
      <c r="I35" t="s">
        <v>43</v>
      </c>
      <c r="L35" s="67" t="s">
        <v>718</v>
      </c>
      <c r="M35" s="67"/>
      <c r="N35" s="67"/>
      <c r="O35" s="67"/>
    </row>
    <row r="36" spans="1:15" x14ac:dyDescent="0.3">
      <c r="A36">
        <v>64.900000000000006</v>
      </c>
      <c r="B36">
        <v>0.54</v>
      </c>
      <c r="C36">
        <v>88.11</v>
      </c>
      <c r="D36" s="1">
        <v>45122</v>
      </c>
      <c r="E36" t="s">
        <v>33</v>
      </c>
      <c r="F36" s="1">
        <v>45116</v>
      </c>
      <c r="G36">
        <v>79</v>
      </c>
      <c r="H36">
        <v>2</v>
      </c>
      <c r="I36" t="s">
        <v>61</v>
      </c>
      <c r="L36" s="67" t="s">
        <v>719</v>
      </c>
      <c r="M36" s="67"/>
      <c r="N36" s="67"/>
      <c r="O36" s="67"/>
    </row>
    <row r="37" spans="1:15" x14ac:dyDescent="0.3">
      <c r="A37">
        <v>48.4</v>
      </c>
      <c r="B37">
        <v>0.67</v>
      </c>
      <c r="C37">
        <v>72.31</v>
      </c>
      <c r="D37" s="1">
        <v>45186</v>
      </c>
      <c r="E37" t="s">
        <v>43</v>
      </c>
      <c r="G37">
        <v>22</v>
      </c>
      <c r="H37">
        <v>3</v>
      </c>
      <c r="I37" t="s">
        <v>43</v>
      </c>
      <c r="L37" s="67" t="s">
        <v>720</v>
      </c>
      <c r="M37" s="67"/>
      <c r="N37" s="67"/>
      <c r="O37" s="67"/>
    </row>
    <row r="38" spans="1:15" x14ac:dyDescent="0.3">
      <c r="A38">
        <v>66.2</v>
      </c>
      <c r="B38">
        <v>0.95</v>
      </c>
      <c r="C38">
        <v>72.27</v>
      </c>
      <c r="E38" t="s">
        <v>42</v>
      </c>
      <c r="G38">
        <v>32</v>
      </c>
      <c r="H38">
        <v>0</v>
      </c>
      <c r="I38" t="s">
        <v>61</v>
      </c>
      <c r="L38" s="67" t="s">
        <v>721</v>
      </c>
      <c r="M38" s="67"/>
      <c r="N38" s="67"/>
      <c r="O38" s="67"/>
    </row>
    <row r="39" spans="1:15" x14ac:dyDescent="0.3">
      <c r="A39">
        <v>43.4</v>
      </c>
      <c r="B39">
        <v>0.71</v>
      </c>
      <c r="C39">
        <v>98.54</v>
      </c>
      <c r="E39" t="s">
        <v>33</v>
      </c>
      <c r="F39" s="1">
        <v>45185</v>
      </c>
      <c r="H39">
        <v>2</v>
      </c>
      <c r="I39" t="s">
        <v>43</v>
      </c>
    </row>
    <row r="40" spans="1:15" x14ac:dyDescent="0.3">
      <c r="A40">
        <v>61.1</v>
      </c>
      <c r="B40">
        <v>0.55000000000000004</v>
      </c>
      <c r="C40">
        <v>78.92</v>
      </c>
      <c r="E40" t="s">
        <v>43</v>
      </c>
      <c r="H40">
        <v>4</v>
      </c>
      <c r="I40" t="s">
        <v>52</v>
      </c>
    </row>
    <row r="41" spans="1:15" x14ac:dyDescent="0.3">
      <c r="A41">
        <v>56.2</v>
      </c>
      <c r="B41">
        <v>1.34</v>
      </c>
      <c r="C41">
        <v>72.760000000000005</v>
      </c>
      <c r="E41" t="s">
        <v>33</v>
      </c>
      <c r="G41">
        <v>84</v>
      </c>
      <c r="H41">
        <v>4</v>
      </c>
      <c r="I41" t="s">
        <v>52</v>
      </c>
    </row>
    <row r="42" spans="1:15" x14ac:dyDescent="0.3">
      <c r="A42">
        <v>42.9</v>
      </c>
      <c r="B42">
        <v>1.48</v>
      </c>
      <c r="C42">
        <v>87.97</v>
      </c>
      <c r="E42" t="s">
        <v>47</v>
      </c>
      <c r="F42" s="1">
        <v>45194</v>
      </c>
      <c r="H42">
        <v>3</v>
      </c>
      <c r="I42" t="s">
        <v>52</v>
      </c>
    </row>
    <row r="43" spans="1:15" x14ac:dyDescent="0.3">
      <c r="A43">
        <v>47.3</v>
      </c>
      <c r="B43">
        <v>1.29</v>
      </c>
      <c r="C43">
        <v>88.71</v>
      </c>
      <c r="E43" t="s">
        <v>42</v>
      </c>
      <c r="G43">
        <v>10</v>
      </c>
      <c r="H43">
        <v>0</v>
      </c>
      <c r="I43" t="s">
        <v>61</v>
      </c>
    </row>
    <row r="44" spans="1:15" x14ac:dyDescent="0.3">
      <c r="A44">
        <v>40.4</v>
      </c>
      <c r="B44">
        <v>1.35</v>
      </c>
      <c r="C44">
        <v>89.46</v>
      </c>
      <c r="D44" s="1">
        <v>45121</v>
      </c>
      <c r="E44" t="s">
        <v>47</v>
      </c>
      <c r="F44" s="1">
        <v>45170</v>
      </c>
      <c r="H44">
        <v>0</v>
      </c>
      <c r="I44" t="s">
        <v>61</v>
      </c>
    </row>
    <row r="45" spans="1:15" x14ac:dyDescent="0.3">
      <c r="A45">
        <v>54.1</v>
      </c>
      <c r="B45">
        <v>0.74</v>
      </c>
      <c r="C45">
        <v>78.02</v>
      </c>
      <c r="D45" s="1">
        <v>45264</v>
      </c>
      <c r="E45" t="s">
        <v>42</v>
      </c>
      <c r="G45">
        <v>63</v>
      </c>
      <c r="H45">
        <v>4</v>
      </c>
      <c r="I45" t="s">
        <v>43</v>
      </c>
    </row>
    <row r="46" spans="1:15" x14ac:dyDescent="0.3">
      <c r="A46">
        <v>49</v>
      </c>
      <c r="B46">
        <v>1.46</v>
      </c>
      <c r="C46">
        <v>70.45</v>
      </c>
      <c r="E46" t="s">
        <v>43</v>
      </c>
      <c r="G46">
        <v>80</v>
      </c>
      <c r="H46">
        <v>1</v>
      </c>
      <c r="I46" t="s">
        <v>52</v>
      </c>
    </row>
    <row r="47" spans="1:15" x14ac:dyDescent="0.3">
      <c r="A47">
        <v>58</v>
      </c>
      <c r="B47">
        <v>0.7</v>
      </c>
      <c r="C47">
        <v>98.95</v>
      </c>
      <c r="E47" t="s">
        <v>42</v>
      </c>
      <c r="H47">
        <v>3</v>
      </c>
      <c r="I47" t="s">
        <v>52</v>
      </c>
    </row>
    <row r="48" spans="1:15" x14ac:dyDescent="0.3">
      <c r="A48">
        <v>48.9</v>
      </c>
      <c r="B48">
        <v>1.45</v>
      </c>
      <c r="C48">
        <v>77.53</v>
      </c>
      <c r="E48" t="s">
        <v>33</v>
      </c>
      <c r="H48">
        <v>3</v>
      </c>
      <c r="I48" t="s">
        <v>52</v>
      </c>
    </row>
    <row r="49" spans="1:9" x14ac:dyDescent="0.3">
      <c r="A49">
        <v>49</v>
      </c>
      <c r="B49">
        <v>1.49</v>
      </c>
      <c r="C49">
        <v>90.28</v>
      </c>
      <c r="D49" s="1">
        <v>45063</v>
      </c>
      <c r="E49" t="s">
        <v>47</v>
      </c>
      <c r="F49" s="1">
        <v>45005</v>
      </c>
      <c r="G49">
        <v>24</v>
      </c>
      <c r="H49">
        <v>4</v>
      </c>
      <c r="I49" t="s">
        <v>61</v>
      </c>
    </row>
    <row r="50" spans="1:9" x14ac:dyDescent="0.3">
      <c r="A50">
        <v>62.3</v>
      </c>
      <c r="B50">
        <v>1.21</v>
      </c>
      <c r="C50">
        <v>91.2</v>
      </c>
      <c r="E50" t="s">
        <v>33</v>
      </c>
      <c r="F50" s="1">
        <v>45041</v>
      </c>
      <c r="G50">
        <v>74</v>
      </c>
      <c r="H50">
        <v>4</v>
      </c>
      <c r="I50" t="s">
        <v>34</v>
      </c>
    </row>
    <row r="51" spans="1:9" x14ac:dyDescent="0.3">
      <c r="A51">
        <v>41.4</v>
      </c>
      <c r="B51">
        <v>1.48</v>
      </c>
      <c r="C51">
        <v>88.3</v>
      </c>
      <c r="E51" t="s">
        <v>33</v>
      </c>
      <c r="F51" s="1">
        <v>45094</v>
      </c>
      <c r="G51">
        <v>85</v>
      </c>
      <c r="H51">
        <v>1</v>
      </c>
      <c r="I51" t="s">
        <v>34</v>
      </c>
    </row>
    <row r="52" spans="1:9" x14ac:dyDescent="0.3">
      <c r="A52">
        <v>67.099999999999994</v>
      </c>
      <c r="B52">
        <v>1.07</v>
      </c>
      <c r="C52">
        <v>79.39</v>
      </c>
      <c r="E52" t="s">
        <v>47</v>
      </c>
      <c r="G52">
        <v>80</v>
      </c>
      <c r="H52">
        <v>1</v>
      </c>
      <c r="I52" t="s">
        <v>52</v>
      </c>
    </row>
    <row r="53" spans="1:9" x14ac:dyDescent="0.3">
      <c r="A53">
        <v>65.599999999999994</v>
      </c>
      <c r="B53">
        <v>0.76</v>
      </c>
      <c r="C53">
        <v>78.13</v>
      </c>
      <c r="E53" t="s">
        <v>47</v>
      </c>
      <c r="G53">
        <v>24</v>
      </c>
      <c r="H53">
        <v>0</v>
      </c>
      <c r="I53" t="s">
        <v>61</v>
      </c>
    </row>
    <row r="54" spans="1:9" x14ac:dyDescent="0.3">
      <c r="A54">
        <v>60</v>
      </c>
      <c r="B54">
        <v>0.94</v>
      </c>
      <c r="C54">
        <v>87.93</v>
      </c>
      <c r="E54" t="s">
        <v>33</v>
      </c>
      <c r="F54" s="1">
        <v>45147</v>
      </c>
      <c r="H54">
        <v>3</v>
      </c>
      <c r="I54" t="s">
        <v>52</v>
      </c>
    </row>
    <row r="55" spans="1:9" x14ac:dyDescent="0.3">
      <c r="A55">
        <v>57.8</v>
      </c>
      <c r="B55">
        <v>1.0900000000000001</v>
      </c>
      <c r="C55">
        <v>95.98</v>
      </c>
      <c r="E55" t="s">
        <v>33</v>
      </c>
      <c r="H55">
        <v>3</v>
      </c>
      <c r="I55" t="s">
        <v>34</v>
      </c>
    </row>
    <row r="56" spans="1:9" x14ac:dyDescent="0.3">
      <c r="A56">
        <v>66.8</v>
      </c>
      <c r="B56">
        <v>0.56999999999999995</v>
      </c>
      <c r="C56">
        <v>98.4</v>
      </c>
      <c r="E56" t="s">
        <v>43</v>
      </c>
      <c r="F56" s="1">
        <v>44945</v>
      </c>
      <c r="H56">
        <v>4</v>
      </c>
      <c r="I56" t="s">
        <v>52</v>
      </c>
    </row>
    <row r="57" spans="1:9" x14ac:dyDescent="0.3">
      <c r="A57">
        <v>45.6</v>
      </c>
      <c r="B57">
        <v>1.1200000000000001</v>
      </c>
      <c r="C57">
        <v>73.180000000000007</v>
      </c>
      <c r="E57" t="s">
        <v>33</v>
      </c>
      <c r="G57">
        <v>30</v>
      </c>
      <c r="H57">
        <v>0</v>
      </c>
      <c r="I57" t="s">
        <v>43</v>
      </c>
    </row>
    <row r="58" spans="1:9" x14ac:dyDescent="0.3">
      <c r="A58">
        <v>42.4</v>
      </c>
      <c r="B58">
        <v>1.48</v>
      </c>
      <c r="C58">
        <v>74.64</v>
      </c>
      <c r="E58" t="s">
        <v>47</v>
      </c>
      <c r="H58">
        <v>3</v>
      </c>
      <c r="I58" t="s">
        <v>43</v>
      </c>
    </row>
    <row r="59" spans="1:9" x14ac:dyDescent="0.3">
      <c r="A59">
        <v>47.2</v>
      </c>
      <c r="B59">
        <v>0.69</v>
      </c>
      <c r="C59">
        <v>98.34</v>
      </c>
      <c r="E59" t="s">
        <v>47</v>
      </c>
      <c r="F59" s="1">
        <v>45159</v>
      </c>
      <c r="H59">
        <v>0</v>
      </c>
      <c r="I59" t="s">
        <v>34</v>
      </c>
    </row>
    <row r="60" spans="1:9" x14ac:dyDescent="0.3">
      <c r="A60">
        <v>63.8</v>
      </c>
      <c r="B60">
        <v>1.29</v>
      </c>
      <c r="C60">
        <v>92.1</v>
      </c>
      <c r="E60" t="s">
        <v>33</v>
      </c>
      <c r="H60">
        <v>0</v>
      </c>
      <c r="I60" t="s">
        <v>61</v>
      </c>
    </row>
    <row r="61" spans="1:9" x14ac:dyDescent="0.3">
      <c r="A61">
        <v>41</v>
      </c>
      <c r="B61">
        <v>1.41</v>
      </c>
      <c r="C61">
        <v>96.49</v>
      </c>
      <c r="E61" t="s">
        <v>33</v>
      </c>
      <c r="H61">
        <v>4</v>
      </c>
      <c r="I61" t="s">
        <v>52</v>
      </c>
    </row>
    <row r="62" spans="1:9" x14ac:dyDescent="0.3">
      <c r="A62">
        <v>57.5</v>
      </c>
      <c r="B62">
        <v>1.44</v>
      </c>
      <c r="C62">
        <v>76.08</v>
      </c>
      <c r="D62" s="1">
        <v>45141</v>
      </c>
      <c r="E62" t="s">
        <v>33</v>
      </c>
      <c r="G62">
        <v>28</v>
      </c>
      <c r="H62">
        <v>0</v>
      </c>
      <c r="I62" t="s">
        <v>52</v>
      </c>
    </row>
    <row r="63" spans="1:9" x14ac:dyDescent="0.3">
      <c r="A63">
        <v>69.900000000000006</v>
      </c>
      <c r="B63">
        <v>1.46</v>
      </c>
      <c r="C63">
        <v>87.63</v>
      </c>
      <c r="E63" t="s">
        <v>42</v>
      </c>
      <c r="H63">
        <v>1</v>
      </c>
      <c r="I63" t="s">
        <v>61</v>
      </c>
    </row>
    <row r="64" spans="1:9" x14ac:dyDescent="0.3">
      <c r="A64">
        <v>65.7</v>
      </c>
      <c r="B64">
        <v>1.02</v>
      </c>
      <c r="C64">
        <v>91.03</v>
      </c>
      <c r="E64" t="s">
        <v>42</v>
      </c>
      <c r="H64">
        <v>1</v>
      </c>
      <c r="I64" t="s">
        <v>52</v>
      </c>
    </row>
    <row r="65" spans="1:9" x14ac:dyDescent="0.3">
      <c r="A65">
        <v>55.6</v>
      </c>
      <c r="B65">
        <v>1.48</v>
      </c>
      <c r="C65">
        <v>90.4</v>
      </c>
      <c r="E65" t="s">
        <v>43</v>
      </c>
      <c r="F65" s="1">
        <v>45064</v>
      </c>
      <c r="H65">
        <v>2</v>
      </c>
      <c r="I65" t="s">
        <v>52</v>
      </c>
    </row>
    <row r="66" spans="1:9" x14ac:dyDescent="0.3">
      <c r="A66">
        <v>41.9</v>
      </c>
      <c r="B66">
        <v>1.26</v>
      </c>
      <c r="C66">
        <v>82.24</v>
      </c>
      <c r="E66" t="s">
        <v>47</v>
      </c>
      <c r="F66" s="1">
        <v>45227</v>
      </c>
      <c r="H66">
        <v>4</v>
      </c>
      <c r="I66" t="s">
        <v>52</v>
      </c>
    </row>
    <row r="67" spans="1:9" x14ac:dyDescent="0.3">
      <c r="A67">
        <v>64.900000000000006</v>
      </c>
      <c r="B67">
        <v>0.66</v>
      </c>
      <c r="C67">
        <v>70.459999999999994</v>
      </c>
      <c r="E67" t="s">
        <v>47</v>
      </c>
      <c r="F67" s="1">
        <v>45139</v>
      </c>
      <c r="H67">
        <v>2</v>
      </c>
      <c r="I67" t="s">
        <v>34</v>
      </c>
    </row>
    <row r="68" spans="1:9" x14ac:dyDescent="0.3">
      <c r="A68">
        <v>58</v>
      </c>
      <c r="B68">
        <v>0.98</v>
      </c>
      <c r="C68">
        <v>87.49</v>
      </c>
      <c r="E68" t="s">
        <v>47</v>
      </c>
      <c r="H68">
        <v>1</v>
      </c>
      <c r="I68" t="s">
        <v>43</v>
      </c>
    </row>
    <row r="69" spans="1:9" x14ac:dyDescent="0.3">
      <c r="A69">
        <v>43.4</v>
      </c>
      <c r="B69">
        <v>1.22</v>
      </c>
      <c r="C69">
        <v>77.59</v>
      </c>
      <c r="D69" s="1">
        <v>45105</v>
      </c>
      <c r="E69" t="s">
        <v>42</v>
      </c>
      <c r="F69" s="1">
        <v>45041</v>
      </c>
      <c r="H69">
        <v>2</v>
      </c>
      <c r="I69" t="s">
        <v>43</v>
      </c>
    </row>
    <row r="70" spans="1:9" x14ac:dyDescent="0.3">
      <c r="A70">
        <v>42.8</v>
      </c>
      <c r="B70">
        <v>0.75</v>
      </c>
      <c r="C70">
        <v>83.51</v>
      </c>
      <c r="D70" s="1">
        <v>45177</v>
      </c>
      <c r="E70" t="s">
        <v>33</v>
      </c>
      <c r="G70">
        <v>69</v>
      </c>
      <c r="H70">
        <v>4</v>
      </c>
      <c r="I70" t="s">
        <v>61</v>
      </c>
    </row>
    <row r="71" spans="1:9" x14ac:dyDescent="0.3">
      <c r="A71">
        <v>67.3</v>
      </c>
      <c r="B71">
        <v>1.1399999999999999</v>
      </c>
      <c r="C71">
        <v>98.73</v>
      </c>
      <c r="E71" t="s">
        <v>43</v>
      </c>
      <c r="H71">
        <v>4</v>
      </c>
      <c r="I71" t="s">
        <v>34</v>
      </c>
    </row>
    <row r="72" spans="1:9" x14ac:dyDescent="0.3">
      <c r="A72">
        <v>60.1</v>
      </c>
      <c r="B72">
        <v>1.17</v>
      </c>
      <c r="C72">
        <v>81.97</v>
      </c>
      <c r="D72" s="1">
        <v>45034</v>
      </c>
      <c r="E72" t="s">
        <v>33</v>
      </c>
      <c r="H72">
        <v>0</v>
      </c>
      <c r="I72" t="s">
        <v>61</v>
      </c>
    </row>
    <row r="73" spans="1:9" x14ac:dyDescent="0.3">
      <c r="A73">
        <v>64.900000000000006</v>
      </c>
      <c r="B73">
        <v>0.66</v>
      </c>
      <c r="C73">
        <v>95.19</v>
      </c>
      <c r="D73" s="1">
        <v>44948</v>
      </c>
      <c r="E73" t="s">
        <v>47</v>
      </c>
      <c r="H73">
        <v>3</v>
      </c>
      <c r="I73" t="s">
        <v>34</v>
      </c>
    </row>
    <row r="74" spans="1:9" x14ac:dyDescent="0.3">
      <c r="A74">
        <v>66.400000000000006</v>
      </c>
      <c r="B74">
        <v>1.07</v>
      </c>
      <c r="C74">
        <v>75.66</v>
      </c>
      <c r="D74" s="1">
        <v>45243</v>
      </c>
      <c r="E74" t="s">
        <v>43</v>
      </c>
      <c r="G74">
        <v>42</v>
      </c>
      <c r="H74">
        <v>0</v>
      </c>
      <c r="I74" t="s">
        <v>43</v>
      </c>
    </row>
    <row r="75" spans="1:9" x14ac:dyDescent="0.3">
      <c r="A75">
        <v>57.2</v>
      </c>
      <c r="B75">
        <v>1.27</v>
      </c>
      <c r="C75">
        <v>90.17</v>
      </c>
      <c r="D75" s="1">
        <v>44963</v>
      </c>
      <c r="E75" t="s">
        <v>47</v>
      </c>
      <c r="F75" s="1">
        <v>45048</v>
      </c>
      <c r="G75">
        <v>58</v>
      </c>
      <c r="H75">
        <v>4</v>
      </c>
      <c r="I75" t="s">
        <v>52</v>
      </c>
    </row>
    <row r="76" spans="1:9" x14ac:dyDescent="0.3">
      <c r="A76">
        <v>55.5</v>
      </c>
      <c r="B76">
        <v>1</v>
      </c>
      <c r="C76">
        <v>99.31</v>
      </c>
      <c r="E76" t="s">
        <v>43</v>
      </c>
      <c r="H76">
        <v>1</v>
      </c>
      <c r="I76" t="s">
        <v>43</v>
      </c>
    </row>
    <row r="77" spans="1:9" x14ac:dyDescent="0.3">
      <c r="A77">
        <v>52.9</v>
      </c>
      <c r="B77">
        <v>0.51</v>
      </c>
      <c r="C77">
        <v>73.06</v>
      </c>
      <c r="E77" t="s">
        <v>43</v>
      </c>
      <c r="G77">
        <v>44</v>
      </c>
      <c r="H77">
        <v>1</v>
      </c>
      <c r="I77" t="s">
        <v>52</v>
      </c>
    </row>
    <row r="78" spans="1:9" x14ac:dyDescent="0.3">
      <c r="A78">
        <v>49.5</v>
      </c>
      <c r="B78">
        <v>0.51</v>
      </c>
      <c r="C78">
        <v>70.25</v>
      </c>
      <c r="E78" t="s">
        <v>43</v>
      </c>
      <c r="F78" s="1">
        <v>45113</v>
      </c>
      <c r="H78">
        <v>0</v>
      </c>
      <c r="I78" t="s">
        <v>43</v>
      </c>
    </row>
    <row r="79" spans="1:9" x14ac:dyDescent="0.3">
      <c r="A79">
        <v>53</v>
      </c>
      <c r="B79">
        <v>0.86</v>
      </c>
      <c r="C79">
        <v>83.01</v>
      </c>
      <c r="D79" s="1">
        <v>45144</v>
      </c>
      <c r="E79" t="s">
        <v>42</v>
      </c>
      <c r="F79" s="1">
        <v>44934</v>
      </c>
      <c r="H79">
        <v>4</v>
      </c>
      <c r="I79" t="s">
        <v>34</v>
      </c>
    </row>
    <row r="80" spans="1:9" x14ac:dyDescent="0.3">
      <c r="A80">
        <v>63.2</v>
      </c>
      <c r="B80">
        <v>1.43</v>
      </c>
      <c r="C80">
        <v>72.78</v>
      </c>
      <c r="E80" t="s">
        <v>43</v>
      </c>
      <c r="H80">
        <v>1</v>
      </c>
      <c r="I80" t="s">
        <v>43</v>
      </c>
    </row>
    <row r="81" spans="1:9" x14ac:dyDescent="0.3">
      <c r="A81">
        <v>58.1</v>
      </c>
      <c r="B81">
        <v>0.73</v>
      </c>
      <c r="C81">
        <v>92.45</v>
      </c>
      <c r="E81" t="s">
        <v>47</v>
      </c>
      <c r="H81">
        <v>4</v>
      </c>
      <c r="I81" t="s">
        <v>34</v>
      </c>
    </row>
    <row r="82" spans="1:9" x14ac:dyDescent="0.3">
      <c r="A82">
        <v>66.8</v>
      </c>
      <c r="B82">
        <v>1.1299999999999999</v>
      </c>
      <c r="C82">
        <v>97.44</v>
      </c>
      <c r="D82" s="1">
        <v>45005</v>
      </c>
      <c r="E82" t="s">
        <v>47</v>
      </c>
      <c r="H82">
        <v>1</v>
      </c>
      <c r="I82" t="s">
        <v>43</v>
      </c>
    </row>
    <row r="83" spans="1:9" x14ac:dyDescent="0.3">
      <c r="A83">
        <v>53.3</v>
      </c>
      <c r="B83">
        <v>0.72</v>
      </c>
      <c r="C83">
        <v>83.02</v>
      </c>
      <c r="E83" t="s">
        <v>43</v>
      </c>
      <c r="H83">
        <v>4</v>
      </c>
      <c r="I83" t="s">
        <v>61</v>
      </c>
    </row>
    <row r="84" spans="1:9" x14ac:dyDescent="0.3">
      <c r="A84">
        <v>58.2</v>
      </c>
      <c r="B84">
        <v>0.82</v>
      </c>
      <c r="C84">
        <v>77.760000000000005</v>
      </c>
      <c r="E84" t="s">
        <v>33</v>
      </c>
      <c r="F84" s="1">
        <v>45249</v>
      </c>
      <c r="H84">
        <v>2</v>
      </c>
      <c r="I84" t="s">
        <v>52</v>
      </c>
    </row>
    <row r="85" spans="1:9" x14ac:dyDescent="0.3">
      <c r="A85">
        <v>58.9</v>
      </c>
      <c r="B85">
        <v>1.35</v>
      </c>
      <c r="C85">
        <v>83.03</v>
      </c>
      <c r="E85" t="s">
        <v>42</v>
      </c>
      <c r="G85">
        <v>53</v>
      </c>
      <c r="H85">
        <v>4</v>
      </c>
      <c r="I85" t="s">
        <v>34</v>
      </c>
    </row>
    <row r="86" spans="1:9" x14ac:dyDescent="0.3">
      <c r="A86">
        <v>57.8</v>
      </c>
      <c r="B86">
        <v>1.23</v>
      </c>
      <c r="C86">
        <v>91.7</v>
      </c>
      <c r="E86" t="s">
        <v>33</v>
      </c>
      <c r="G86">
        <v>20</v>
      </c>
      <c r="H86">
        <v>4</v>
      </c>
      <c r="I86" t="s">
        <v>43</v>
      </c>
    </row>
    <row r="87" spans="1:9" x14ac:dyDescent="0.3">
      <c r="A87">
        <v>61.1</v>
      </c>
      <c r="B87">
        <v>0.6</v>
      </c>
      <c r="C87">
        <v>70.27</v>
      </c>
      <c r="E87" t="s">
        <v>33</v>
      </c>
      <c r="H87">
        <v>0</v>
      </c>
      <c r="I87" t="s">
        <v>61</v>
      </c>
    </row>
    <row r="88" spans="1:9" x14ac:dyDescent="0.3">
      <c r="A88">
        <v>47.1</v>
      </c>
      <c r="B88">
        <v>0.93</v>
      </c>
      <c r="C88">
        <v>87.68</v>
      </c>
      <c r="E88" t="s">
        <v>47</v>
      </c>
      <c r="F88" s="1">
        <v>44970</v>
      </c>
      <c r="H88">
        <v>2</v>
      </c>
      <c r="I88" t="s">
        <v>61</v>
      </c>
    </row>
    <row r="89" spans="1:9" x14ac:dyDescent="0.3">
      <c r="A89">
        <v>55.4</v>
      </c>
      <c r="B89">
        <v>0.53</v>
      </c>
      <c r="C89">
        <v>88.4</v>
      </c>
      <c r="E89" t="s">
        <v>43</v>
      </c>
      <c r="H89">
        <v>3</v>
      </c>
      <c r="I89" t="s">
        <v>34</v>
      </c>
    </row>
    <row r="90" spans="1:9" x14ac:dyDescent="0.3">
      <c r="A90">
        <v>43.1</v>
      </c>
      <c r="B90">
        <v>0.98</v>
      </c>
      <c r="C90">
        <v>89.13</v>
      </c>
      <c r="E90" t="s">
        <v>33</v>
      </c>
      <c r="H90">
        <v>0</v>
      </c>
      <c r="I90" t="s">
        <v>52</v>
      </c>
    </row>
    <row r="91" spans="1:9" x14ac:dyDescent="0.3">
      <c r="A91">
        <v>51.5</v>
      </c>
      <c r="B91">
        <v>1.1599999999999999</v>
      </c>
      <c r="C91">
        <v>77.260000000000005</v>
      </c>
      <c r="E91" t="s">
        <v>33</v>
      </c>
      <c r="H91">
        <v>3</v>
      </c>
      <c r="I91" t="s">
        <v>34</v>
      </c>
    </row>
    <row r="92" spans="1:9" x14ac:dyDescent="0.3">
      <c r="A92">
        <v>54.6</v>
      </c>
      <c r="B92">
        <v>0.62</v>
      </c>
      <c r="C92">
        <v>91.42</v>
      </c>
      <c r="D92" s="1">
        <v>45008</v>
      </c>
      <c r="E92" t="s">
        <v>47</v>
      </c>
      <c r="H92">
        <v>1</v>
      </c>
      <c r="I92" t="s">
        <v>34</v>
      </c>
    </row>
    <row r="93" spans="1:9" x14ac:dyDescent="0.3">
      <c r="A93">
        <v>59.6</v>
      </c>
      <c r="B93">
        <v>0.79</v>
      </c>
      <c r="C93">
        <v>72.739999999999995</v>
      </c>
      <c r="E93" t="s">
        <v>42</v>
      </c>
      <c r="F93" s="1">
        <v>44973</v>
      </c>
      <c r="H93">
        <v>3</v>
      </c>
      <c r="I93" t="s">
        <v>52</v>
      </c>
    </row>
    <row r="94" spans="1:9" x14ac:dyDescent="0.3">
      <c r="A94">
        <v>68.5</v>
      </c>
      <c r="B94">
        <v>0.9</v>
      </c>
      <c r="C94">
        <v>75.98</v>
      </c>
      <c r="E94" t="s">
        <v>33</v>
      </c>
      <c r="H94">
        <v>4</v>
      </c>
      <c r="I94" t="s">
        <v>43</v>
      </c>
    </row>
    <row r="95" spans="1:9" x14ac:dyDescent="0.3">
      <c r="A95">
        <v>58</v>
      </c>
      <c r="B95">
        <v>1.42</v>
      </c>
      <c r="C95">
        <v>96.32</v>
      </c>
      <c r="E95" t="s">
        <v>42</v>
      </c>
      <c r="H95">
        <v>3</v>
      </c>
      <c r="I95" t="s">
        <v>52</v>
      </c>
    </row>
    <row r="96" spans="1:9" x14ac:dyDescent="0.3">
      <c r="A96">
        <v>62.3</v>
      </c>
      <c r="B96">
        <v>1.49</v>
      </c>
      <c r="C96">
        <v>92.16</v>
      </c>
      <c r="E96" t="s">
        <v>47</v>
      </c>
      <c r="F96" s="1">
        <v>45081</v>
      </c>
      <c r="H96">
        <v>0</v>
      </c>
      <c r="I96" t="s">
        <v>43</v>
      </c>
    </row>
    <row r="97" spans="1:9" x14ac:dyDescent="0.3">
      <c r="A97">
        <v>55.2</v>
      </c>
      <c r="B97">
        <v>0.54</v>
      </c>
      <c r="C97">
        <v>70.41</v>
      </c>
      <c r="E97" t="s">
        <v>43</v>
      </c>
      <c r="F97" s="1">
        <v>45226</v>
      </c>
      <c r="H97">
        <v>0</v>
      </c>
      <c r="I97" t="s">
        <v>52</v>
      </c>
    </row>
    <row r="98" spans="1:9" x14ac:dyDescent="0.3">
      <c r="A98">
        <v>59</v>
      </c>
      <c r="B98">
        <v>1.26</v>
      </c>
      <c r="C98">
        <v>77.45</v>
      </c>
      <c r="E98" t="s">
        <v>42</v>
      </c>
      <c r="G98">
        <v>81</v>
      </c>
      <c r="H98">
        <v>3</v>
      </c>
      <c r="I98" t="s">
        <v>34</v>
      </c>
    </row>
    <row r="99" spans="1:9" x14ac:dyDescent="0.3">
      <c r="A99">
        <v>42.1</v>
      </c>
      <c r="B99">
        <v>0.87</v>
      </c>
      <c r="C99">
        <v>76.430000000000007</v>
      </c>
      <c r="E99" t="s">
        <v>47</v>
      </c>
      <c r="H99">
        <v>0</v>
      </c>
      <c r="I99" t="s">
        <v>34</v>
      </c>
    </row>
    <row r="100" spans="1:9" x14ac:dyDescent="0.3">
      <c r="A100">
        <v>47.6</v>
      </c>
      <c r="B100">
        <v>0.89</v>
      </c>
      <c r="C100">
        <v>78.12</v>
      </c>
      <c r="D100" s="1">
        <v>45263</v>
      </c>
      <c r="E100" t="s">
        <v>43</v>
      </c>
      <c r="G100">
        <v>87</v>
      </c>
      <c r="H100">
        <v>0</v>
      </c>
      <c r="I100" t="s">
        <v>43</v>
      </c>
    </row>
    <row r="101" spans="1:9" x14ac:dyDescent="0.3">
      <c r="A101">
        <v>50.9</v>
      </c>
      <c r="B101">
        <v>1.25</v>
      </c>
      <c r="C101">
        <v>77.430000000000007</v>
      </c>
      <c r="E101" t="s">
        <v>33</v>
      </c>
      <c r="H101">
        <v>3</v>
      </c>
      <c r="I101" t="s">
        <v>34</v>
      </c>
    </row>
    <row r="102" spans="1:9" x14ac:dyDescent="0.3">
      <c r="A102">
        <v>54.2</v>
      </c>
      <c r="B102">
        <v>1.42</v>
      </c>
      <c r="C102">
        <v>71.88</v>
      </c>
      <c r="E102" t="s">
        <v>42</v>
      </c>
      <c r="F102" s="1">
        <v>45183</v>
      </c>
      <c r="H102">
        <v>2</v>
      </c>
      <c r="I102" t="s">
        <v>34</v>
      </c>
    </row>
    <row r="103" spans="1:9" x14ac:dyDescent="0.3">
      <c r="A103">
        <v>41.4</v>
      </c>
      <c r="B103">
        <v>1.45</v>
      </c>
      <c r="C103">
        <v>83.77</v>
      </c>
      <c r="E103" t="s">
        <v>47</v>
      </c>
      <c r="H103">
        <v>2</v>
      </c>
      <c r="I103" t="s">
        <v>43</v>
      </c>
    </row>
    <row r="104" spans="1:9" x14ac:dyDescent="0.3">
      <c r="A104">
        <v>44.2</v>
      </c>
      <c r="B104">
        <v>1.08</v>
      </c>
      <c r="C104">
        <v>91.98</v>
      </c>
      <c r="D104" s="1">
        <v>45038</v>
      </c>
      <c r="E104" t="s">
        <v>43</v>
      </c>
      <c r="H104">
        <v>1</v>
      </c>
      <c r="I104" t="s">
        <v>43</v>
      </c>
    </row>
    <row r="105" spans="1:9" x14ac:dyDescent="0.3">
      <c r="A105">
        <v>48.3</v>
      </c>
      <c r="B105">
        <v>0.86</v>
      </c>
      <c r="C105">
        <v>88.2</v>
      </c>
      <c r="D105" s="1">
        <v>45161</v>
      </c>
      <c r="E105" t="s">
        <v>33</v>
      </c>
      <c r="F105" s="1">
        <v>45147</v>
      </c>
      <c r="G105">
        <v>83</v>
      </c>
      <c r="H105">
        <v>0</v>
      </c>
      <c r="I105" t="s">
        <v>61</v>
      </c>
    </row>
    <row r="106" spans="1:9" x14ac:dyDescent="0.3">
      <c r="A106">
        <v>69.099999999999994</v>
      </c>
      <c r="B106">
        <v>1.29</v>
      </c>
      <c r="C106">
        <v>90.19</v>
      </c>
      <c r="E106" t="s">
        <v>33</v>
      </c>
      <c r="G106">
        <v>75</v>
      </c>
      <c r="H106">
        <v>3</v>
      </c>
      <c r="I106" t="s">
        <v>52</v>
      </c>
    </row>
    <row r="107" spans="1:9" x14ac:dyDescent="0.3">
      <c r="A107">
        <v>49.9</v>
      </c>
      <c r="B107">
        <v>0.75</v>
      </c>
      <c r="C107">
        <v>72.430000000000007</v>
      </c>
      <c r="E107" t="s">
        <v>43</v>
      </c>
      <c r="G107">
        <v>55</v>
      </c>
      <c r="H107">
        <v>0</v>
      </c>
      <c r="I107" t="s">
        <v>52</v>
      </c>
    </row>
    <row r="108" spans="1:9" x14ac:dyDescent="0.3">
      <c r="A108">
        <v>54.5</v>
      </c>
      <c r="B108">
        <v>1.06</v>
      </c>
      <c r="C108">
        <v>98.54</v>
      </c>
      <c r="E108" t="s">
        <v>47</v>
      </c>
      <c r="H108">
        <v>4</v>
      </c>
      <c r="I108" t="s">
        <v>34</v>
      </c>
    </row>
    <row r="109" spans="1:9" x14ac:dyDescent="0.3">
      <c r="A109">
        <v>45.9</v>
      </c>
      <c r="B109">
        <v>0.86</v>
      </c>
      <c r="C109">
        <v>95.15</v>
      </c>
      <c r="E109" t="s">
        <v>43</v>
      </c>
      <c r="H109">
        <v>0</v>
      </c>
      <c r="I109" t="s">
        <v>34</v>
      </c>
    </row>
    <row r="110" spans="1:9" x14ac:dyDescent="0.3">
      <c r="A110">
        <v>58.3</v>
      </c>
      <c r="B110">
        <v>1.1599999999999999</v>
      </c>
      <c r="C110">
        <v>94.15</v>
      </c>
      <c r="E110" t="s">
        <v>43</v>
      </c>
      <c r="F110" s="1">
        <v>44974</v>
      </c>
      <c r="G110">
        <v>18</v>
      </c>
      <c r="H110">
        <v>0</v>
      </c>
      <c r="I110" t="s">
        <v>61</v>
      </c>
    </row>
    <row r="111" spans="1:9" x14ac:dyDescent="0.3">
      <c r="A111">
        <v>48.4</v>
      </c>
      <c r="B111">
        <v>0.74</v>
      </c>
      <c r="C111">
        <v>94.69</v>
      </c>
      <c r="D111" s="1">
        <v>45213</v>
      </c>
      <c r="E111" t="s">
        <v>43</v>
      </c>
      <c r="G111">
        <v>12</v>
      </c>
      <c r="H111">
        <v>2</v>
      </c>
      <c r="I111" t="s">
        <v>52</v>
      </c>
    </row>
    <row r="112" spans="1:9" x14ac:dyDescent="0.3">
      <c r="A112">
        <v>46.2</v>
      </c>
      <c r="B112">
        <v>0.69</v>
      </c>
      <c r="C112">
        <v>97.98</v>
      </c>
      <c r="E112" t="s">
        <v>43</v>
      </c>
      <c r="H112">
        <v>3</v>
      </c>
      <c r="I112" t="s">
        <v>34</v>
      </c>
    </row>
    <row r="113" spans="1:9" x14ac:dyDescent="0.3">
      <c r="A113">
        <v>55.5</v>
      </c>
      <c r="B113">
        <v>1.42</v>
      </c>
      <c r="C113">
        <v>86.33</v>
      </c>
      <c r="D113" s="1">
        <v>45223</v>
      </c>
      <c r="E113" t="s">
        <v>47</v>
      </c>
      <c r="H113">
        <v>0</v>
      </c>
      <c r="I113" t="s">
        <v>61</v>
      </c>
    </row>
    <row r="114" spans="1:9" x14ac:dyDescent="0.3">
      <c r="A114">
        <v>40.200000000000003</v>
      </c>
      <c r="B114">
        <v>0.6</v>
      </c>
      <c r="C114">
        <v>76.010000000000005</v>
      </c>
      <c r="E114" t="s">
        <v>33</v>
      </c>
      <c r="F114" s="1">
        <v>45034</v>
      </c>
      <c r="H114">
        <v>2</v>
      </c>
      <c r="I114" t="s">
        <v>43</v>
      </c>
    </row>
    <row r="115" spans="1:9" x14ac:dyDescent="0.3">
      <c r="A115">
        <v>40.200000000000003</v>
      </c>
      <c r="B115">
        <v>1.01</v>
      </c>
      <c r="C115">
        <v>88.5</v>
      </c>
      <c r="D115" s="1">
        <v>45029</v>
      </c>
      <c r="E115" t="s">
        <v>43</v>
      </c>
      <c r="F115" s="1">
        <v>44927</v>
      </c>
      <c r="H115">
        <v>1</v>
      </c>
      <c r="I115" t="s">
        <v>43</v>
      </c>
    </row>
    <row r="116" spans="1:9" x14ac:dyDescent="0.3">
      <c r="A116">
        <v>46.6</v>
      </c>
      <c r="B116">
        <v>0.72</v>
      </c>
      <c r="C116">
        <v>92.29</v>
      </c>
      <c r="D116" s="1">
        <v>45275</v>
      </c>
      <c r="E116" t="s">
        <v>42</v>
      </c>
      <c r="H116">
        <v>2</v>
      </c>
      <c r="I116" t="s">
        <v>52</v>
      </c>
    </row>
    <row r="117" spans="1:9" x14ac:dyDescent="0.3">
      <c r="A117">
        <v>41.1</v>
      </c>
      <c r="B117">
        <v>0.54</v>
      </c>
      <c r="C117">
        <v>92.14</v>
      </c>
      <c r="E117" t="s">
        <v>42</v>
      </c>
      <c r="H117">
        <v>2</v>
      </c>
      <c r="I117" t="s">
        <v>34</v>
      </c>
    </row>
    <row r="118" spans="1:9" x14ac:dyDescent="0.3">
      <c r="A118">
        <v>43.2</v>
      </c>
      <c r="B118">
        <v>0.54</v>
      </c>
      <c r="C118">
        <v>85.64</v>
      </c>
      <c r="E118" t="s">
        <v>33</v>
      </c>
      <c r="H118">
        <v>2</v>
      </c>
      <c r="I118" t="s">
        <v>61</v>
      </c>
    </row>
    <row r="119" spans="1:9" x14ac:dyDescent="0.3">
      <c r="A119">
        <v>50.2</v>
      </c>
      <c r="B119">
        <v>0.68</v>
      </c>
      <c r="C119">
        <v>72.05</v>
      </c>
      <c r="D119" s="1">
        <v>44951</v>
      </c>
      <c r="E119" t="s">
        <v>43</v>
      </c>
      <c r="H119">
        <v>0</v>
      </c>
      <c r="I119" t="s">
        <v>43</v>
      </c>
    </row>
    <row r="120" spans="1:9" x14ac:dyDescent="0.3">
      <c r="A120">
        <v>64.099999999999994</v>
      </c>
      <c r="B120">
        <v>1.37</v>
      </c>
      <c r="C120">
        <v>81.13</v>
      </c>
      <c r="E120" t="s">
        <v>47</v>
      </c>
      <c r="H120">
        <v>0</v>
      </c>
      <c r="I120" t="s">
        <v>61</v>
      </c>
    </row>
    <row r="121" spans="1:9" x14ac:dyDescent="0.3">
      <c r="A121">
        <v>57.2</v>
      </c>
      <c r="B121">
        <v>0.78</v>
      </c>
      <c r="C121">
        <v>97.62</v>
      </c>
      <c r="D121" s="1">
        <v>45194</v>
      </c>
      <c r="E121" t="s">
        <v>43</v>
      </c>
      <c r="G121">
        <v>35</v>
      </c>
      <c r="H121">
        <v>1</v>
      </c>
      <c r="I121" t="s">
        <v>61</v>
      </c>
    </row>
    <row r="122" spans="1:9" x14ac:dyDescent="0.3">
      <c r="A122">
        <v>55.4</v>
      </c>
      <c r="B122">
        <v>1.45</v>
      </c>
      <c r="C122">
        <v>87.53</v>
      </c>
      <c r="E122" t="s">
        <v>43</v>
      </c>
      <c r="H122">
        <v>4</v>
      </c>
      <c r="I122" t="s">
        <v>43</v>
      </c>
    </row>
    <row r="123" spans="1:9" x14ac:dyDescent="0.3">
      <c r="A123">
        <v>48.8</v>
      </c>
      <c r="B123">
        <v>1.08</v>
      </c>
      <c r="C123">
        <v>86.15</v>
      </c>
      <c r="E123" t="s">
        <v>33</v>
      </c>
      <c r="G123">
        <v>81</v>
      </c>
      <c r="H123">
        <v>4</v>
      </c>
      <c r="I123" t="s">
        <v>61</v>
      </c>
    </row>
    <row r="124" spans="1:9" x14ac:dyDescent="0.3">
      <c r="A124">
        <v>68</v>
      </c>
      <c r="B124">
        <v>0.94</v>
      </c>
      <c r="C124">
        <v>78.069999999999993</v>
      </c>
      <c r="E124" t="s">
        <v>33</v>
      </c>
      <c r="F124" s="1">
        <v>44931</v>
      </c>
      <c r="H124">
        <v>4</v>
      </c>
      <c r="I124" t="s">
        <v>61</v>
      </c>
    </row>
    <row r="125" spans="1:9" x14ac:dyDescent="0.3">
      <c r="A125">
        <v>51.9</v>
      </c>
      <c r="B125">
        <v>1.08</v>
      </c>
      <c r="C125">
        <v>81.05</v>
      </c>
      <c r="D125" s="1">
        <v>45034</v>
      </c>
      <c r="E125" t="s">
        <v>43</v>
      </c>
      <c r="F125" s="1">
        <v>44986</v>
      </c>
      <c r="H125">
        <v>1</v>
      </c>
      <c r="I125" t="s">
        <v>43</v>
      </c>
    </row>
    <row r="126" spans="1:9" x14ac:dyDescent="0.3">
      <c r="A126">
        <v>42.6</v>
      </c>
      <c r="B126">
        <v>1.02</v>
      </c>
      <c r="C126">
        <v>96.86</v>
      </c>
      <c r="E126" t="s">
        <v>42</v>
      </c>
      <c r="H126">
        <v>4</v>
      </c>
      <c r="I126" t="s">
        <v>61</v>
      </c>
    </row>
    <row r="127" spans="1:9" x14ac:dyDescent="0.3">
      <c r="A127">
        <v>58.5</v>
      </c>
      <c r="B127">
        <v>1.26</v>
      </c>
      <c r="C127">
        <v>89.99</v>
      </c>
      <c r="E127" t="s">
        <v>42</v>
      </c>
      <c r="H127">
        <v>4</v>
      </c>
      <c r="I127" t="s">
        <v>61</v>
      </c>
    </row>
    <row r="128" spans="1:9" x14ac:dyDescent="0.3">
      <c r="A128">
        <v>43.4</v>
      </c>
      <c r="B128">
        <v>0.78</v>
      </c>
      <c r="C128">
        <v>93.62</v>
      </c>
      <c r="E128" t="s">
        <v>42</v>
      </c>
      <c r="H128">
        <v>2</v>
      </c>
      <c r="I128" t="s">
        <v>34</v>
      </c>
    </row>
    <row r="129" spans="1:9" x14ac:dyDescent="0.3">
      <c r="A129">
        <v>50.4</v>
      </c>
      <c r="B129">
        <v>0.85</v>
      </c>
      <c r="C129">
        <v>83.63</v>
      </c>
      <c r="E129" t="s">
        <v>42</v>
      </c>
      <c r="G129">
        <v>57</v>
      </c>
      <c r="H129">
        <v>0</v>
      </c>
      <c r="I129" t="s">
        <v>34</v>
      </c>
    </row>
    <row r="130" spans="1:9" x14ac:dyDescent="0.3">
      <c r="A130">
        <v>55.2</v>
      </c>
      <c r="B130">
        <v>1.39</v>
      </c>
      <c r="C130">
        <v>88.91</v>
      </c>
      <c r="E130" t="s">
        <v>47</v>
      </c>
      <c r="F130" s="1">
        <v>45051</v>
      </c>
      <c r="H130">
        <v>0</v>
      </c>
      <c r="I130" t="s">
        <v>61</v>
      </c>
    </row>
    <row r="131" spans="1:9" x14ac:dyDescent="0.3">
      <c r="A131">
        <v>66.2</v>
      </c>
      <c r="B131">
        <v>1.45</v>
      </c>
      <c r="C131">
        <v>77.45</v>
      </c>
      <c r="E131" t="s">
        <v>33</v>
      </c>
      <c r="G131">
        <v>75</v>
      </c>
      <c r="H131">
        <v>2</v>
      </c>
      <c r="I131" t="s">
        <v>61</v>
      </c>
    </row>
    <row r="132" spans="1:9" x14ac:dyDescent="0.3">
      <c r="A132">
        <v>54.8</v>
      </c>
      <c r="B132">
        <v>1.39</v>
      </c>
      <c r="C132">
        <v>91.16</v>
      </c>
      <c r="E132" t="s">
        <v>42</v>
      </c>
      <c r="G132">
        <v>79</v>
      </c>
      <c r="H132">
        <v>2</v>
      </c>
      <c r="I132" t="s">
        <v>43</v>
      </c>
    </row>
    <row r="133" spans="1:9" x14ac:dyDescent="0.3">
      <c r="A133">
        <v>61.1</v>
      </c>
      <c r="B133">
        <v>0.92</v>
      </c>
      <c r="C133">
        <v>82.83</v>
      </c>
      <c r="E133" t="s">
        <v>47</v>
      </c>
      <c r="H133">
        <v>2</v>
      </c>
      <c r="I133" t="s">
        <v>43</v>
      </c>
    </row>
    <row r="134" spans="1:9" x14ac:dyDescent="0.3">
      <c r="A134">
        <v>69.8</v>
      </c>
      <c r="B134">
        <v>1.28</v>
      </c>
      <c r="C134">
        <v>83.28</v>
      </c>
      <c r="E134" t="s">
        <v>43</v>
      </c>
      <c r="F134" s="1">
        <v>45133</v>
      </c>
      <c r="G134">
        <v>37</v>
      </c>
      <c r="H134">
        <v>0</v>
      </c>
      <c r="I134" t="s">
        <v>61</v>
      </c>
    </row>
    <row r="135" spans="1:9" x14ac:dyDescent="0.3">
      <c r="A135">
        <v>43.9</v>
      </c>
      <c r="B135">
        <v>0.98</v>
      </c>
      <c r="C135">
        <v>89.48</v>
      </c>
      <c r="D135" s="1">
        <v>45121</v>
      </c>
      <c r="E135" t="s">
        <v>33</v>
      </c>
      <c r="G135">
        <v>35</v>
      </c>
      <c r="H135">
        <v>4</v>
      </c>
      <c r="I135" t="s">
        <v>43</v>
      </c>
    </row>
    <row r="136" spans="1:9" x14ac:dyDescent="0.3">
      <c r="A136">
        <v>48.2</v>
      </c>
      <c r="B136">
        <v>1</v>
      </c>
      <c r="C136">
        <v>98.09</v>
      </c>
      <c r="E136" t="s">
        <v>33</v>
      </c>
      <c r="H136">
        <v>2</v>
      </c>
      <c r="I136" t="s">
        <v>52</v>
      </c>
    </row>
    <row r="137" spans="1:9" x14ac:dyDescent="0.3">
      <c r="A137">
        <v>51.8</v>
      </c>
      <c r="B137">
        <v>0.7</v>
      </c>
      <c r="C137">
        <v>71.92</v>
      </c>
      <c r="D137" s="1">
        <v>44975</v>
      </c>
      <c r="E137" t="s">
        <v>47</v>
      </c>
      <c r="G137">
        <v>34</v>
      </c>
      <c r="H137">
        <v>1</v>
      </c>
      <c r="I137" t="s">
        <v>61</v>
      </c>
    </row>
    <row r="138" spans="1:9" x14ac:dyDescent="0.3">
      <c r="A138">
        <v>52.7</v>
      </c>
      <c r="B138">
        <v>1.0900000000000001</v>
      </c>
      <c r="C138">
        <v>94.74</v>
      </c>
      <c r="E138" t="s">
        <v>47</v>
      </c>
      <c r="F138" s="1">
        <v>45074</v>
      </c>
      <c r="G138">
        <v>21</v>
      </c>
      <c r="H138">
        <v>2</v>
      </c>
      <c r="I138" t="s">
        <v>43</v>
      </c>
    </row>
    <row r="139" spans="1:9" x14ac:dyDescent="0.3">
      <c r="A139">
        <v>52.3</v>
      </c>
      <c r="B139">
        <v>0.69</v>
      </c>
      <c r="C139">
        <v>78.77</v>
      </c>
      <c r="E139" t="s">
        <v>42</v>
      </c>
      <c r="H139">
        <v>3</v>
      </c>
      <c r="I139" t="s">
        <v>43</v>
      </c>
    </row>
    <row r="140" spans="1:9" x14ac:dyDescent="0.3">
      <c r="A140">
        <v>67.2</v>
      </c>
      <c r="B140">
        <v>0.83</v>
      </c>
      <c r="C140">
        <v>83.32</v>
      </c>
      <c r="E140" t="s">
        <v>42</v>
      </c>
      <c r="H140">
        <v>2</v>
      </c>
      <c r="I140" t="s">
        <v>34</v>
      </c>
    </row>
    <row r="141" spans="1:9" x14ac:dyDescent="0.3">
      <c r="A141">
        <v>61.4</v>
      </c>
      <c r="B141">
        <v>1.36</v>
      </c>
      <c r="C141">
        <v>70.66</v>
      </c>
      <c r="E141" t="s">
        <v>47</v>
      </c>
      <c r="G141">
        <v>14</v>
      </c>
      <c r="H141">
        <v>0</v>
      </c>
      <c r="I141" t="s">
        <v>61</v>
      </c>
    </row>
    <row r="142" spans="1:9" x14ac:dyDescent="0.3">
      <c r="A142">
        <v>58.2</v>
      </c>
      <c r="B142">
        <v>0.71</v>
      </c>
      <c r="C142">
        <v>79.03</v>
      </c>
      <c r="E142" t="s">
        <v>47</v>
      </c>
      <c r="F142" s="1">
        <v>45186</v>
      </c>
      <c r="H142">
        <v>2</v>
      </c>
      <c r="I142" t="s">
        <v>52</v>
      </c>
    </row>
    <row r="143" spans="1:9" x14ac:dyDescent="0.3">
      <c r="A143">
        <v>49.3</v>
      </c>
      <c r="B143">
        <v>0.56999999999999995</v>
      </c>
      <c r="C143">
        <v>85.08</v>
      </c>
      <c r="E143" t="s">
        <v>33</v>
      </c>
      <c r="H143">
        <v>3</v>
      </c>
      <c r="I143" t="s">
        <v>52</v>
      </c>
    </row>
    <row r="144" spans="1:9" x14ac:dyDescent="0.3">
      <c r="A144">
        <v>64.7</v>
      </c>
      <c r="B144">
        <v>0.56999999999999995</v>
      </c>
      <c r="C144">
        <v>71.69</v>
      </c>
      <c r="E144" t="s">
        <v>47</v>
      </c>
      <c r="H144">
        <v>1</v>
      </c>
      <c r="I144" t="s">
        <v>52</v>
      </c>
    </row>
    <row r="145" spans="1:9" x14ac:dyDescent="0.3">
      <c r="A145">
        <v>68.7</v>
      </c>
      <c r="B145">
        <v>1.44</v>
      </c>
      <c r="C145">
        <v>84.73</v>
      </c>
      <c r="E145" t="s">
        <v>47</v>
      </c>
      <c r="G145">
        <v>57</v>
      </c>
      <c r="H145">
        <v>4</v>
      </c>
      <c r="I145" t="s">
        <v>43</v>
      </c>
    </row>
    <row r="146" spans="1:9" x14ac:dyDescent="0.3">
      <c r="A146">
        <v>64.599999999999994</v>
      </c>
      <c r="B146">
        <v>1.01</v>
      </c>
      <c r="C146">
        <v>97.81</v>
      </c>
      <c r="D146" s="1">
        <v>45145</v>
      </c>
      <c r="E146" t="s">
        <v>42</v>
      </c>
      <c r="G146">
        <v>46</v>
      </c>
      <c r="H146">
        <v>2</v>
      </c>
      <c r="I146" t="s">
        <v>34</v>
      </c>
    </row>
    <row r="147" spans="1:9" x14ac:dyDescent="0.3">
      <c r="A147">
        <v>40</v>
      </c>
      <c r="B147">
        <v>0.91</v>
      </c>
      <c r="C147">
        <v>73.16</v>
      </c>
      <c r="D147" s="1">
        <v>45095</v>
      </c>
      <c r="E147" t="s">
        <v>33</v>
      </c>
      <c r="F147" s="1">
        <v>45237</v>
      </c>
      <c r="H147">
        <v>3</v>
      </c>
      <c r="I147" t="s">
        <v>61</v>
      </c>
    </row>
    <row r="148" spans="1:9" x14ac:dyDescent="0.3">
      <c r="A148">
        <v>59.1</v>
      </c>
      <c r="B148">
        <v>1.31</v>
      </c>
      <c r="C148">
        <v>92.93</v>
      </c>
      <c r="D148" s="1">
        <v>45047</v>
      </c>
      <c r="E148" t="s">
        <v>47</v>
      </c>
      <c r="F148" s="1">
        <v>44973</v>
      </c>
      <c r="H148">
        <v>3</v>
      </c>
      <c r="I148" t="s">
        <v>43</v>
      </c>
    </row>
    <row r="149" spans="1:9" x14ac:dyDescent="0.3">
      <c r="A149">
        <v>41.5</v>
      </c>
      <c r="B149">
        <v>1.34</v>
      </c>
      <c r="C149">
        <v>82.29</v>
      </c>
      <c r="E149" t="s">
        <v>42</v>
      </c>
      <c r="H149">
        <v>1</v>
      </c>
      <c r="I149" t="s">
        <v>61</v>
      </c>
    </row>
    <row r="150" spans="1:9" x14ac:dyDescent="0.3">
      <c r="A150">
        <v>47.7</v>
      </c>
      <c r="B150">
        <v>0.83</v>
      </c>
      <c r="C150">
        <v>89.66</v>
      </c>
      <c r="E150" t="s">
        <v>42</v>
      </c>
      <c r="F150" s="1">
        <v>45164</v>
      </c>
      <c r="G150">
        <v>88</v>
      </c>
      <c r="H150">
        <v>0</v>
      </c>
      <c r="I150" t="s">
        <v>43</v>
      </c>
    </row>
    <row r="151" spans="1:9" x14ac:dyDescent="0.3">
      <c r="A151">
        <v>41.8</v>
      </c>
      <c r="B151">
        <v>1.19</v>
      </c>
      <c r="C151">
        <v>77.81</v>
      </c>
      <c r="E151" t="s">
        <v>42</v>
      </c>
      <c r="H151">
        <v>2</v>
      </c>
      <c r="I151" t="s">
        <v>52</v>
      </c>
    </row>
    <row r="152" spans="1:9" x14ac:dyDescent="0.3">
      <c r="A152">
        <v>58.1</v>
      </c>
      <c r="B152">
        <v>1.27</v>
      </c>
      <c r="C152">
        <v>74.78</v>
      </c>
      <c r="D152" s="1">
        <v>45205</v>
      </c>
      <c r="E152" t="s">
        <v>47</v>
      </c>
      <c r="H152">
        <v>3</v>
      </c>
      <c r="I152" t="s">
        <v>34</v>
      </c>
    </row>
    <row r="153" spans="1:9" x14ac:dyDescent="0.3">
      <c r="A153">
        <v>60.6</v>
      </c>
      <c r="B153">
        <v>1.1499999999999999</v>
      </c>
      <c r="C153">
        <v>74.81</v>
      </c>
      <c r="E153" t="s">
        <v>42</v>
      </c>
      <c r="H153">
        <v>1</v>
      </c>
      <c r="I153" t="s">
        <v>43</v>
      </c>
    </row>
    <row r="154" spans="1:9" x14ac:dyDescent="0.3">
      <c r="A154">
        <v>43.4</v>
      </c>
      <c r="B154">
        <v>0.65</v>
      </c>
      <c r="C154">
        <v>72.11</v>
      </c>
      <c r="D154" s="1">
        <v>45078</v>
      </c>
      <c r="E154" t="s">
        <v>47</v>
      </c>
      <c r="H154">
        <v>4</v>
      </c>
      <c r="I154" t="s">
        <v>61</v>
      </c>
    </row>
    <row r="155" spans="1:9" x14ac:dyDescent="0.3">
      <c r="A155">
        <v>51.5</v>
      </c>
      <c r="B155">
        <v>1.38</v>
      </c>
      <c r="C155">
        <v>75.569999999999993</v>
      </c>
      <c r="E155" t="s">
        <v>47</v>
      </c>
      <c r="H155">
        <v>3</v>
      </c>
      <c r="I155" t="s">
        <v>34</v>
      </c>
    </row>
    <row r="156" spans="1:9" x14ac:dyDescent="0.3">
      <c r="A156">
        <v>53.7</v>
      </c>
      <c r="B156">
        <v>1.04</v>
      </c>
      <c r="C156">
        <v>89.93</v>
      </c>
      <c r="E156" t="s">
        <v>33</v>
      </c>
      <c r="F156" s="1">
        <v>45034</v>
      </c>
      <c r="G156">
        <v>53</v>
      </c>
      <c r="H156">
        <v>1</v>
      </c>
      <c r="I156" t="s">
        <v>43</v>
      </c>
    </row>
    <row r="157" spans="1:9" x14ac:dyDescent="0.3">
      <c r="A157">
        <v>51.1</v>
      </c>
      <c r="B157">
        <v>0.78</v>
      </c>
      <c r="C157">
        <v>96.45</v>
      </c>
      <c r="D157" s="1">
        <v>45192</v>
      </c>
      <c r="E157" t="s">
        <v>47</v>
      </c>
      <c r="H157">
        <v>0</v>
      </c>
      <c r="I157" t="s">
        <v>52</v>
      </c>
    </row>
    <row r="158" spans="1:9" x14ac:dyDescent="0.3">
      <c r="A158">
        <v>43.6</v>
      </c>
      <c r="B158">
        <v>0.93</v>
      </c>
      <c r="C158">
        <v>94.42</v>
      </c>
      <c r="E158" t="s">
        <v>43</v>
      </c>
      <c r="F158" s="1">
        <v>45206</v>
      </c>
      <c r="H158">
        <v>0</v>
      </c>
      <c r="I158" t="s">
        <v>61</v>
      </c>
    </row>
    <row r="159" spans="1:9" x14ac:dyDescent="0.3">
      <c r="A159">
        <v>52.6</v>
      </c>
      <c r="B159">
        <v>0.54</v>
      </c>
      <c r="C159">
        <v>90.55</v>
      </c>
      <c r="E159" t="s">
        <v>43</v>
      </c>
      <c r="G159">
        <v>24</v>
      </c>
      <c r="H159">
        <v>3</v>
      </c>
      <c r="I159" t="s">
        <v>61</v>
      </c>
    </row>
    <row r="160" spans="1:9" x14ac:dyDescent="0.3">
      <c r="A160">
        <v>62.5</v>
      </c>
      <c r="B160">
        <v>0.63</v>
      </c>
      <c r="C160">
        <v>73.31</v>
      </c>
      <c r="E160" t="s">
        <v>33</v>
      </c>
      <c r="F160" s="1">
        <v>45059</v>
      </c>
      <c r="H160">
        <v>3</v>
      </c>
      <c r="I160" t="s">
        <v>43</v>
      </c>
    </row>
    <row r="161" spans="1:9" x14ac:dyDescent="0.3">
      <c r="A161">
        <v>42.1</v>
      </c>
      <c r="B161">
        <v>1.27</v>
      </c>
      <c r="C161">
        <v>78.680000000000007</v>
      </c>
      <c r="E161" t="s">
        <v>47</v>
      </c>
      <c r="G161">
        <v>52</v>
      </c>
      <c r="H161">
        <v>2</v>
      </c>
      <c r="I161" t="s">
        <v>52</v>
      </c>
    </row>
    <row r="162" spans="1:9" x14ac:dyDescent="0.3">
      <c r="A162">
        <v>42.4</v>
      </c>
      <c r="B162">
        <v>0.5</v>
      </c>
      <c r="C162">
        <v>79.290000000000006</v>
      </c>
      <c r="D162" s="1">
        <v>45277</v>
      </c>
      <c r="E162" t="s">
        <v>42</v>
      </c>
      <c r="G162">
        <v>57</v>
      </c>
      <c r="H162">
        <v>1</v>
      </c>
      <c r="I162" t="s">
        <v>34</v>
      </c>
    </row>
    <row r="163" spans="1:9" x14ac:dyDescent="0.3">
      <c r="A163">
        <v>50.6</v>
      </c>
      <c r="B163">
        <v>0.92</v>
      </c>
      <c r="C163">
        <v>77.5</v>
      </c>
      <c r="D163" s="1">
        <v>45094</v>
      </c>
      <c r="E163" t="s">
        <v>33</v>
      </c>
      <c r="H163">
        <v>3</v>
      </c>
      <c r="I163" t="s">
        <v>61</v>
      </c>
    </row>
    <row r="164" spans="1:9" x14ac:dyDescent="0.3">
      <c r="A164">
        <v>68.3</v>
      </c>
      <c r="B164">
        <v>1.02</v>
      </c>
      <c r="C164">
        <v>85.45</v>
      </c>
      <c r="D164" s="1">
        <v>45164</v>
      </c>
      <c r="E164" t="s">
        <v>33</v>
      </c>
      <c r="H164">
        <v>2</v>
      </c>
      <c r="I164" t="s">
        <v>34</v>
      </c>
    </row>
    <row r="165" spans="1:9" x14ac:dyDescent="0.3">
      <c r="A165">
        <v>60.1</v>
      </c>
      <c r="B165">
        <v>0.55000000000000004</v>
      </c>
      <c r="C165">
        <v>86.07</v>
      </c>
      <c r="D165" s="1">
        <v>45220</v>
      </c>
      <c r="E165" t="s">
        <v>47</v>
      </c>
      <c r="H165">
        <v>2</v>
      </c>
      <c r="I165" t="s">
        <v>43</v>
      </c>
    </row>
    <row r="166" spans="1:9" x14ac:dyDescent="0.3">
      <c r="A166">
        <v>60.4</v>
      </c>
      <c r="B166">
        <v>1.47</v>
      </c>
      <c r="C166">
        <v>80.709999999999994</v>
      </c>
      <c r="D166" s="1">
        <v>45250</v>
      </c>
      <c r="E166" t="s">
        <v>43</v>
      </c>
      <c r="F166" s="1">
        <v>45147</v>
      </c>
      <c r="H166">
        <v>3</v>
      </c>
      <c r="I166" t="s">
        <v>61</v>
      </c>
    </row>
    <row r="167" spans="1:9" x14ac:dyDescent="0.3">
      <c r="A167">
        <v>50.9</v>
      </c>
      <c r="B167">
        <v>0.73</v>
      </c>
      <c r="C167">
        <v>80.61</v>
      </c>
      <c r="D167" s="1">
        <v>44951</v>
      </c>
      <c r="E167" t="s">
        <v>47</v>
      </c>
      <c r="F167" s="1">
        <v>44999</v>
      </c>
      <c r="G167">
        <v>79</v>
      </c>
      <c r="H167">
        <v>0</v>
      </c>
      <c r="I167" t="s">
        <v>52</v>
      </c>
    </row>
    <row r="168" spans="1:9" x14ac:dyDescent="0.3">
      <c r="A168">
        <v>57.8</v>
      </c>
      <c r="B168">
        <v>0.8</v>
      </c>
      <c r="C168">
        <v>94.86</v>
      </c>
      <c r="D168" s="1">
        <v>45133</v>
      </c>
      <c r="E168" t="s">
        <v>47</v>
      </c>
      <c r="H168">
        <v>1</v>
      </c>
      <c r="I168" t="s">
        <v>61</v>
      </c>
    </row>
    <row r="169" spans="1:9" x14ac:dyDescent="0.3">
      <c r="A169">
        <v>40.299999999999997</v>
      </c>
      <c r="B169">
        <v>0.8</v>
      </c>
      <c r="C169">
        <v>93.68</v>
      </c>
      <c r="D169" s="1">
        <v>45284</v>
      </c>
      <c r="E169" t="s">
        <v>33</v>
      </c>
      <c r="F169" s="1">
        <v>45209</v>
      </c>
      <c r="H169">
        <v>1</v>
      </c>
      <c r="I169" t="s">
        <v>52</v>
      </c>
    </row>
    <row r="170" spans="1:9" x14ac:dyDescent="0.3">
      <c r="A170">
        <v>59.1</v>
      </c>
      <c r="B170">
        <v>0.73</v>
      </c>
      <c r="C170">
        <v>79.23</v>
      </c>
      <c r="D170" s="1">
        <v>45245</v>
      </c>
      <c r="E170" t="s">
        <v>33</v>
      </c>
      <c r="H170">
        <v>0</v>
      </c>
      <c r="I170" t="s">
        <v>61</v>
      </c>
    </row>
    <row r="171" spans="1:9" x14ac:dyDescent="0.3">
      <c r="A171">
        <v>67.400000000000006</v>
      </c>
      <c r="B171">
        <v>0.5</v>
      </c>
      <c r="C171">
        <v>97.41</v>
      </c>
      <c r="E171" t="s">
        <v>47</v>
      </c>
      <c r="H171">
        <v>3</v>
      </c>
      <c r="I171" t="s">
        <v>34</v>
      </c>
    </row>
    <row r="172" spans="1:9" x14ac:dyDescent="0.3">
      <c r="A172">
        <v>58.4</v>
      </c>
      <c r="B172">
        <v>1.23</v>
      </c>
      <c r="C172">
        <v>98.58</v>
      </c>
      <c r="E172" t="s">
        <v>33</v>
      </c>
      <c r="H172">
        <v>1</v>
      </c>
      <c r="I172" t="s">
        <v>61</v>
      </c>
    </row>
    <row r="173" spans="1:9" x14ac:dyDescent="0.3">
      <c r="A173">
        <v>66.2</v>
      </c>
      <c r="B173">
        <v>1.47</v>
      </c>
      <c r="C173">
        <v>79.8</v>
      </c>
      <c r="E173" t="s">
        <v>47</v>
      </c>
      <c r="H173">
        <v>3</v>
      </c>
      <c r="I173" t="s">
        <v>61</v>
      </c>
    </row>
    <row r="174" spans="1:9" x14ac:dyDescent="0.3">
      <c r="A174">
        <v>61.7</v>
      </c>
      <c r="B174">
        <v>0.72</v>
      </c>
      <c r="C174">
        <v>80.63</v>
      </c>
      <c r="D174" s="1">
        <v>45096</v>
      </c>
      <c r="E174" t="s">
        <v>42</v>
      </c>
      <c r="H174">
        <v>3</v>
      </c>
      <c r="I174" t="s">
        <v>34</v>
      </c>
    </row>
    <row r="175" spans="1:9" x14ac:dyDescent="0.3">
      <c r="A175">
        <v>43.6</v>
      </c>
      <c r="B175">
        <v>1.1599999999999999</v>
      </c>
      <c r="C175">
        <v>85.17</v>
      </c>
      <c r="E175" t="s">
        <v>43</v>
      </c>
      <c r="G175">
        <v>55</v>
      </c>
      <c r="H175">
        <v>2</v>
      </c>
      <c r="I175" t="s">
        <v>52</v>
      </c>
    </row>
    <row r="176" spans="1:9" x14ac:dyDescent="0.3">
      <c r="A176">
        <v>67.099999999999994</v>
      </c>
      <c r="B176">
        <v>1.24</v>
      </c>
      <c r="C176">
        <v>98.23</v>
      </c>
      <c r="E176" t="s">
        <v>47</v>
      </c>
      <c r="H176">
        <v>0</v>
      </c>
      <c r="I176" t="s">
        <v>61</v>
      </c>
    </row>
    <row r="177" spans="1:9" x14ac:dyDescent="0.3">
      <c r="A177">
        <v>42</v>
      </c>
      <c r="B177">
        <v>1.35</v>
      </c>
      <c r="C177">
        <v>96.29</v>
      </c>
      <c r="E177" t="s">
        <v>33</v>
      </c>
      <c r="F177" s="1">
        <v>45029</v>
      </c>
      <c r="H177">
        <v>3</v>
      </c>
      <c r="I177" t="s">
        <v>34</v>
      </c>
    </row>
    <row r="178" spans="1:9" x14ac:dyDescent="0.3">
      <c r="A178">
        <v>56</v>
      </c>
      <c r="B178">
        <v>0.92</v>
      </c>
      <c r="C178">
        <v>73.08</v>
      </c>
      <c r="E178" t="s">
        <v>43</v>
      </c>
      <c r="F178" s="1">
        <v>45156</v>
      </c>
      <c r="H178">
        <v>4</v>
      </c>
      <c r="I178" t="s">
        <v>61</v>
      </c>
    </row>
    <row r="179" spans="1:9" x14ac:dyDescent="0.3">
      <c r="A179">
        <v>44.3</v>
      </c>
      <c r="B179">
        <v>0.8</v>
      </c>
      <c r="C179">
        <v>81.78</v>
      </c>
      <c r="D179" s="1">
        <v>44944</v>
      </c>
      <c r="E179" t="s">
        <v>47</v>
      </c>
      <c r="F179" s="1">
        <v>45047</v>
      </c>
      <c r="H179">
        <v>0</v>
      </c>
      <c r="I179" t="s">
        <v>61</v>
      </c>
    </row>
    <row r="180" spans="1:9" x14ac:dyDescent="0.3">
      <c r="A180">
        <v>40.4</v>
      </c>
      <c r="B180">
        <v>0.83</v>
      </c>
      <c r="C180">
        <v>86.6</v>
      </c>
      <c r="E180" t="s">
        <v>33</v>
      </c>
      <c r="H180">
        <v>1</v>
      </c>
      <c r="I180" t="s">
        <v>52</v>
      </c>
    </row>
    <row r="181" spans="1:9" x14ac:dyDescent="0.3">
      <c r="A181">
        <v>52.7</v>
      </c>
      <c r="B181">
        <v>1.21</v>
      </c>
      <c r="C181">
        <v>85.09</v>
      </c>
      <c r="E181" t="s">
        <v>43</v>
      </c>
      <c r="H181">
        <v>2</v>
      </c>
      <c r="I181" t="s">
        <v>34</v>
      </c>
    </row>
    <row r="182" spans="1:9" x14ac:dyDescent="0.3">
      <c r="A182">
        <v>48.9</v>
      </c>
      <c r="B182">
        <v>1.32</v>
      </c>
      <c r="C182">
        <v>75.819999999999993</v>
      </c>
      <c r="D182" s="1">
        <v>44942</v>
      </c>
      <c r="E182" t="s">
        <v>43</v>
      </c>
      <c r="F182" s="1">
        <v>45054</v>
      </c>
      <c r="H182">
        <v>1</v>
      </c>
      <c r="I182" t="s">
        <v>61</v>
      </c>
    </row>
    <row r="183" spans="1:9" x14ac:dyDescent="0.3">
      <c r="A183">
        <v>54.6</v>
      </c>
      <c r="B183">
        <v>0.68</v>
      </c>
      <c r="C183">
        <v>95.76</v>
      </c>
      <c r="E183" t="s">
        <v>33</v>
      </c>
      <c r="H183">
        <v>1</v>
      </c>
      <c r="I183" t="s">
        <v>43</v>
      </c>
    </row>
    <row r="184" spans="1:9" x14ac:dyDescent="0.3">
      <c r="A184">
        <v>57.3</v>
      </c>
      <c r="B184">
        <v>0.87</v>
      </c>
      <c r="C184">
        <v>90.31</v>
      </c>
      <c r="D184" s="1">
        <v>45149</v>
      </c>
      <c r="E184" t="s">
        <v>47</v>
      </c>
      <c r="F184" s="1">
        <v>45267</v>
      </c>
      <c r="H184">
        <v>0</v>
      </c>
      <c r="I184" t="s">
        <v>61</v>
      </c>
    </row>
    <row r="185" spans="1:9" x14ac:dyDescent="0.3">
      <c r="A185">
        <v>41.3</v>
      </c>
      <c r="B185">
        <v>1.4</v>
      </c>
      <c r="C185">
        <v>95.14</v>
      </c>
      <c r="E185" t="s">
        <v>42</v>
      </c>
      <c r="H185">
        <v>1</v>
      </c>
      <c r="I185" t="s">
        <v>52</v>
      </c>
    </row>
    <row r="186" spans="1:9" x14ac:dyDescent="0.3">
      <c r="A186">
        <v>43.7</v>
      </c>
      <c r="B186">
        <v>1.31</v>
      </c>
      <c r="C186">
        <v>95.76</v>
      </c>
      <c r="E186" t="s">
        <v>47</v>
      </c>
      <c r="H186">
        <v>3</v>
      </c>
      <c r="I186" t="s">
        <v>43</v>
      </c>
    </row>
    <row r="187" spans="1:9" x14ac:dyDescent="0.3">
      <c r="A187">
        <v>56.8</v>
      </c>
      <c r="B187">
        <v>1.48</v>
      </c>
      <c r="C187">
        <v>92.45</v>
      </c>
      <c r="D187" s="1">
        <v>45242</v>
      </c>
      <c r="E187" t="s">
        <v>43</v>
      </c>
      <c r="F187" s="1">
        <v>44979</v>
      </c>
      <c r="H187">
        <v>1</v>
      </c>
      <c r="I187" t="s">
        <v>52</v>
      </c>
    </row>
    <row r="188" spans="1:9" x14ac:dyDescent="0.3">
      <c r="A188">
        <v>50.3</v>
      </c>
      <c r="B188">
        <v>1.25</v>
      </c>
      <c r="C188">
        <v>83.18</v>
      </c>
      <c r="D188" s="1">
        <v>45255</v>
      </c>
      <c r="E188" t="s">
        <v>33</v>
      </c>
      <c r="H188">
        <v>2</v>
      </c>
      <c r="I188" t="s">
        <v>34</v>
      </c>
    </row>
    <row r="189" spans="1:9" x14ac:dyDescent="0.3">
      <c r="A189">
        <v>61.9</v>
      </c>
      <c r="B189">
        <v>0.89</v>
      </c>
      <c r="C189">
        <v>88.32</v>
      </c>
      <c r="E189" t="s">
        <v>43</v>
      </c>
      <c r="F189" s="1">
        <v>45001</v>
      </c>
      <c r="H189">
        <v>2</v>
      </c>
      <c r="I189" t="s">
        <v>34</v>
      </c>
    </row>
    <row r="190" spans="1:9" x14ac:dyDescent="0.3">
      <c r="A190">
        <v>59.6</v>
      </c>
      <c r="B190">
        <v>1.0900000000000001</v>
      </c>
      <c r="C190">
        <v>74.81</v>
      </c>
      <c r="E190" t="s">
        <v>47</v>
      </c>
      <c r="H190">
        <v>4</v>
      </c>
      <c r="I190" t="s">
        <v>43</v>
      </c>
    </row>
    <row r="191" spans="1:9" x14ac:dyDescent="0.3">
      <c r="A191">
        <v>65.400000000000006</v>
      </c>
      <c r="B191">
        <v>1.1599999999999999</v>
      </c>
      <c r="C191">
        <v>90.21</v>
      </c>
      <c r="D191" s="1">
        <v>44937</v>
      </c>
      <c r="E191" t="s">
        <v>42</v>
      </c>
      <c r="H191">
        <v>2</v>
      </c>
      <c r="I191" t="s">
        <v>43</v>
      </c>
    </row>
    <row r="192" spans="1:9" x14ac:dyDescent="0.3">
      <c r="A192">
        <v>60.8</v>
      </c>
      <c r="B192">
        <v>0.57999999999999996</v>
      </c>
      <c r="C192">
        <v>75.38</v>
      </c>
      <c r="E192" t="s">
        <v>42</v>
      </c>
      <c r="H192">
        <v>1</v>
      </c>
      <c r="I192" t="s">
        <v>34</v>
      </c>
    </row>
    <row r="193" spans="1:9" x14ac:dyDescent="0.3">
      <c r="A193">
        <v>52.9</v>
      </c>
      <c r="B193">
        <v>1.04</v>
      </c>
      <c r="C193">
        <v>90.82</v>
      </c>
      <c r="E193" t="s">
        <v>47</v>
      </c>
      <c r="H193">
        <v>2</v>
      </c>
      <c r="I193" t="s">
        <v>61</v>
      </c>
    </row>
    <row r="194" spans="1:9" x14ac:dyDescent="0.3">
      <c r="A194">
        <v>60.2</v>
      </c>
      <c r="B194">
        <v>1.21</v>
      </c>
      <c r="C194">
        <v>76.89</v>
      </c>
      <c r="E194" t="s">
        <v>42</v>
      </c>
      <c r="H194">
        <v>0</v>
      </c>
      <c r="I194" t="s">
        <v>43</v>
      </c>
    </row>
    <row r="195" spans="1:9" x14ac:dyDescent="0.3">
      <c r="A195">
        <v>48.3</v>
      </c>
      <c r="B195">
        <v>0.67</v>
      </c>
      <c r="C195">
        <v>73.53</v>
      </c>
      <c r="E195" t="s">
        <v>42</v>
      </c>
      <c r="H195">
        <v>2</v>
      </c>
      <c r="I195" t="s">
        <v>61</v>
      </c>
    </row>
    <row r="196" spans="1:9" x14ac:dyDescent="0.3">
      <c r="A196">
        <v>49.2</v>
      </c>
      <c r="B196">
        <v>1.28</v>
      </c>
      <c r="C196">
        <v>74.959999999999994</v>
      </c>
      <c r="E196" t="s">
        <v>43</v>
      </c>
      <c r="F196" s="1">
        <v>44958</v>
      </c>
      <c r="G196">
        <v>52</v>
      </c>
      <c r="H196">
        <v>3</v>
      </c>
      <c r="I196" t="s">
        <v>61</v>
      </c>
    </row>
    <row r="197" spans="1:9" x14ac:dyDescent="0.3">
      <c r="A197">
        <v>63.7</v>
      </c>
      <c r="B197">
        <v>1.08</v>
      </c>
      <c r="C197">
        <v>70.06</v>
      </c>
      <c r="D197" s="1">
        <v>45096</v>
      </c>
      <c r="E197" t="s">
        <v>43</v>
      </c>
      <c r="G197">
        <v>30</v>
      </c>
      <c r="H197">
        <v>0</v>
      </c>
      <c r="I197" t="s">
        <v>34</v>
      </c>
    </row>
    <row r="198" spans="1:9" x14ac:dyDescent="0.3">
      <c r="A198">
        <v>53.4</v>
      </c>
      <c r="B198">
        <v>1.45</v>
      </c>
      <c r="C198">
        <v>91.56</v>
      </c>
      <c r="E198" t="s">
        <v>42</v>
      </c>
      <c r="H198">
        <v>4</v>
      </c>
      <c r="I198" t="s">
        <v>52</v>
      </c>
    </row>
    <row r="199" spans="1:9" x14ac:dyDescent="0.3">
      <c r="A199">
        <v>64</v>
      </c>
      <c r="B199">
        <v>0.54</v>
      </c>
      <c r="C199">
        <v>91.97</v>
      </c>
      <c r="D199" s="1">
        <v>45257</v>
      </c>
      <c r="E199" t="s">
        <v>33</v>
      </c>
      <c r="F199" s="1">
        <v>45165</v>
      </c>
      <c r="H199">
        <v>3</v>
      </c>
      <c r="I199" t="s">
        <v>52</v>
      </c>
    </row>
    <row r="200" spans="1:9" x14ac:dyDescent="0.3">
      <c r="A200">
        <v>64.7</v>
      </c>
      <c r="B200">
        <v>0.77</v>
      </c>
      <c r="C200">
        <v>85.45</v>
      </c>
      <c r="E200" t="s">
        <v>42</v>
      </c>
      <c r="H200">
        <v>1</v>
      </c>
      <c r="I200" t="s">
        <v>52</v>
      </c>
    </row>
    <row r="201" spans="1:9" x14ac:dyDescent="0.3">
      <c r="A201">
        <v>65.7</v>
      </c>
      <c r="B201">
        <v>1.1000000000000001</v>
      </c>
      <c r="C201">
        <v>74.84</v>
      </c>
      <c r="E201" t="s">
        <v>47</v>
      </c>
      <c r="H201">
        <v>1</v>
      </c>
      <c r="I201" t="s">
        <v>43</v>
      </c>
    </row>
    <row r="202" spans="1:9" x14ac:dyDescent="0.3">
      <c r="A202">
        <v>67.5</v>
      </c>
      <c r="B202">
        <v>0.8</v>
      </c>
      <c r="C202">
        <v>72.510000000000005</v>
      </c>
      <c r="D202" s="1">
        <v>45239</v>
      </c>
      <c r="E202" t="s">
        <v>42</v>
      </c>
      <c r="G202">
        <v>32</v>
      </c>
      <c r="H202">
        <v>1</v>
      </c>
      <c r="I202" t="s">
        <v>43</v>
      </c>
    </row>
    <row r="203" spans="1:9" x14ac:dyDescent="0.3">
      <c r="A203">
        <v>52.9</v>
      </c>
      <c r="B203">
        <v>1.21</v>
      </c>
      <c r="C203">
        <v>70.569999999999993</v>
      </c>
      <c r="E203" t="s">
        <v>42</v>
      </c>
      <c r="H203">
        <v>3</v>
      </c>
      <c r="I203" t="s">
        <v>34</v>
      </c>
    </row>
    <row r="204" spans="1:9" x14ac:dyDescent="0.3">
      <c r="A204">
        <v>49.6</v>
      </c>
      <c r="B204">
        <v>1.26</v>
      </c>
      <c r="C204">
        <v>74.97</v>
      </c>
      <c r="D204" s="1">
        <v>45028</v>
      </c>
      <c r="E204" t="s">
        <v>42</v>
      </c>
      <c r="H204">
        <v>3</v>
      </c>
      <c r="I204" t="s">
        <v>61</v>
      </c>
    </row>
    <row r="205" spans="1:9" x14ac:dyDescent="0.3">
      <c r="A205">
        <v>57.5</v>
      </c>
      <c r="B205">
        <v>0.6</v>
      </c>
      <c r="C205">
        <v>96.73</v>
      </c>
      <c r="D205" s="1">
        <v>45159</v>
      </c>
      <c r="E205" t="s">
        <v>43</v>
      </c>
      <c r="F205" s="1">
        <v>44985</v>
      </c>
      <c r="H205">
        <v>3</v>
      </c>
      <c r="I205" t="s">
        <v>43</v>
      </c>
    </row>
    <row r="206" spans="1:9" x14ac:dyDescent="0.3">
      <c r="A206">
        <v>51.1</v>
      </c>
      <c r="B206">
        <v>1.01</v>
      </c>
      <c r="C206">
        <v>77.25</v>
      </c>
      <c r="E206" t="s">
        <v>43</v>
      </c>
      <c r="G206">
        <v>89</v>
      </c>
      <c r="H206">
        <v>0</v>
      </c>
      <c r="I206" t="s">
        <v>43</v>
      </c>
    </row>
    <row r="207" spans="1:9" x14ac:dyDescent="0.3">
      <c r="A207">
        <v>58</v>
      </c>
      <c r="B207">
        <v>1.01</v>
      </c>
      <c r="C207">
        <v>80.63</v>
      </c>
      <c r="E207" t="s">
        <v>33</v>
      </c>
      <c r="H207">
        <v>0</v>
      </c>
      <c r="I207" t="s">
        <v>34</v>
      </c>
    </row>
    <row r="208" spans="1:9" x14ac:dyDescent="0.3">
      <c r="A208">
        <v>61.2</v>
      </c>
      <c r="B208">
        <v>0.87</v>
      </c>
      <c r="C208">
        <v>73.16</v>
      </c>
      <c r="E208" t="s">
        <v>33</v>
      </c>
      <c r="H208">
        <v>1</v>
      </c>
      <c r="I208" t="s">
        <v>52</v>
      </c>
    </row>
    <row r="209" spans="1:9" x14ac:dyDescent="0.3">
      <c r="A209">
        <v>60.7</v>
      </c>
      <c r="B209">
        <v>1.43</v>
      </c>
      <c r="C209">
        <v>76.67</v>
      </c>
      <c r="E209" t="s">
        <v>42</v>
      </c>
      <c r="F209" s="1">
        <v>45258</v>
      </c>
      <c r="H209">
        <v>2</v>
      </c>
      <c r="I209" t="s">
        <v>43</v>
      </c>
    </row>
    <row r="210" spans="1:9" x14ac:dyDescent="0.3">
      <c r="A210">
        <v>51.2</v>
      </c>
      <c r="B210">
        <v>1.33</v>
      </c>
      <c r="C210">
        <v>85.58</v>
      </c>
      <c r="E210" t="s">
        <v>33</v>
      </c>
      <c r="F210" s="1">
        <v>45274</v>
      </c>
      <c r="H210">
        <v>1</v>
      </c>
      <c r="I210" t="s">
        <v>52</v>
      </c>
    </row>
    <row r="211" spans="1:9" x14ac:dyDescent="0.3">
      <c r="A211">
        <v>45</v>
      </c>
      <c r="B211">
        <v>1.2</v>
      </c>
      <c r="C211">
        <v>88.23</v>
      </c>
      <c r="E211" t="s">
        <v>42</v>
      </c>
      <c r="H211">
        <v>4</v>
      </c>
      <c r="I211" t="s">
        <v>52</v>
      </c>
    </row>
    <row r="212" spans="1:9" x14ac:dyDescent="0.3">
      <c r="A212">
        <v>52.9</v>
      </c>
      <c r="B212">
        <v>1.21</v>
      </c>
      <c r="C212">
        <v>77.36</v>
      </c>
      <c r="E212" t="s">
        <v>33</v>
      </c>
      <c r="F212" s="1">
        <v>45053</v>
      </c>
      <c r="H212">
        <v>0</v>
      </c>
      <c r="I212" t="s">
        <v>52</v>
      </c>
    </row>
    <row r="213" spans="1:9" x14ac:dyDescent="0.3">
      <c r="A213">
        <v>44.3</v>
      </c>
      <c r="B213">
        <v>0.96</v>
      </c>
      <c r="C213">
        <v>71.73</v>
      </c>
      <c r="E213" t="s">
        <v>42</v>
      </c>
      <c r="H213">
        <v>3</v>
      </c>
      <c r="I213" t="s">
        <v>52</v>
      </c>
    </row>
    <row r="214" spans="1:9" x14ac:dyDescent="0.3">
      <c r="A214">
        <v>66.7</v>
      </c>
      <c r="B214">
        <v>1.42</v>
      </c>
      <c r="C214">
        <v>81.73</v>
      </c>
      <c r="E214" t="s">
        <v>33</v>
      </c>
      <c r="H214">
        <v>0</v>
      </c>
      <c r="I214" t="s">
        <v>34</v>
      </c>
    </row>
    <row r="215" spans="1:9" x14ac:dyDescent="0.3">
      <c r="A215">
        <v>50.4</v>
      </c>
      <c r="B215">
        <v>1.19</v>
      </c>
      <c r="C215">
        <v>77.03</v>
      </c>
      <c r="E215" t="s">
        <v>33</v>
      </c>
      <c r="G215">
        <v>56</v>
      </c>
      <c r="H215">
        <v>3</v>
      </c>
      <c r="I215" t="s">
        <v>43</v>
      </c>
    </row>
    <row r="216" spans="1:9" x14ac:dyDescent="0.3">
      <c r="A216">
        <v>44.6</v>
      </c>
      <c r="B216">
        <v>1.23</v>
      </c>
      <c r="C216">
        <v>76.59</v>
      </c>
      <c r="E216" t="s">
        <v>42</v>
      </c>
      <c r="H216">
        <v>4</v>
      </c>
      <c r="I216" t="s">
        <v>34</v>
      </c>
    </row>
    <row r="217" spans="1:9" x14ac:dyDescent="0.3">
      <c r="A217">
        <v>40.799999999999997</v>
      </c>
      <c r="B217">
        <v>1.36</v>
      </c>
      <c r="C217">
        <v>98.8</v>
      </c>
      <c r="E217" t="s">
        <v>42</v>
      </c>
      <c r="G217">
        <v>24</v>
      </c>
      <c r="H217">
        <v>4</v>
      </c>
      <c r="I217" t="s">
        <v>61</v>
      </c>
    </row>
    <row r="218" spans="1:9" x14ac:dyDescent="0.3">
      <c r="A218">
        <v>59.4</v>
      </c>
      <c r="B218">
        <v>0.77</v>
      </c>
      <c r="C218">
        <v>88.49</v>
      </c>
      <c r="D218" s="1">
        <v>45116</v>
      </c>
      <c r="E218" t="s">
        <v>42</v>
      </c>
      <c r="F218" s="1">
        <v>45202</v>
      </c>
      <c r="G218">
        <v>34</v>
      </c>
      <c r="H218">
        <v>0</v>
      </c>
      <c r="I218" t="s">
        <v>34</v>
      </c>
    </row>
    <row r="219" spans="1:9" x14ac:dyDescent="0.3">
      <c r="A219">
        <v>59.1</v>
      </c>
      <c r="B219">
        <v>1.31</v>
      </c>
      <c r="C219">
        <v>86.71</v>
      </c>
      <c r="E219" t="s">
        <v>42</v>
      </c>
      <c r="H219">
        <v>3</v>
      </c>
      <c r="I219" t="s">
        <v>34</v>
      </c>
    </row>
    <row r="220" spans="1:9" x14ac:dyDescent="0.3">
      <c r="A220">
        <v>50.2</v>
      </c>
      <c r="B220">
        <v>0.7</v>
      </c>
      <c r="C220">
        <v>82.47</v>
      </c>
      <c r="D220" s="1">
        <v>45018</v>
      </c>
      <c r="E220" t="s">
        <v>33</v>
      </c>
      <c r="G220">
        <v>45</v>
      </c>
      <c r="H220">
        <v>4</v>
      </c>
      <c r="I220" t="s">
        <v>34</v>
      </c>
    </row>
    <row r="221" spans="1:9" x14ac:dyDescent="0.3">
      <c r="A221">
        <v>42.2</v>
      </c>
      <c r="B221">
        <v>0.85</v>
      </c>
      <c r="C221">
        <v>82.87</v>
      </c>
      <c r="E221" t="s">
        <v>47</v>
      </c>
      <c r="F221" s="1">
        <v>45179</v>
      </c>
      <c r="H221">
        <v>1</v>
      </c>
      <c r="I221" t="s">
        <v>34</v>
      </c>
    </row>
    <row r="222" spans="1:9" x14ac:dyDescent="0.3">
      <c r="A222">
        <v>52.3</v>
      </c>
      <c r="B222">
        <v>0.84</v>
      </c>
      <c r="C222">
        <v>86.23</v>
      </c>
      <c r="E222" t="s">
        <v>47</v>
      </c>
      <c r="G222">
        <v>84</v>
      </c>
      <c r="H222">
        <v>1</v>
      </c>
      <c r="I222" t="s">
        <v>34</v>
      </c>
    </row>
    <row r="223" spans="1:9" x14ac:dyDescent="0.3">
      <c r="A223">
        <v>49.3</v>
      </c>
      <c r="B223">
        <v>1.48</v>
      </c>
      <c r="C223">
        <v>90.89</v>
      </c>
      <c r="E223" t="s">
        <v>33</v>
      </c>
      <c r="F223" s="1">
        <v>45073</v>
      </c>
      <c r="H223">
        <v>3</v>
      </c>
      <c r="I223" t="s">
        <v>52</v>
      </c>
    </row>
    <row r="224" spans="1:9" x14ac:dyDescent="0.3">
      <c r="A224">
        <v>60.3</v>
      </c>
      <c r="B224">
        <v>1.36</v>
      </c>
      <c r="C224">
        <v>91.06</v>
      </c>
      <c r="E224" t="s">
        <v>43</v>
      </c>
      <c r="F224" s="1">
        <v>45048</v>
      </c>
      <c r="H224">
        <v>0</v>
      </c>
      <c r="I224" t="s">
        <v>61</v>
      </c>
    </row>
    <row r="225" spans="1:9" x14ac:dyDescent="0.3">
      <c r="A225">
        <v>58.2</v>
      </c>
      <c r="B225">
        <v>1.2</v>
      </c>
      <c r="C225">
        <v>75.150000000000006</v>
      </c>
      <c r="E225" t="s">
        <v>47</v>
      </c>
      <c r="H225">
        <v>4</v>
      </c>
      <c r="I225" t="s">
        <v>34</v>
      </c>
    </row>
    <row r="226" spans="1:9" x14ac:dyDescent="0.3">
      <c r="A226">
        <v>50.9</v>
      </c>
      <c r="B226">
        <v>1.23</v>
      </c>
      <c r="C226">
        <v>85</v>
      </c>
      <c r="E226" t="s">
        <v>33</v>
      </c>
      <c r="H226">
        <v>0</v>
      </c>
      <c r="I226" t="s">
        <v>61</v>
      </c>
    </row>
    <row r="227" spans="1:9" x14ac:dyDescent="0.3">
      <c r="A227">
        <v>46.5</v>
      </c>
      <c r="B227">
        <v>1.06</v>
      </c>
      <c r="C227">
        <v>82.36</v>
      </c>
      <c r="E227" t="s">
        <v>47</v>
      </c>
      <c r="G227">
        <v>60</v>
      </c>
      <c r="H227">
        <v>1</v>
      </c>
      <c r="I227" t="s">
        <v>52</v>
      </c>
    </row>
    <row r="228" spans="1:9" x14ac:dyDescent="0.3">
      <c r="A228">
        <v>69.599999999999994</v>
      </c>
      <c r="B228">
        <v>1.45</v>
      </c>
      <c r="C228">
        <v>96.12</v>
      </c>
      <c r="E228" t="s">
        <v>47</v>
      </c>
      <c r="H228">
        <v>4</v>
      </c>
      <c r="I228" t="s">
        <v>43</v>
      </c>
    </row>
    <row r="229" spans="1:9" x14ac:dyDescent="0.3">
      <c r="A229">
        <v>53.6</v>
      </c>
      <c r="B229">
        <v>1</v>
      </c>
      <c r="C229">
        <v>88.94</v>
      </c>
      <c r="E229" t="s">
        <v>42</v>
      </c>
      <c r="F229" s="1">
        <v>45085</v>
      </c>
      <c r="G229">
        <v>24</v>
      </c>
      <c r="H229">
        <v>0</v>
      </c>
      <c r="I229" t="s">
        <v>61</v>
      </c>
    </row>
    <row r="230" spans="1:9" x14ac:dyDescent="0.3">
      <c r="A230">
        <v>60.6</v>
      </c>
      <c r="B230">
        <v>0.88</v>
      </c>
      <c r="C230">
        <v>85.98</v>
      </c>
      <c r="E230" t="s">
        <v>43</v>
      </c>
      <c r="H230">
        <v>2</v>
      </c>
      <c r="I230" t="s">
        <v>34</v>
      </c>
    </row>
    <row r="231" spans="1:9" x14ac:dyDescent="0.3">
      <c r="A231">
        <v>44.2</v>
      </c>
      <c r="B231">
        <v>0.66</v>
      </c>
      <c r="C231">
        <v>73.459999999999994</v>
      </c>
      <c r="E231" t="s">
        <v>33</v>
      </c>
      <c r="G231">
        <v>77</v>
      </c>
      <c r="H231">
        <v>3</v>
      </c>
      <c r="I231" t="s">
        <v>61</v>
      </c>
    </row>
    <row r="232" spans="1:9" x14ac:dyDescent="0.3">
      <c r="A232">
        <v>54.6</v>
      </c>
      <c r="B232">
        <v>1.29</v>
      </c>
      <c r="C232">
        <v>88.17</v>
      </c>
      <c r="E232" t="s">
        <v>47</v>
      </c>
      <c r="G232">
        <v>30</v>
      </c>
      <c r="H232">
        <v>3</v>
      </c>
      <c r="I232" t="s">
        <v>52</v>
      </c>
    </row>
    <row r="233" spans="1:9" x14ac:dyDescent="0.3">
      <c r="A233">
        <v>40.799999999999997</v>
      </c>
      <c r="B233">
        <v>1.23</v>
      </c>
      <c r="C233">
        <v>73.52</v>
      </c>
      <c r="E233" t="s">
        <v>47</v>
      </c>
      <c r="H233">
        <v>2</v>
      </c>
      <c r="I233" t="s">
        <v>52</v>
      </c>
    </row>
    <row r="234" spans="1:9" x14ac:dyDescent="0.3">
      <c r="A234">
        <v>55.2</v>
      </c>
      <c r="B234">
        <v>0.88</v>
      </c>
      <c r="C234">
        <v>80.12</v>
      </c>
      <c r="E234" t="s">
        <v>33</v>
      </c>
      <c r="G234">
        <v>22</v>
      </c>
      <c r="H234">
        <v>1</v>
      </c>
      <c r="I234" t="s">
        <v>61</v>
      </c>
    </row>
    <row r="235" spans="1:9" x14ac:dyDescent="0.3">
      <c r="A235">
        <v>68.900000000000006</v>
      </c>
      <c r="B235">
        <v>0.53</v>
      </c>
      <c r="C235">
        <v>74.290000000000006</v>
      </c>
      <c r="E235" t="s">
        <v>47</v>
      </c>
      <c r="G235">
        <v>28</v>
      </c>
      <c r="H235">
        <v>4</v>
      </c>
      <c r="I235" t="s">
        <v>61</v>
      </c>
    </row>
    <row r="236" spans="1:9" x14ac:dyDescent="0.3">
      <c r="A236">
        <v>51.5</v>
      </c>
      <c r="B236">
        <v>1.34</v>
      </c>
      <c r="C236">
        <v>90.76</v>
      </c>
      <c r="D236" s="1">
        <v>45287</v>
      </c>
      <c r="E236" t="s">
        <v>47</v>
      </c>
      <c r="H236">
        <v>3</v>
      </c>
      <c r="I236" t="s">
        <v>61</v>
      </c>
    </row>
    <row r="237" spans="1:9" x14ac:dyDescent="0.3">
      <c r="A237">
        <v>41.2</v>
      </c>
      <c r="B237">
        <v>0.51</v>
      </c>
      <c r="C237">
        <v>76.19</v>
      </c>
      <c r="E237" t="s">
        <v>47</v>
      </c>
      <c r="F237" s="1">
        <v>45073</v>
      </c>
      <c r="H237">
        <v>2</v>
      </c>
      <c r="I237" t="s">
        <v>43</v>
      </c>
    </row>
    <row r="238" spans="1:9" x14ac:dyDescent="0.3">
      <c r="A238">
        <v>40.9</v>
      </c>
      <c r="B238">
        <v>1.2</v>
      </c>
      <c r="C238">
        <v>81.760000000000005</v>
      </c>
      <c r="E238" t="s">
        <v>33</v>
      </c>
      <c r="F238" s="1">
        <v>45029</v>
      </c>
      <c r="G238">
        <v>43</v>
      </c>
      <c r="H238">
        <v>2</v>
      </c>
      <c r="I238" t="s">
        <v>43</v>
      </c>
    </row>
    <row r="239" spans="1:9" x14ac:dyDescent="0.3">
      <c r="A239">
        <v>51.6</v>
      </c>
      <c r="B239">
        <v>1.47</v>
      </c>
      <c r="C239">
        <v>96.87</v>
      </c>
      <c r="E239" t="s">
        <v>43</v>
      </c>
      <c r="H239">
        <v>1</v>
      </c>
      <c r="I239" t="s">
        <v>34</v>
      </c>
    </row>
    <row r="240" spans="1:9" x14ac:dyDescent="0.3">
      <c r="A240">
        <v>44.8</v>
      </c>
      <c r="B240">
        <v>0.94</v>
      </c>
      <c r="C240">
        <v>76.13</v>
      </c>
      <c r="E240" t="s">
        <v>42</v>
      </c>
      <c r="F240" s="1">
        <v>45215</v>
      </c>
      <c r="G240">
        <v>87</v>
      </c>
      <c r="H240">
        <v>1</v>
      </c>
      <c r="I240" t="s">
        <v>34</v>
      </c>
    </row>
    <row r="241" spans="1:9" x14ac:dyDescent="0.3">
      <c r="A241">
        <v>40.700000000000003</v>
      </c>
      <c r="B241">
        <v>0.73</v>
      </c>
      <c r="C241">
        <v>85.23</v>
      </c>
      <c r="E241" t="s">
        <v>47</v>
      </c>
      <c r="H241">
        <v>0</v>
      </c>
      <c r="I241" t="s">
        <v>52</v>
      </c>
    </row>
    <row r="242" spans="1:9" x14ac:dyDescent="0.3">
      <c r="A242">
        <v>62.7</v>
      </c>
      <c r="B242">
        <v>1.2</v>
      </c>
      <c r="C242">
        <v>82.58</v>
      </c>
      <c r="E242" t="s">
        <v>33</v>
      </c>
      <c r="G242">
        <v>77</v>
      </c>
      <c r="H242">
        <v>3</v>
      </c>
      <c r="I242" t="s">
        <v>34</v>
      </c>
    </row>
    <row r="243" spans="1:9" x14ac:dyDescent="0.3">
      <c r="A243">
        <v>53.8</v>
      </c>
      <c r="B243">
        <v>1.32</v>
      </c>
      <c r="C243">
        <v>70.540000000000006</v>
      </c>
      <c r="E243" t="s">
        <v>42</v>
      </c>
      <c r="G243">
        <v>61</v>
      </c>
      <c r="H243">
        <v>0</v>
      </c>
      <c r="I243" t="s">
        <v>52</v>
      </c>
    </row>
    <row r="244" spans="1:9" x14ac:dyDescent="0.3">
      <c r="A244">
        <v>48.7</v>
      </c>
      <c r="B244">
        <v>1.05</v>
      </c>
      <c r="C244">
        <v>93.78</v>
      </c>
      <c r="E244" t="s">
        <v>33</v>
      </c>
      <c r="G244">
        <v>36</v>
      </c>
      <c r="H244">
        <v>2</v>
      </c>
      <c r="I244" t="s">
        <v>52</v>
      </c>
    </row>
    <row r="245" spans="1:9" x14ac:dyDescent="0.3">
      <c r="A245">
        <v>67</v>
      </c>
      <c r="B245">
        <v>1.47</v>
      </c>
      <c r="C245">
        <v>72.069999999999993</v>
      </c>
      <c r="E245" t="s">
        <v>42</v>
      </c>
      <c r="G245">
        <v>38</v>
      </c>
      <c r="H245">
        <v>4</v>
      </c>
      <c r="I245" t="s">
        <v>34</v>
      </c>
    </row>
    <row r="246" spans="1:9" x14ac:dyDescent="0.3">
      <c r="A246">
        <v>43.5</v>
      </c>
      <c r="B246">
        <v>0.55000000000000004</v>
      </c>
      <c r="C246">
        <v>84.23</v>
      </c>
      <c r="E246" t="s">
        <v>47</v>
      </c>
      <c r="H246">
        <v>4</v>
      </c>
      <c r="I246" t="s">
        <v>43</v>
      </c>
    </row>
    <row r="247" spans="1:9" x14ac:dyDescent="0.3">
      <c r="A247">
        <v>68.7</v>
      </c>
      <c r="B247">
        <v>1</v>
      </c>
      <c r="C247">
        <v>86.82</v>
      </c>
      <c r="E247" t="s">
        <v>43</v>
      </c>
      <c r="H247">
        <v>1</v>
      </c>
      <c r="I247" t="s">
        <v>34</v>
      </c>
    </row>
    <row r="248" spans="1:9" x14ac:dyDescent="0.3">
      <c r="A248">
        <v>49.4</v>
      </c>
      <c r="B248">
        <v>1.22</v>
      </c>
      <c r="C248">
        <v>88.85</v>
      </c>
      <c r="E248" t="s">
        <v>42</v>
      </c>
      <c r="G248">
        <v>37</v>
      </c>
      <c r="H248">
        <v>4</v>
      </c>
      <c r="I248" t="s">
        <v>34</v>
      </c>
    </row>
    <row r="249" spans="1:9" x14ac:dyDescent="0.3">
      <c r="A249">
        <v>66.7</v>
      </c>
      <c r="B249">
        <v>1.36</v>
      </c>
      <c r="C249">
        <v>90.66</v>
      </c>
      <c r="E249" t="s">
        <v>42</v>
      </c>
      <c r="F249" s="1">
        <v>45123</v>
      </c>
      <c r="H249">
        <v>4</v>
      </c>
      <c r="I249" t="s">
        <v>52</v>
      </c>
    </row>
    <row r="250" spans="1:9" x14ac:dyDescent="0.3">
      <c r="A250">
        <v>58.1</v>
      </c>
      <c r="B250">
        <v>0.68</v>
      </c>
      <c r="C250">
        <v>77.599999999999994</v>
      </c>
      <c r="E250" t="s">
        <v>47</v>
      </c>
      <c r="G250">
        <v>44</v>
      </c>
      <c r="H250">
        <v>4</v>
      </c>
      <c r="I250" t="s">
        <v>43</v>
      </c>
    </row>
    <row r="251" spans="1:9" x14ac:dyDescent="0.3">
      <c r="A251">
        <v>64.8</v>
      </c>
      <c r="B251">
        <v>1.3</v>
      </c>
      <c r="C251">
        <v>70.3</v>
      </c>
      <c r="D251" s="1">
        <v>45181</v>
      </c>
      <c r="E251" t="s">
        <v>42</v>
      </c>
      <c r="F251" s="1">
        <v>45027</v>
      </c>
      <c r="G251">
        <v>17</v>
      </c>
      <c r="H251">
        <v>2</v>
      </c>
      <c r="I251" t="s">
        <v>34</v>
      </c>
    </row>
    <row r="252" spans="1:9" x14ac:dyDescent="0.3">
      <c r="A252">
        <v>69.5</v>
      </c>
      <c r="B252">
        <v>1.05</v>
      </c>
      <c r="C252">
        <v>91.7</v>
      </c>
      <c r="D252" s="1">
        <v>45155</v>
      </c>
      <c r="E252" t="s">
        <v>42</v>
      </c>
      <c r="H252">
        <v>4</v>
      </c>
      <c r="I252" t="s">
        <v>52</v>
      </c>
    </row>
    <row r="253" spans="1:9" x14ac:dyDescent="0.3">
      <c r="A253">
        <v>48.7</v>
      </c>
      <c r="B253">
        <v>0.9</v>
      </c>
      <c r="C253">
        <v>86.07</v>
      </c>
      <c r="D253" s="1">
        <v>45084</v>
      </c>
      <c r="E253" t="s">
        <v>43</v>
      </c>
      <c r="G253">
        <v>25</v>
      </c>
      <c r="H253">
        <v>4</v>
      </c>
      <c r="I253" t="s">
        <v>34</v>
      </c>
    </row>
    <row r="254" spans="1:9" x14ac:dyDescent="0.3">
      <c r="A254">
        <v>68.8</v>
      </c>
      <c r="B254">
        <v>0.63</v>
      </c>
      <c r="C254">
        <v>95.08</v>
      </c>
      <c r="E254" t="s">
        <v>47</v>
      </c>
      <c r="F254" s="1">
        <v>45183</v>
      </c>
      <c r="G254">
        <v>45</v>
      </c>
      <c r="H254">
        <v>4</v>
      </c>
      <c r="I254" t="s">
        <v>61</v>
      </c>
    </row>
    <row r="255" spans="1:9" x14ac:dyDescent="0.3">
      <c r="A255">
        <v>51.7</v>
      </c>
      <c r="B255">
        <v>1.37</v>
      </c>
      <c r="C255">
        <v>94.64</v>
      </c>
      <c r="E255" t="s">
        <v>42</v>
      </c>
      <c r="F255" s="1">
        <v>44987</v>
      </c>
      <c r="G255">
        <v>39</v>
      </c>
      <c r="H255">
        <v>0</v>
      </c>
      <c r="I255" t="s">
        <v>34</v>
      </c>
    </row>
    <row r="256" spans="1:9" x14ac:dyDescent="0.3">
      <c r="A256">
        <v>51.6</v>
      </c>
      <c r="B256">
        <v>0.66</v>
      </c>
      <c r="C256">
        <v>95.3</v>
      </c>
      <c r="E256" t="s">
        <v>43</v>
      </c>
      <c r="F256" s="1">
        <v>45072</v>
      </c>
      <c r="H256">
        <v>2</v>
      </c>
      <c r="I256" t="s">
        <v>52</v>
      </c>
    </row>
    <row r="257" spans="1:9" x14ac:dyDescent="0.3">
      <c r="A257">
        <v>50.2</v>
      </c>
      <c r="B257">
        <v>0.81</v>
      </c>
      <c r="C257">
        <v>84.55</v>
      </c>
      <c r="E257" t="s">
        <v>42</v>
      </c>
      <c r="H257">
        <v>1</v>
      </c>
      <c r="I257" t="s">
        <v>52</v>
      </c>
    </row>
    <row r="258" spans="1:9" x14ac:dyDescent="0.3">
      <c r="A258">
        <v>56.2</v>
      </c>
      <c r="B258">
        <v>0.79</v>
      </c>
      <c r="C258">
        <v>80.010000000000005</v>
      </c>
      <c r="E258" t="s">
        <v>43</v>
      </c>
      <c r="F258" s="1">
        <v>45211</v>
      </c>
      <c r="G258">
        <v>27</v>
      </c>
      <c r="H258">
        <v>0</v>
      </c>
      <c r="I258" t="s">
        <v>43</v>
      </c>
    </row>
    <row r="259" spans="1:9" x14ac:dyDescent="0.3">
      <c r="A259">
        <v>44.6</v>
      </c>
      <c r="B259">
        <v>1.37</v>
      </c>
      <c r="C259">
        <v>93.75</v>
      </c>
      <c r="E259" t="s">
        <v>43</v>
      </c>
      <c r="H259">
        <v>3</v>
      </c>
      <c r="I259" t="s">
        <v>52</v>
      </c>
    </row>
    <row r="260" spans="1:9" x14ac:dyDescent="0.3">
      <c r="A260">
        <v>56.6</v>
      </c>
      <c r="B260">
        <v>1.17</v>
      </c>
      <c r="C260">
        <v>83.54</v>
      </c>
      <c r="E260" t="s">
        <v>42</v>
      </c>
      <c r="H260">
        <v>2</v>
      </c>
      <c r="I260" t="s">
        <v>43</v>
      </c>
    </row>
    <row r="261" spans="1:9" x14ac:dyDescent="0.3">
      <c r="A261">
        <v>56.3</v>
      </c>
      <c r="B261">
        <v>1.3</v>
      </c>
      <c r="C261">
        <v>75.5</v>
      </c>
      <c r="D261" s="1">
        <v>44994</v>
      </c>
      <c r="E261" t="s">
        <v>43</v>
      </c>
      <c r="F261" s="1">
        <v>45213</v>
      </c>
      <c r="H261">
        <v>2</v>
      </c>
      <c r="I261" t="s">
        <v>34</v>
      </c>
    </row>
    <row r="262" spans="1:9" x14ac:dyDescent="0.3">
      <c r="A262">
        <v>62.9</v>
      </c>
      <c r="B262">
        <v>0.75</v>
      </c>
      <c r="C262">
        <v>95.65</v>
      </c>
      <c r="E262" t="s">
        <v>42</v>
      </c>
      <c r="H262">
        <v>3</v>
      </c>
      <c r="I262" t="s">
        <v>61</v>
      </c>
    </row>
    <row r="263" spans="1:9" x14ac:dyDescent="0.3">
      <c r="A263">
        <v>65</v>
      </c>
      <c r="B263">
        <v>1.1200000000000001</v>
      </c>
      <c r="C263">
        <v>96.48</v>
      </c>
      <c r="E263" t="s">
        <v>42</v>
      </c>
      <c r="G263">
        <v>11</v>
      </c>
      <c r="H263">
        <v>3</v>
      </c>
      <c r="I263" t="s">
        <v>34</v>
      </c>
    </row>
    <row r="264" spans="1:9" x14ac:dyDescent="0.3">
      <c r="A264">
        <v>53.2</v>
      </c>
      <c r="B264">
        <v>1.07</v>
      </c>
      <c r="C264">
        <v>83.99</v>
      </c>
      <c r="D264" s="1">
        <v>45124</v>
      </c>
      <c r="E264" t="s">
        <v>43</v>
      </c>
      <c r="F264" s="1">
        <v>45093</v>
      </c>
      <c r="H264">
        <v>3</v>
      </c>
      <c r="I264" t="s">
        <v>43</v>
      </c>
    </row>
    <row r="265" spans="1:9" x14ac:dyDescent="0.3">
      <c r="A265">
        <v>49.1</v>
      </c>
      <c r="B265">
        <v>1.33</v>
      </c>
      <c r="C265">
        <v>72.27</v>
      </c>
      <c r="E265" t="s">
        <v>43</v>
      </c>
      <c r="G265">
        <v>58</v>
      </c>
      <c r="H265">
        <v>1</v>
      </c>
      <c r="I265" t="s">
        <v>34</v>
      </c>
    </row>
    <row r="266" spans="1:9" x14ac:dyDescent="0.3">
      <c r="A266">
        <v>47.8</v>
      </c>
      <c r="B266">
        <v>1.41</v>
      </c>
      <c r="C266">
        <v>81.63</v>
      </c>
      <c r="E266" t="s">
        <v>33</v>
      </c>
      <c r="H266">
        <v>4</v>
      </c>
      <c r="I266" t="s">
        <v>34</v>
      </c>
    </row>
    <row r="267" spans="1:9" x14ac:dyDescent="0.3">
      <c r="A267">
        <v>45.8</v>
      </c>
      <c r="B267">
        <v>0.51</v>
      </c>
      <c r="C267">
        <v>94.11</v>
      </c>
      <c r="E267" t="s">
        <v>42</v>
      </c>
      <c r="G267">
        <v>86</v>
      </c>
      <c r="H267">
        <v>2</v>
      </c>
      <c r="I267" t="s">
        <v>61</v>
      </c>
    </row>
    <row r="268" spans="1:9" x14ac:dyDescent="0.3">
      <c r="A268">
        <v>41.7</v>
      </c>
      <c r="B268">
        <v>1.17</v>
      </c>
      <c r="C268">
        <v>97.05</v>
      </c>
      <c r="E268" t="s">
        <v>33</v>
      </c>
      <c r="H268">
        <v>4</v>
      </c>
      <c r="I268" t="s">
        <v>43</v>
      </c>
    </row>
    <row r="269" spans="1:9" x14ac:dyDescent="0.3">
      <c r="A269">
        <v>50.3</v>
      </c>
      <c r="B269">
        <v>0.55000000000000004</v>
      </c>
      <c r="C269">
        <v>76.099999999999994</v>
      </c>
      <c r="E269" t="s">
        <v>47</v>
      </c>
      <c r="H269">
        <v>4</v>
      </c>
      <c r="I269" t="s">
        <v>52</v>
      </c>
    </row>
    <row r="270" spans="1:9" x14ac:dyDescent="0.3">
      <c r="A270">
        <v>48.1</v>
      </c>
      <c r="B270">
        <v>1.05</v>
      </c>
      <c r="C270">
        <v>72.010000000000005</v>
      </c>
      <c r="E270" t="s">
        <v>42</v>
      </c>
      <c r="H270">
        <v>3</v>
      </c>
      <c r="I270" t="s">
        <v>52</v>
      </c>
    </row>
    <row r="271" spans="1:9" x14ac:dyDescent="0.3">
      <c r="A271">
        <v>69</v>
      </c>
      <c r="B271">
        <v>0.79</v>
      </c>
      <c r="C271">
        <v>96.32</v>
      </c>
      <c r="D271" s="1">
        <v>45111</v>
      </c>
      <c r="E271" t="s">
        <v>42</v>
      </c>
      <c r="F271" s="1">
        <v>45091</v>
      </c>
      <c r="G271">
        <v>13</v>
      </c>
      <c r="H271">
        <v>1</v>
      </c>
      <c r="I271" t="s">
        <v>52</v>
      </c>
    </row>
    <row r="272" spans="1:9" x14ac:dyDescent="0.3">
      <c r="A272">
        <v>56.7</v>
      </c>
      <c r="B272">
        <v>0.81</v>
      </c>
      <c r="C272">
        <v>81.680000000000007</v>
      </c>
      <c r="E272" t="s">
        <v>42</v>
      </c>
      <c r="H272">
        <v>0</v>
      </c>
      <c r="I272" t="s">
        <v>43</v>
      </c>
    </row>
    <row r="273" spans="1:9" x14ac:dyDescent="0.3">
      <c r="A273">
        <v>50.4</v>
      </c>
      <c r="B273">
        <v>0.85</v>
      </c>
      <c r="C273">
        <v>86.25</v>
      </c>
      <c r="E273" t="s">
        <v>33</v>
      </c>
      <c r="H273">
        <v>1</v>
      </c>
      <c r="I273" t="s">
        <v>52</v>
      </c>
    </row>
    <row r="274" spans="1:9" x14ac:dyDescent="0.3">
      <c r="A274">
        <v>57.4</v>
      </c>
      <c r="B274">
        <v>1.1200000000000001</v>
      </c>
      <c r="C274">
        <v>99.04</v>
      </c>
      <c r="D274" s="1">
        <v>45027</v>
      </c>
      <c r="E274" t="s">
        <v>47</v>
      </c>
      <c r="H274">
        <v>4</v>
      </c>
      <c r="I274" t="s">
        <v>52</v>
      </c>
    </row>
    <row r="275" spans="1:9" x14ac:dyDescent="0.3">
      <c r="A275">
        <v>44.2</v>
      </c>
      <c r="B275">
        <v>0.83</v>
      </c>
      <c r="C275">
        <v>72</v>
      </c>
      <c r="D275" s="1">
        <v>44944</v>
      </c>
      <c r="E275" t="s">
        <v>42</v>
      </c>
      <c r="F275" s="1">
        <v>45221</v>
      </c>
      <c r="H275">
        <v>1</v>
      </c>
      <c r="I275" t="s">
        <v>52</v>
      </c>
    </row>
    <row r="276" spans="1:9" x14ac:dyDescent="0.3">
      <c r="A276">
        <v>53.3</v>
      </c>
      <c r="B276">
        <v>1.23</v>
      </c>
      <c r="C276">
        <v>89.45</v>
      </c>
      <c r="D276" s="1">
        <v>45074</v>
      </c>
      <c r="E276" t="s">
        <v>33</v>
      </c>
      <c r="H276">
        <v>3</v>
      </c>
      <c r="I276" t="s">
        <v>52</v>
      </c>
    </row>
    <row r="277" spans="1:9" x14ac:dyDescent="0.3">
      <c r="A277">
        <v>58.8</v>
      </c>
      <c r="B277">
        <v>0.9</v>
      </c>
      <c r="C277">
        <v>72.22</v>
      </c>
      <c r="E277" t="s">
        <v>47</v>
      </c>
      <c r="H277">
        <v>0</v>
      </c>
      <c r="I277" t="s">
        <v>34</v>
      </c>
    </row>
    <row r="278" spans="1:9" x14ac:dyDescent="0.3">
      <c r="A278">
        <v>54.7</v>
      </c>
      <c r="B278">
        <v>0.56999999999999995</v>
      </c>
      <c r="C278">
        <v>81.260000000000005</v>
      </c>
      <c r="E278" t="s">
        <v>42</v>
      </c>
      <c r="H278">
        <v>3</v>
      </c>
      <c r="I278" t="s">
        <v>43</v>
      </c>
    </row>
    <row r="279" spans="1:9" x14ac:dyDescent="0.3">
      <c r="A279">
        <v>52.1</v>
      </c>
      <c r="B279">
        <v>1.28</v>
      </c>
      <c r="C279">
        <v>94.11</v>
      </c>
      <c r="E279" t="s">
        <v>47</v>
      </c>
      <c r="F279" s="1">
        <v>44997</v>
      </c>
      <c r="G279">
        <v>84</v>
      </c>
      <c r="H279">
        <v>0</v>
      </c>
      <c r="I279" t="s">
        <v>52</v>
      </c>
    </row>
    <row r="280" spans="1:9" x14ac:dyDescent="0.3">
      <c r="A280">
        <v>69.8</v>
      </c>
      <c r="B280">
        <v>0.79</v>
      </c>
      <c r="C280">
        <v>83</v>
      </c>
      <c r="E280" t="s">
        <v>43</v>
      </c>
      <c r="H280">
        <v>4</v>
      </c>
      <c r="I280" t="s">
        <v>34</v>
      </c>
    </row>
    <row r="281" spans="1:9" x14ac:dyDescent="0.3">
      <c r="A281">
        <v>66.400000000000006</v>
      </c>
      <c r="B281">
        <v>0.93</v>
      </c>
      <c r="C281">
        <v>99.92</v>
      </c>
      <c r="E281" t="s">
        <v>43</v>
      </c>
      <c r="G281">
        <v>16</v>
      </c>
      <c r="H281">
        <v>0</v>
      </c>
      <c r="I281" t="s">
        <v>61</v>
      </c>
    </row>
    <row r="282" spans="1:9" x14ac:dyDescent="0.3">
      <c r="A282">
        <v>58.7</v>
      </c>
      <c r="B282">
        <v>1.19</v>
      </c>
      <c r="C282">
        <v>86.77</v>
      </c>
      <c r="E282" t="s">
        <v>43</v>
      </c>
      <c r="H282">
        <v>0</v>
      </c>
      <c r="I282" t="s">
        <v>34</v>
      </c>
    </row>
    <row r="283" spans="1:9" x14ac:dyDescent="0.3">
      <c r="A283">
        <v>57.1</v>
      </c>
      <c r="B283">
        <v>0.83</v>
      </c>
      <c r="C283">
        <v>79.63</v>
      </c>
      <c r="E283" t="s">
        <v>43</v>
      </c>
      <c r="F283" s="1">
        <v>45000</v>
      </c>
      <c r="H283">
        <v>0</v>
      </c>
      <c r="I283" t="s">
        <v>61</v>
      </c>
    </row>
    <row r="284" spans="1:9" x14ac:dyDescent="0.3">
      <c r="A284">
        <v>58.6</v>
      </c>
      <c r="B284">
        <v>0.56000000000000005</v>
      </c>
      <c r="C284">
        <v>76.599999999999994</v>
      </c>
      <c r="E284" t="s">
        <v>47</v>
      </c>
      <c r="F284" s="1">
        <v>44972</v>
      </c>
      <c r="H284">
        <v>1</v>
      </c>
      <c r="I284" t="s">
        <v>52</v>
      </c>
    </row>
    <row r="285" spans="1:9" x14ac:dyDescent="0.3">
      <c r="A285">
        <v>46</v>
      </c>
      <c r="B285">
        <v>0.87</v>
      </c>
      <c r="C285">
        <v>80.52</v>
      </c>
      <c r="E285" t="s">
        <v>42</v>
      </c>
      <c r="H285">
        <v>1</v>
      </c>
      <c r="I285" t="s">
        <v>52</v>
      </c>
    </row>
  </sheetData>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4DD77-BDA6-48A9-912D-0834CA9BF921}">
  <dimension ref="B1:M286"/>
  <sheetViews>
    <sheetView workbookViewId="0">
      <selection activeCell="N15" sqref="N15"/>
    </sheetView>
  </sheetViews>
  <sheetFormatPr defaultRowHeight="14.4" x14ac:dyDescent="0.3"/>
  <cols>
    <col min="8" max="8" width="13.109375" bestFit="1" customWidth="1"/>
    <col min="9" max="9" width="21.88671875" bestFit="1" customWidth="1"/>
  </cols>
  <sheetData>
    <row r="1" spans="2:13" x14ac:dyDescent="0.3">
      <c r="B1" s="75" t="s">
        <v>722</v>
      </c>
      <c r="C1" s="75"/>
      <c r="D1" s="75"/>
      <c r="E1" s="75"/>
      <c r="F1" s="75"/>
      <c r="G1" s="75"/>
      <c r="H1" s="75"/>
      <c r="I1" s="75"/>
      <c r="J1" s="75"/>
      <c r="K1" s="75"/>
      <c r="L1" s="75"/>
      <c r="M1" s="75"/>
    </row>
    <row r="2" spans="2:13" x14ac:dyDescent="0.3">
      <c r="B2" s="75" t="s">
        <v>723</v>
      </c>
      <c r="C2" s="75"/>
      <c r="D2" s="75"/>
      <c r="E2" s="75"/>
      <c r="F2" s="75"/>
      <c r="G2" s="75"/>
      <c r="H2" s="75"/>
      <c r="I2" s="75"/>
      <c r="J2" s="75"/>
      <c r="K2" s="75"/>
      <c r="L2" s="75"/>
      <c r="M2" s="75"/>
    </row>
    <row r="3" spans="2:13" x14ac:dyDescent="0.3">
      <c r="B3" s="75" t="s">
        <v>724</v>
      </c>
      <c r="C3" s="75"/>
      <c r="D3" s="75"/>
      <c r="E3" s="75"/>
      <c r="F3" s="75"/>
      <c r="G3" s="75"/>
      <c r="H3" s="75"/>
      <c r="I3" s="75"/>
      <c r="J3" s="75"/>
      <c r="K3" s="75"/>
      <c r="L3" s="75"/>
      <c r="M3" s="75"/>
    </row>
    <row r="6" spans="2:13" ht="28.8" x14ac:dyDescent="0.3">
      <c r="B6" s="2" t="s">
        <v>1</v>
      </c>
      <c r="C6" s="2" t="s">
        <v>19</v>
      </c>
      <c r="D6" s="2" t="s">
        <v>20</v>
      </c>
      <c r="E6" s="2" t="s">
        <v>21</v>
      </c>
      <c r="H6" s="4" t="s">
        <v>632</v>
      </c>
      <c r="I6" t="s">
        <v>637</v>
      </c>
    </row>
    <row r="7" spans="2:13" x14ac:dyDescent="0.3">
      <c r="B7" t="s">
        <v>28</v>
      </c>
      <c r="C7">
        <v>29</v>
      </c>
      <c r="D7">
        <v>188</v>
      </c>
      <c r="E7">
        <v>79</v>
      </c>
      <c r="H7" s="5" t="s">
        <v>28</v>
      </c>
      <c r="I7" s="9">
        <v>26.464788732394368</v>
      </c>
    </row>
    <row r="8" spans="2:13" x14ac:dyDescent="0.3">
      <c r="B8" t="s">
        <v>37</v>
      </c>
      <c r="C8">
        <v>27</v>
      </c>
      <c r="D8">
        <v>195</v>
      </c>
      <c r="E8">
        <v>86</v>
      </c>
      <c r="H8" s="5" t="s">
        <v>64</v>
      </c>
      <c r="I8" s="9">
        <v>29.742424242424242</v>
      </c>
    </row>
    <row r="9" spans="2:13" x14ac:dyDescent="0.3">
      <c r="B9" t="s">
        <v>37</v>
      </c>
      <c r="C9">
        <v>24</v>
      </c>
      <c r="D9">
        <v>197</v>
      </c>
      <c r="E9">
        <v>74</v>
      </c>
      <c r="H9" s="5" t="s">
        <v>37</v>
      </c>
      <c r="I9" s="9">
        <v>28.108108108108109</v>
      </c>
    </row>
    <row r="10" spans="2:13" x14ac:dyDescent="0.3">
      <c r="B10" t="s">
        <v>28</v>
      </c>
      <c r="C10">
        <v>30</v>
      </c>
      <c r="D10">
        <v>198</v>
      </c>
      <c r="E10">
        <v>65</v>
      </c>
      <c r="H10" s="5" t="s">
        <v>68</v>
      </c>
      <c r="I10" s="9">
        <v>27.811594202898551</v>
      </c>
    </row>
    <row r="11" spans="2:13" x14ac:dyDescent="0.3">
      <c r="B11" t="s">
        <v>28</v>
      </c>
      <c r="C11">
        <v>24</v>
      </c>
      <c r="D11">
        <v>196</v>
      </c>
      <c r="E11">
        <v>73</v>
      </c>
      <c r="H11" s="5" t="s">
        <v>633</v>
      </c>
      <c r="I11" s="9">
        <v>28.00357142857143</v>
      </c>
    </row>
    <row r="12" spans="2:13" x14ac:dyDescent="0.3">
      <c r="B12" t="s">
        <v>37</v>
      </c>
      <c r="C12">
        <v>34</v>
      </c>
      <c r="D12">
        <v>194</v>
      </c>
      <c r="E12">
        <v>70</v>
      </c>
    </row>
    <row r="13" spans="2:13" x14ac:dyDescent="0.3">
      <c r="B13" t="s">
        <v>28</v>
      </c>
      <c r="C13">
        <v>27</v>
      </c>
      <c r="D13">
        <v>166</v>
      </c>
      <c r="E13">
        <v>98</v>
      </c>
    </row>
    <row r="14" spans="2:13" x14ac:dyDescent="0.3">
      <c r="B14" t="s">
        <v>64</v>
      </c>
      <c r="C14">
        <v>27</v>
      </c>
      <c r="D14">
        <v>186</v>
      </c>
      <c r="E14">
        <v>68</v>
      </c>
    </row>
    <row r="15" spans="2:13" x14ac:dyDescent="0.3">
      <c r="B15" t="s">
        <v>68</v>
      </c>
      <c r="C15">
        <v>21</v>
      </c>
      <c r="D15">
        <v>187</v>
      </c>
      <c r="E15">
        <v>85</v>
      </c>
      <c r="H15" s="4" t="s">
        <v>632</v>
      </c>
      <c r="I15" t="s">
        <v>725</v>
      </c>
    </row>
    <row r="16" spans="2:13" x14ac:dyDescent="0.3">
      <c r="B16" t="s">
        <v>37</v>
      </c>
      <c r="C16">
        <v>37</v>
      </c>
      <c r="D16">
        <v>181</v>
      </c>
      <c r="E16">
        <v>75</v>
      </c>
      <c r="H16" s="5" t="s">
        <v>28</v>
      </c>
      <c r="I16" s="9">
        <v>178.77464788732394</v>
      </c>
    </row>
    <row r="17" spans="2:9" x14ac:dyDescent="0.3">
      <c r="B17" t="s">
        <v>37</v>
      </c>
      <c r="C17">
        <v>21</v>
      </c>
      <c r="D17">
        <v>173</v>
      </c>
      <c r="E17">
        <v>64</v>
      </c>
      <c r="H17" s="5" t="s">
        <v>64</v>
      </c>
      <c r="I17" s="9">
        <v>182.18181818181819</v>
      </c>
    </row>
    <row r="18" spans="2:9" x14ac:dyDescent="0.3">
      <c r="B18" t="s">
        <v>64</v>
      </c>
      <c r="C18">
        <v>39</v>
      </c>
      <c r="D18">
        <v>166</v>
      </c>
      <c r="E18">
        <v>69</v>
      </c>
      <c r="H18" s="5" t="s">
        <v>37</v>
      </c>
      <c r="I18" s="9">
        <v>179.70270270270271</v>
      </c>
    </row>
    <row r="19" spans="2:9" x14ac:dyDescent="0.3">
      <c r="B19" t="s">
        <v>37</v>
      </c>
      <c r="C19">
        <v>24</v>
      </c>
      <c r="D19">
        <v>196</v>
      </c>
      <c r="E19">
        <v>62</v>
      </c>
      <c r="H19" s="5" t="s">
        <v>68</v>
      </c>
      <c r="I19" s="9">
        <v>181.24637681159419</v>
      </c>
    </row>
    <row r="20" spans="2:9" x14ac:dyDescent="0.3">
      <c r="B20" t="s">
        <v>64</v>
      </c>
      <c r="C20">
        <v>39</v>
      </c>
      <c r="D20">
        <v>181</v>
      </c>
      <c r="E20">
        <v>72</v>
      </c>
      <c r="H20" s="5" t="s">
        <v>633</v>
      </c>
      <c r="I20" s="9">
        <v>180.43214285714285</v>
      </c>
    </row>
    <row r="21" spans="2:9" x14ac:dyDescent="0.3">
      <c r="B21" t="s">
        <v>37</v>
      </c>
      <c r="C21">
        <v>18</v>
      </c>
      <c r="D21">
        <v>164</v>
      </c>
      <c r="E21">
        <v>89</v>
      </c>
    </row>
    <row r="22" spans="2:9" x14ac:dyDescent="0.3">
      <c r="B22" t="s">
        <v>28</v>
      </c>
      <c r="C22">
        <v>29</v>
      </c>
      <c r="D22">
        <v>161</v>
      </c>
      <c r="E22">
        <v>65</v>
      </c>
    </row>
    <row r="23" spans="2:9" x14ac:dyDescent="0.3">
      <c r="B23" t="s">
        <v>68</v>
      </c>
      <c r="C23">
        <v>30</v>
      </c>
      <c r="D23">
        <v>186</v>
      </c>
      <c r="E23">
        <v>76</v>
      </c>
      <c r="H23" s="4" t="s">
        <v>632</v>
      </c>
      <c r="I23" t="s">
        <v>726</v>
      </c>
    </row>
    <row r="24" spans="2:9" x14ac:dyDescent="0.3">
      <c r="B24" t="s">
        <v>68</v>
      </c>
      <c r="C24">
        <v>27</v>
      </c>
      <c r="D24">
        <v>180</v>
      </c>
      <c r="E24">
        <v>78</v>
      </c>
      <c r="H24" s="5" t="s">
        <v>28</v>
      </c>
      <c r="I24" s="9">
        <v>79.338028169014081</v>
      </c>
    </row>
    <row r="25" spans="2:9" x14ac:dyDescent="0.3">
      <c r="B25" t="s">
        <v>64</v>
      </c>
      <c r="C25">
        <v>32</v>
      </c>
      <c r="D25">
        <v>197</v>
      </c>
      <c r="E25">
        <v>94</v>
      </c>
      <c r="H25" s="5" t="s">
        <v>64</v>
      </c>
      <c r="I25" s="9">
        <v>79.151515151515156</v>
      </c>
    </row>
    <row r="26" spans="2:9" x14ac:dyDescent="0.3">
      <c r="B26" t="s">
        <v>28</v>
      </c>
      <c r="C26">
        <v>30</v>
      </c>
      <c r="D26">
        <v>174</v>
      </c>
      <c r="E26">
        <v>85</v>
      </c>
      <c r="H26" s="5" t="s">
        <v>37</v>
      </c>
      <c r="I26" s="9">
        <v>78.540540540540547</v>
      </c>
    </row>
    <row r="27" spans="2:9" x14ac:dyDescent="0.3">
      <c r="B27" t="s">
        <v>64</v>
      </c>
      <c r="C27">
        <v>39</v>
      </c>
      <c r="D27">
        <v>180</v>
      </c>
      <c r="E27">
        <v>64</v>
      </c>
      <c r="H27" s="5" t="s">
        <v>68</v>
      </c>
      <c r="I27" s="9">
        <v>80.20289855072464</v>
      </c>
    </row>
    <row r="28" spans="2:9" x14ac:dyDescent="0.3">
      <c r="B28" t="s">
        <v>68</v>
      </c>
      <c r="C28">
        <v>39</v>
      </c>
      <c r="D28">
        <v>169</v>
      </c>
      <c r="E28">
        <v>88</v>
      </c>
      <c r="H28" s="5" t="s">
        <v>633</v>
      </c>
      <c r="I28" s="9">
        <v>79.296428571428578</v>
      </c>
    </row>
    <row r="29" spans="2:9" x14ac:dyDescent="0.3">
      <c r="B29" t="s">
        <v>64</v>
      </c>
      <c r="C29">
        <v>38</v>
      </c>
      <c r="D29">
        <v>182</v>
      </c>
      <c r="E29">
        <v>96</v>
      </c>
    </row>
    <row r="30" spans="2:9" x14ac:dyDescent="0.3">
      <c r="B30" t="s">
        <v>64</v>
      </c>
      <c r="C30">
        <v>39</v>
      </c>
      <c r="D30">
        <v>198</v>
      </c>
      <c r="E30">
        <v>79</v>
      </c>
    </row>
    <row r="31" spans="2:9" x14ac:dyDescent="0.3">
      <c r="B31" t="s">
        <v>28</v>
      </c>
      <c r="C31">
        <v>26</v>
      </c>
      <c r="D31">
        <v>164</v>
      </c>
      <c r="E31">
        <v>80</v>
      </c>
    </row>
    <row r="32" spans="2:9" x14ac:dyDescent="0.3">
      <c r="B32" t="s">
        <v>37</v>
      </c>
      <c r="C32">
        <v>26</v>
      </c>
      <c r="D32">
        <v>160</v>
      </c>
      <c r="E32">
        <v>69</v>
      </c>
    </row>
    <row r="33" spans="2:5" x14ac:dyDescent="0.3">
      <c r="B33" t="s">
        <v>37</v>
      </c>
      <c r="C33">
        <v>32</v>
      </c>
      <c r="D33">
        <v>172</v>
      </c>
      <c r="E33">
        <v>64</v>
      </c>
    </row>
    <row r="34" spans="2:5" x14ac:dyDescent="0.3">
      <c r="B34" t="s">
        <v>64</v>
      </c>
      <c r="C34">
        <v>27</v>
      </c>
      <c r="D34">
        <v>180</v>
      </c>
      <c r="E34">
        <v>95</v>
      </c>
    </row>
    <row r="35" spans="2:5" x14ac:dyDescent="0.3">
      <c r="B35" t="s">
        <v>68</v>
      </c>
      <c r="C35">
        <v>27</v>
      </c>
      <c r="D35">
        <v>185</v>
      </c>
      <c r="E35">
        <v>65</v>
      </c>
    </row>
    <row r="36" spans="2:5" x14ac:dyDescent="0.3">
      <c r="B36" t="s">
        <v>68</v>
      </c>
      <c r="C36">
        <v>25</v>
      </c>
      <c r="D36">
        <v>180</v>
      </c>
      <c r="E36">
        <v>85</v>
      </c>
    </row>
    <row r="37" spans="2:5" x14ac:dyDescent="0.3">
      <c r="B37" t="s">
        <v>68</v>
      </c>
      <c r="C37">
        <v>33</v>
      </c>
      <c r="D37">
        <v>177</v>
      </c>
      <c r="E37">
        <v>63</v>
      </c>
    </row>
    <row r="38" spans="2:5" x14ac:dyDescent="0.3">
      <c r="B38" t="s">
        <v>28</v>
      </c>
      <c r="C38">
        <v>34</v>
      </c>
      <c r="D38">
        <v>196</v>
      </c>
      <c r="E38">
        <v>98</v>
      </c>
    </row>
    <row r="39" spans="2:5" x14ac:dyDescent="0.3">
      <c r="B39" t="s">
        <v>28</v>
      </c>
      <c r="C39">
        <v>22</v>
      </c>
      <c r="D39">
        <v>191</v>
      </c>
      <c r="E39">
        <v>98</v>
      </c>
    </row>
    <row r="40" spans="2:5" x14ac:dyDescent="0.3">
      <c r="B40" t="s">
        <v>68</v>
      </c>
      <c r="C40">
        <v>21</v>
      </c>
      <c r="D40">
        <v>195</v>
      </c>
      <c r="E40">
        <v>94</v>
      </c>
    </row>
    <row r="41" spans="2:5" x14ac:dyDescent="0.3">
      <c r="B41" t="s">
        <v>64</v>
      </c>
      <c r="C41">
        <v>35</v>
      </c>
      <c r="D41">
        <v>176</v>
      </c>
      <c r="E41">
        <v>60</v>
      </c>
    </row>
    <row r="42" spans="2:5" x14ac:dyDescent="0.3">
      <c r="B42" t="s">
        <v>64</v>
      </c>
      <c r="C42">
        <v>36</v>
      </c>
      <c r="D42">
        <v>194</v>
      </c>
      <c r="E42">
        <v>83</v>
      </c>
    </row>
    <row r="43" spans="2:5" x14ac:dyDescent="0.3">
      <c r="B43" t="s">
        <v>28</v>
      </c>
      <c r="C43">
        <v>21</v>
      </c>
      <c r="D43">
        <v>170</v>
      </c>
      <c r="E43">
        <v>95</v>
      </c>
    </row>
    <row r="44" spans="2:5" x14ac:dyDescent="0.3">
      <c r="B44" t="s">
        <v>64</v>
      </c>
      <c r="C44">
        <v>24</v>
      </c>
      <c r="D44">
        <v>180</v>
      </c>
      <c r="E44">
        <v>65</v>
      </c>
    </row>
    <row r="45" spans="2:5" x14ac:dyDescent="0.3">
      <c r="B45" t="s">
        <v>68</v>
      </c>
      <c r="C45">
        <v>27</v>
      </c>
      <c r="D45">
        <v>185</v>
      </c>
      <c r="E45">
        <v>90</v>
      </c>
    </row>
    <row r="46" spans="2:5" x14ac:dyDescent="0.3">
      <c r="B46" t="s">
        <v>28</v>
      </c>
      <c r="C46">
        <v>35</v>
      </c>
      <c r="D46">
        <v>163</v>
      </c>
      <c r="E46">
        <v>79</v>
      </c>
    </row>
    <row r="47" spans="2:5" x14ac:dyDescent="0.3">
      <c r="B47" t="s">
        <v>64</v>
      </c>
      <c r="C47">
        <v>36</v>
      </c>
      <c r="D47">
        <v>193</v>
      </c>
      <c r="E47">
        <v>83</v>
      </c>
    </row>
    <row r="48" spans="2:5" x14ac:dyDescent="0.3">
      <c r="B48" t="s">
        <v>28</v>
      </c>
      <c r="C48">
        <v>21</v>
      </c>
      <c r="D48">
        <v>177</v>
      </c>
      <c r="E48">
        <v>84</v>
      </c>
    </row>
    <row r="49" spans="2:5" x14ac:dyDescent="0.3">
      <c r="B49" t="s">
        <v>64</v>
      </c>
      <c r="C49">
        <v>27</v>
      </c>
      <c r="D49">
        <v>199</v>
      </c>
      <c r="E49">
        <v>95</v>
      </c>
    </row>
    <row r="50" spans="2:5" x14ac:dyDescent="0.3">
      <c r="B50" t="s">
        <v>28</v>
      </c>
      <c r="C50">
        <v>18</v>
      </c>
      <c r="D50">
        <v>194</v>
      </c>
      <c r="E50">
        <v>80</v>
      </c>
    </row>
    <row r="51" spans="2:5" x14ac:dyDescent="0.3">
      <c r="B51" t="s">
        <v>64</v>
      </c>
      <c r="C51">
        <v>35</v>
      </c>
      <c r="D51">
        <v>188</v>
      </c>
      <c r="E51">
        <v>89</v>
      </c>
    </row>
    <row r="52" spans="2:5" x14ac:dyDescent="0.3">
      <c r="B52" t="s">
        <v>28</v>
      </c>
      <c r="C52">
        <v>22</v>
      </c>
      <c r="D52">
        <v>188</v>
      </c>
      <c r="E52">
        <v>83</v>
      </c>
    </row>
    <row r="53" spans="2:5" x14ac:dyDescent="0.3">
      <c r="B53" t="s">
        <v>68</v>
      </c>
      <c r="C53">
        <v>32</v>
      </c>
      <c r="D53">
        <v>197</v>
      </c>
      <c r="E53">
        <v>89</v>
      </c>
    </row>
    <row r="54" spans="2:5" x14ac:dyDescent="0.3">
      <c r="B54" t="s">
        <v>37</v>
      </c>
      <c r="C54">
        <v>34</v>
      </c>
      <c r="D54">
        <v>180</v>
      </c>
      <c r="E54">
        <v>81</v>
      </c>
    </row>
    <row r="55" spans="2:5" x14ac:dyDescent="0.3">
      <c r="B55" t="s">
        <v>64</v>
      </c>
      <c r="C55">
        <v>20</v>
      </c>
      <c r="D55">
        <v>172</v>
      </c>
      <c r="E55">
        <v>87</v>
      </c>
    </row>
    <row r="56" spans="2:5" x14ac:dyDescent="0.3">
      <c r="B56" t="s">
        <v>68</v>
      </c>
      <c r="C56">
        <v>29</v>
      </c>
      <c r="D56">
        <v>176</v>
      </c>
      <c r="E56">
        <v>66</v>
      </c>
    </row>
    <row r="57" spans="2:5" x14ac:dyDescent="0.3">
      <c r="B57" t="s">
        <v>64</v>
      </c>
      <c r="C57">
        <v>19</v>
      </c>
      <c r="D57">
        <v>168</v>
      </c>
      <c r="E57">
        <v>94</v>
      </c>
    </row>
    <row r="58" spans="2:5" x14ac:dyDescent="0.3">
      <c r="B58" t="s">
        <v>37</v>
      </c>
      <c r="C58">
        <v>18</v>
      </c>
      <c r="D58">
        <v>160</v>
      </c>
      <c r="E58">
        <v>87</v>
      </c>
    </row>
    <row r="59" spans="2:5" x14ac:dyDescent="0.3">
      <c r="B59" t="s">
        <v>68</v>
      </c>
      <c r="C59">
        <v>38</v>
      </c>
      <c r="D59">
        <v>161</v>
      </c>
      <c r="E59">
        <v>73</v>
      </c>
    </row>
    <row r="60" spans="2:5" x14ac:dyDescent="0.3">
      <c r="B60" t="s">
        <v>64</v>
      </c>
      <c r="C60">
        <v>34</v>
      </c>
      <c r="D60">
        <v>188</v>
      </c>
      <c r="E60">
        <v>69</v>
      </c>
    </row>
    <row r="61" spans="2:5" x14ac:dyDescent="0.3">
      <c r="B61" t="s">
        <v>28</v>
      </c>
      <c r="C61">
        <v>39</v>
      </c>
      <c r="D61">
        <v>192</v>
      </c>
      <c r="E61">
        <v>75</v>
      </c>
    </row>
    <row r="62" spans="2:5" x14ac:dyDescent="0.3">
      <c r="B62" t="s">
        <v>68</v>
      </c>
      <c r="C62">
        <v>33</v>
      </c>
      <c r="D62">
        <v>169</v>
      </c>
      <c r="E62">
        <v>75</v>
      </c>
    </row>
    <row r="63" spans="2:5" x14ac:dyDescent="0.3">
      <c r="B63" t="s">
        <v>28</v>
      </c>
      <c r="C63">
        <v>22</v>
      </c>
      <c r="D63">
        <v>199</v>
      </c>
      <c r="E63">
        <v>90</v>
      </c>
    </row>
    <row r="64" spans="2:5" x14ac:dyDescent="0.3">
      <c r="B64" t="s">
        <v>37</v>
      </c>
      <c r="C64">
        <v>32</v>
      </c>
      <c r="D64">
        <v>180</v>
      </c>
      <c r="E64">
        <v>84</v>
      </c>
    </row>
    <row r="65" spans="2:5" x14ac:dyDescent="0.3">
      <c r="B65" t="s">
        <v>37</v>
      </c>
      <c r="C65">
        <v>20</v>
      </c>
      <c r="D65">
        <v>187</v>
      </c>
      <c r="E65">
        <v>72</v>
      </c>
    </row>
    <row r="66" spans="2:5" x14ac:dyDescent="0.3">
      <c r="B66" t="s">
        <v>28</v>
      </c>
      <c r="C66">
        <v>24</v>
      </c>
      <c r="D66">
        <v>170</v>
      </c>
      <c r="E66">
        <v>65</v>
      </c>
    </row>
    <row r="67" spans="2:5" x14ac:dyDescent="0.3">
      <c r="B67" t="s">
        <v>68</v>
      </c>
      <c r="C67">
        <v>28</v>
      </c>
      <c r="D67">
        <v>193</v>
      </c>
      <c r="E67">
        <v>68</v>
      </c>
    </row>
    <row r="68" spans="2:5" x14ac:dyDescent="0.3">
      <c r="B68" t="s">
        <v>68</v>
      </c>
      <c r="C68">
        <v>27</v>
      </c>
      <c r="D68">
        <v>167</v>
      </c>
      <c r="E68">
        <v>95</v>
      </c>
    </row>
    <row r="69" spans="2:5" x14ac:dyDescent="0.3">
      <c r="B69" t="s">
        <v>68</v>
      </c>
      <c r="C69">
        <v>26</v>
      </c>
      <c r="D69">
        <v>181</v>
      </c>
      <c r="E69">
        <v>79</v>
      </c>
    </row>
    <row r="70" spans="2:5" x14ac:dyDescent="0.3">
      <c r="B70" t="s">
        <v>68</v>
      </c>
      <c r="C70">
        <v>31</v>
      </c>
      <c r="D70">
        <v>167</v>
      </c>
      <c r="E70">
        <v>77</v>
      </c>
    </row>
    <row r="71" spans="2:5" x14ac:dyDescent="0.3">
      <c r="B71" t="s">
        <v>37</v>
      </c>
      <c r="C71">
        <v>30</v>
      </c>
      <c r="D71">
        <v>174</v>
      </c>
      <c r="E71">
        <v>80</v>
      </c>
    </row>
    <row r="72" spans="2:5" x14ac:dyDescent="0.3">
      <c r="B72" t="s">
        <v>28</v>
      </c>
      <c r="C72">
        <v>19</v>
      </c>
      <c r="D72">
        <v>176</v>
      </c>
      <c r="E72">
        <v>63</v>
      </c>
    </row>
    <row r="73" spans="2:5" x14ac:dyDescent="0.3">
      <c r="B73" t="s">
        <v>37</v>
      </c>
      <c r="C73">
        <v>20</v>
      </c>
      <c r="D73">
        <v>182</v>
      </c>
      <c r="E73">
        <v>92</v>
      </c>
    </row>
    <row r="74" spans="2:5" x14ac:dyDescent="0.3">
      <c r="B74" t="s">
        <v>64</v>
      </c>
      <c r="C74">
        <v>24</v>
      </c>
      <c r="D74">
        <v>183</v>
      </c>
      <c r="E74">
        <v>86</v>
      </c>
    </row>
    <row r="75" spans="2:5" x14ac:dyDescent="0.3">
      <c r="B75" t="s">
        <v>37</v>
      </c>
      <c r="C75">
        <v>38</v>
      </c>
      <c r="D75">
        <v>178</v>
      </c>
      <c r="E75">
        <v>66</v>
      </c>
    </row>
    <row r="76" spans="2:5" x14ac:dyDescent="0.3">
      <c r="B76" t="s">
        <v>28</v>
      </c>
      <c r="C76">
        <v>35</v>
      </c>
      <c r="D76">
        <v>164</v>
      </c>
      <c r="E76">
        <v>65</v>
      </c>
    </row>
    <row r="77" spans="2:5" x14ac:dyDescent="0.3">
      <c r="B77" t="s">
        <v>64</v>
      </c>
      <c r="C77">
        <v>20</v>
      </c>
      <c r="D77">
        <v>191</v>
      </c>
      <c r="E77">
        <v>74</v>
      </c>
    </row>
    <row r="78" spans="2:5" x14ac:dyDescent="0.3">
      <c r="B78" t="s">
        <v>28</v>
      </c>
      <c r="C78">
        <v>27</v>
      </c>
      <c r="D78">
        <v>160</v>
      </c>
      <c r="E78">
        <v>77</v>
      </c>
    </row>
    <row r="79" spans="2:5" x14ac:dyDescent="0.3">
      <c r="B79" t="s">
        <v>28</v>
      </c>
      <c r="C79">
        <v>39</v>
      </c>
      <c r="D79">
        <v>182</v>
      </c>
      <c r="E79">
        <v>91</v>
      </c>
    </row>
    <row r="80" spans="2:5" x14ac:dyDescent="0.3">
      <c r="B80" t="s">
        <v>28</v>
      </c>
      <c r="C80">
        <v>24</v>
      </c>
      <c r="D80">
        <v>196</v>
      </c>
      <c r="E80">
        <v>70</v>
      </c>
    </row>
    <row r="81" spans="2:5" x14ac:dyDescent="0.3">
      <c r="B81" t="s">
        <v>28</v>
      </c>
      <c r="C81">
        <v>26</v>
      </c>
      <c r="D81">
        <v>167</v>
      </c>
      <c r="E81">
        <v>79</v>
      </c>
    </row>
    <row r="82" spans="2:5" x14ac:dyDescent="0.3">
      <c r="B82" t="s">
        <v>37</v>
      </c>
      <c r="C82">
        <v>34</v>
      </c>
      <c r="D82">
        <v>172</v>
      </c>
      <c r="E82">
        <v>83</v>
      </c>
    </row>
    <row r="83" spans="2:5" x14ac:dyDescent="0.3">
      <c r="B83" t="s">
        <v>68</v>
      </c>
      <c r="C83">
        <v>28</v>
      </c>
      <c r="D83">
        <v>167</v>
      </c>
      <c r="E83">
        <v>74</v>
      </c>
    </row>
    <row r="84" spans="2:5" x14ac:dyDescent="0.3">
      <c r="B84" t="s">
        <v>37</v>
      </c>
      <c r="C84">
        <v>24</v>
      </c>
      <c r="D84">
        <v>182</v>
      </c>
      <c r="E84">
        <v>66</v>
      </c>
    </row>
    <row r="85" spans="2:5" x14ac:dyDescent="0.3">
      <c r="B85" t="s">
        <v>37</v>
      </c>
      <c r="C85">
        <v>31</v>
      </c>
      <c r="D85">
        <v>160</v>
      </c>
      <c r="E85">
        <v>80</v>
      </c>
    </row>
    <row r="86" spans="2:5" x14ac:dyDescent="0.3">
      <c r="B86" t="s">
        <v>68</v>
      </c>
      <c r="C86">
        <v>36</v>
      </c>
      <c r="D86">
        <v>183</v>
      </c>
      <c r="E86">
        <v>85</v>
      </c>
    </row>
    <row r="87" spans="2:5" x14ac:dyDescent="0.3">
      <c r="B87" t="s">
        <v>68</v>
      </c>
      <c r="C87">
        <v>21</v>
      </c>
      <c r="D87">
        <v>194</v>
      </c>
      <c r="E87">
        <v>73</v>
      </c>
    </row>
    <row r="88" spans="2:5" x14ac:dyDescent="0.3">
      <c r="B88" t="s">
        <v>64</v>
      </c>
      <c r="C88">
        <v>23</v>
      </c>
      <c r="D88">
        <v>183</v>
      </c>
      <c r="E88">
        <v>96</v>
      </c>
    </row>
    <row r="89" spans="2:5" x14ac:dyDescent="0.3">
      <c r="B89" t="s">
        <v>37</v>
      </c>
      <c r="C89">
        <v>27</v>
      </c>
      <c r="D89">
        <v>176</v>
      </c>
      <c r="E89">
        <v>80</v>
      </c>
    </row>
    <row r="90" spans="2:5" x14ac:dyDescent="0.3">
      <c r="B90" t="s">
        <v>64</v>
      </c>
      <c r="C90">
        <v>24</v>
      </c>
      <c r="D90">
        <v>164</v>
      </c>
      <c r="E90">
        <v>77</v>
      </c>
    </row>
    <row r="91" spans="2:5" x14ac:dyDescent="0.3">
      <c r="B91" t="s">
        <v>28</v>
      </c>
      <c r="C91">
        <v>30</v>
      </c>
      <c r="D91">
        <v>179</v>
      </c>
      <c r="E91">
        <v>64</v>
      </c>
    </row>
    <row r="92" spans="2:5" x14ac:dyDescent="0.3">
      <c r="B92" t="s">
        <v>28</v>
      </c>
      <c r="C92">
        <v>31</v>
      </c>
      <c r="D92">
        <v>180</v>
      </c>
      <c r="E92">
        <v>62</v>
      </c>
    </row>
    <row r="93" spans="2:5" x14ac:dyDescent="0.3">
      <c r="B93" t="s">
        <v>37</v>
      </c>
      <c r="C93">
        <v>21</v>
      </c>
      <c r="D93">
        <v>199</v>
      </c>
      <c r="E93">
        <v>82</v>
      </c>
    </row>
    <row r="94" spans="2:5" x14ac:dyDescent="0.3">
      <c r="B94" t="s">
        <v>68</v>
      </c>
      <c r="C94">
        <v>25</v>
      </c>
      <c r="D94">
        <v>190</v>
      </c>
      <c r="E94">
        <v>85</v>
      </c>
    </row>
    <row r="95" spans="2:5" x14ac:dyDescent="0.3">
      <c r="B95" t="s">
        <v>68</v>
      </c>
      <c r="C95">
        <v>22</v>
      </c>
      <c r="D95">
        <v>195</v>
      </c>
      <c r="E95">
        <v>96</v>
      </c>
    </row>
    <row r="96" spans="2:5" x14ac:dyDescent="0.3">
      <c r="B96" t="s">
        <v>37</v>
      </c>
      <c r="C96">
        <v>18</v>
      </c>
      <c r="D96">
        <v>170</v>
      </c>
      <c r="E96">
        <v>83</v>
      </c>
    </row>
    <row r="97" spans="2:5" x14ac:dyDescent="0.3">
      <c r="B97" t="s">
        <v>28</v>
      </c>
      <c r="C97">
        <v>21</v>
      </c>
      <c r="D97">
        <v>174</v>
      </c>
      <c r="E97">
        <v>78</v>
      </c>
    </row>
    <row r="98" spans="2:5" x14ac:dyDescent="0.3">
      <c r="B98" t="s">
        <v>28</v>
      </c>
      <c r="C98">
        <v>20</v>
      </c>
      <c r="D98">
        <v>178</v>
      </c>
      <c r="E98">
        <v>84</v>
      </c>
    </row>
    <row r="99" spans="2:5" x14ac:dyDescent="0.3">
      <c r="B99" t="s">
        <v>64</v>
      </c>
      <c r="C99">
        <v>26</v>
      </c>
      <c r="D99">
        <v>166</v>
      </c>
      <c r="E99">
        <v>80</v>
      </c>
    </row>
    <row r="100" spans="2:5" x14ac:dyDescent="0.3">
      <c r="B100" t="s">
        <v>37</v>
      </c>
      <c r="C100">
        <v>25</v>
      </c>
      <c r="D100">
        <v>187</v>
      </c>
      <c r="E100">
        <v>71</v>
      </c>
    </row>
    <row r="101" spans="2:5" x14ac:dyDescent="0.3">
      <c r="B101" t="s">
        <v>28</v>
      </c>
      <c r="C101">
        <v>18</v>
      </c>
      <c r="D101">
        <v>164</v>
      </c>
      <c r="E101">
        <v>92</v>
      </c>
    </row>
    <row r="102" spans="2:5" x14ac:dyDescent="0.3">
      <c r="B102" t="s">
        <v>37</v>
      </c>
      <c r="C102">
        <v>23</v>
      </c>
      <c r="D102">
        <v>164</v>
      </c>
      <c r="E102">
        <v>63</v>
      </c>
    </row>
    <row r="103" spans="2:5" x14ac:dyDescent="0.3">
      <c r="B103" t="s">
        <v>68</v>
      </c>
      <c r="C103">
        <v>26</v>
      </c>
      <c r="D103">
        <v>189</v>
      </c>
      <c r="E103">
        <v>66</v>
      </c>
    </row>
    <row r="104" spans="2:5" x14ac:dyDescent="0.3">
      <c r="B104" t="s">
        <v>28</v>
      </c>
      <c r="C104">
        <v>24</v>
      </c>
      <c r="D104">
        <v>191</v>
      </c>
      <c r="E104">
        <v>81</v>
      </c>
    </row>
    <row r="105" spans="2:5" x14ac:dyDescent="0.3">
      <c r="B105" t="s">
        <v>68</v>
      </c>
      <c r="C105">
        <v>21</v>
      </c>
      <c r="D105">
        <v>167</v>
      </c>
      <c r="E105">
        <v>92</v>
      </c>
    </row>
    <row r="106" spans="2:5" x14ac:dyDescent="0.3">
      <c r="B106" t="s">
        <v>68</v>
      </c>
      <c r="C106">
        <v>30</v>
      </c>
      <c r="D106">
        <v>169</v>
      </c>
      <c r="E106">
        <v>76</v>
      </c>
    </row>
    <row r="107" spans="2:5" x14ac:dyDescent="0.3">
      <c r="B107" t="s">
        <v>68</v>
      </c>
      <c r="C107">
        <v>34</v>
      </c>
      <c r="D107">
        <v>197</v>
      </c>
      <c r="E107">
        <v>83</v>
      </c>
    </row>
    <row r="108" spans="2:5" x14ac:dyDescent="0.3">
      <c r="B108" t="s">
        <v>68</v>
      </c>
      <c r="C108">
        <v>19</v>
      </c>
      <c r="D108">
        <v>191</v>
      </c>
      <c r="E108">
        <v>93</v>
      </c>
    </row>
    <row r="109" spans="2:5" x14ac:dyDescent="0.3">
      <c r="B109" t="s">
        <v>64</v>
      </c>
      <c r="C109">
        <v>22</v>
      </c>
      <c r="D109">
        <v>187</v>
      </c>
      <c r="E109">
        <v>87</v>
      </c>
    </row>
    <row r="110" spans="2:5" x14ac:dyDescent="0.3">
      <c r="B110" t="s">
        <v>64</v>
      </c>
      <c r="C110">
        <v>29</v>
      </c>
      <c r="D110">
        <v>176</v>
      </c>
      <c r="E110">
        <v>98</v>
      </c>
    </row>
    <row r="111" spans="2:5" x14ac:dyDescent="0.3">
      <c r="B111" t="s">
        <v>68</v>
      </c>
      <c r="C111">
        <v>38</v>
      </c>
      <c r="D111">
        <v>190</v>
      </c>
      <c r="E111">
        <v>81</v>
      </c>
    </row>
    <row r="112" spans="2:5" x14ac:dyDescent="0.3">
      <c r="B112" t="s">
        <v>64</v>
      </c>
      <c r="C112">
        <v>25</v>
      </c>
      <c r="D112">
        <v>167</v>
      </c>
      <c r="E112">
        <v>76</v>
      </c>
    </row>
    <row r="113" spans="2:5" x14ac:dyDescent="0.3">
      <c r="B113" t="s">
        <v>68</v>
      </c>
      <c r="C113">
        <v>23</v>
      </c>
      <c r="D113">
        <v>199</v>
      </c>
      <c r="E113">
        <v>93</v>
      </c>
    </row>
    <row r="114" spans="2:5" x14ac:dyDescent="0.3">
      <c r="B114" t="s">
        <v>37</v>
      </c>
      <c r="C114">
        <v>25</v>
      </c>
      <c r="D114">
        <v>184</v>
      </c>
      <c r="E114">
        <v>65</v>
      </c>
    </row>
    <row r="115" spans="2:5" x14ac:dyDescent="0.3">
      <c r="B115" t="s">
        <v>64</v>
      </c>
      <c r="C115">
        <v>35</v>
      </c>
      <c r="D115">
        <v>168</v>
      </c>
      <c r="E115">
        <v>65</v>
      </c>
    </row>
    <row r="116" spans="2:5" x14ac:dyDescent="0.3">
      <c r="B116" t="s">
        <v>28</v>
      </c>
      <c r="C116">
        <v>20</v>
      </c>
      <c r="D116">
        <v>161</v>
      </c>
      <c r="E116">
        <v>93</v>
      </c>
    </row>
    <row r="117" spans="2:5" x14ac:dyDescent="0.3">
      <c r="B117" t="s">
        <v>68</v>
      </c>
      <c r="C117">
        <v>39</v>
      </c>
      <c r="D117">
        <v>174</v>
      </c>
      <c r="E117">
        <v>60</v>
      </c>
    </row>
    <row r="118" spans="2:5" x14ac:dyDescent="0.3">
      <c r="B118" t="s">
        <v>28</v>
      </c>
      <c r="C118">
        <v>29</v>
      </c>
      <c r="D118">
        <v>162</v>
      </c>
      <c r="E118">
        <v>69</v>
      </c>
    </row>
    <row r="119" spans="2:5" x14ac:dyDescent="0.3">
      <c r="B119" t="s">
        <v>37</v>
      </c>
      <c r="C119">
        <v>20</v>
      </c>
      <c r="D119">
        <v>195</v>
      </c>
      <c r="E119">
        <v>80</v>
      </c>
    </row>
    <row r="120" spans="2:5" x14ac:dyDescent="0.3">
      <c r="B120" t="s">
        <v>37</v>
      </c>
      <c r="C120">
        <v>39</v>
      </c>
      <c r="D120">
        <v>163</v>
      </c>
      <c r="E120">
        <v>64</v>
      </c>
    </row>
    <row r="121" spans="2:5" x14ac:dyDescent="0.3">
      <c r="B121" t="s">
        <v>64</v>
      </c>
      <c r="C121">
        <v>23</v>
      </c>
      <c r="D121">
        <v>173</v>
      </c>
      <c r="E121">
        <v>61</v>
      </c>
    </row>
    <row r="122" spans="2:5" x14ac:dyDescent="0.3">
      <c r="B122" t="s">
        <v>68</v>
      </c>
      <c r="C122">
        <v>19</v>
      </c>
      <c r="D122">
        <v>184</v>
      </c>
      <c r="E122">
        <v>81</v>
      </c>
    </row>
    <row r="123" spans="2:5" x14ac:dyDescent="0.3">
      <c r="B123" t="s">
        <v>37</v>
      </c>
      <c r="C123">
        <v>29</v>
      </c>
      <c r="D123">
        <v>169</v>
      </c>
      <c r="E123">
        <v>61</v>
      </c>
    </row>
    <row r="124" spans="2:5" x14ac:dyDescent="0.3">
      <c r="B124" t="s">
        <v>68</v>
      </c>
      <c r="C124">
        <v>19</v>
      </c>
      <c r="D124">
        <v>180</v>
      </c>
      <c r="E124">
        <v>69</v>
      </c>
    </row>
    <row r="125" spans="2:5" x14ac:dyDescent="0.3">
      <c r="B125" t="s">
        <v>64</v>
      </c>
      <c r="C125">
        <v>23</v>
      </c>
      <c r="D125">
        <v>195</v>
      </c>
      <c r="E125">
        <v>93</v>
      </c>
    </row>
    <row r="126" spans="2:5" x14ac:dyDescent="0.3">
      <c r="B126" t="s">
        <v>64</v>
      </c>
      <c r="C126">
        <v>34</v>
      </c>
      <c r="D126">
        <v>171</v>
      </c>
      <c r="E126">
        <v>75</v>
      </c>
    </row>
    <row r="127" spans="2:5" x14ac:dyDescent="0.3">
      <c r="B127" t="s">
        <v>64</v>
      </c>
      <c r="C127">
        <v>20</v>
      </c>
      <c r="D127">
        <v>186</v>
      </c>
      <c r="E127">
        <v>98</v>
      </c>
    </row>
    <row r="128" spans="2:5" x14ac:dyDescent="0.3">
      <c r="B128" t="s">
        <v>64</v>
      </c>
      <c r="C128">
        <v>19</v>
      </c>
      <c r="D128">
        <v>199</v>
      </c>
      <c r="E128">
        <v>81</v>
      </c>
    </row>
    <row r="129" spans="2:5" x14ac:dyDescent="0.3">
      <c r="B129" t="s">
        <v>37</v>
      </c>
      <c r="C129">
        <v>37</v>
      </c>
      <c r="D129">
        <v>161</v>
      </c>
      <c r="E129">
        <v>71</v>
      </c>
    </row>
    <row r="130" spans="2:5" x14ac:dyDescent="0.3">
      <c r="B130" t="s">
        <v>28</v>
      </c>
      <c r="C130">
        <v>25</v>
      </c>
      <c r="D130">
        <v>172</v>
      </c>
      <c r="E130">
        <v>83</v>
      </c>
    </row>
    <row r="131" spans="2:5" x14ac:dyDescent="0.3">
      <c r="B131" t="s">
        <v>64</v>
      </c>
      <c r="C131">
        <v>39</v>
      </c>
      <c r="D131">
        <v>191</v>
      </c>
      <c r="E131">
        <v>99</v>
      </c>
    </row>
    <row r="132" spans="2:5" x14ac:dyDescent="0.3">
      <c r="B132" t="s">
        <v>64</v>
      </c>
      <c r="C132">
        <v>29</v>
      </c>
      <c r="D132">
        <v>190</v>
      </c>
      <c r="E132">
        <v>97</v>
      </c>
    </row>
    <row r="133" spans="2:5" x14ac:dyDescent="0.3">
      <c r="B133" t="s">
        <v>68</v>
      </c>
      <c r="C133">
        <v>21</v>
      </c>
      <c r="D133">
        <v>175</v>
      </c>
      <c r="E133">
        <v>69</v>
      </c>
    </row>
    <row r="134" spans="2:5" x14ac:dyDescent="0.3">
      <c r="B134" t="s">
        <v>28</v>
      </c>
      <c r="C134">
        <v>22</v>
      </c>
      <c r="D134">
        <v>191</v>
      </c>
      <c r="E134">
        <v>94</v>
      </c>
    </row>
    <row r="135" spans="2:5" x14ac:dyDescent="0.3">
      <c r="B135" t="s">
        <v>68</v>
      </c>
      <c r="C135">
        <v>30</v>
      </c>
      <c r="D135">
        <v>191</v>
      </c>
      <c r="E135">
        <v>91</v>
      </c>
    </row>
    <row r="136" spans="2:5" x14ac:dyDescent="0.3">
      <c r="B136" t="s">
        <v>64</v>
      </c>
      <c r="C136">
        <v>32</v>
      </c>
      <c r="D136">
        <v>193</v>
      </c>
      <c r="E136">
        <v>66</v>
      </c>
    </row>
    <row r="137" spans="2:5" x14ac:dyDescent="0.3">
      <c r="B137" t="s">
        <v>28</v>
      </c>
      <c r="C137">
        <v>33</v>
      </c>
      <c r="D137">
        <v>170</v>
      </c>
      <c r="E137">
        <v>80</v>
      </c>
    </row>
    <row r="138" spans="2:5" x14ac:dyDescent="0.3">
      <c r="B138" t="s">
        <v>68</v>
      </c>
      <c r="C138">
        <v>27</v>
      </c>
      <c r="D138">
        <v>169</v>
      </c>
      <c r="E138">
        <v>79</v>
      </c>
    </row>
    <row r="139" spans="2:5" x14ac:dyDescent="0.3">
      <c r="B139" t="s">
        <v>28</v>
      </c>
      <c r="C139">
        <v>33</v>
      </c>
      <c r="D139">
        <v>174</v>
      </c>
      <c r="E139">
        <v>85</v>
      </c>
    </row>
    <row r="140" spans="2:5" x14ac:dyDescent="0.3">
      <c r="B140" t="s">
        <v>64</v>
      </c>
      <c r="C140">
        <v>29</v>
      </c>
      <c r="D140">
        <v>176</v>
      </c>
      <c r="E140">
        <v>63</v>
      </c>
    </row>
    <row r="141" spans="2:5" x14ac:dyDescent="0.3">
      <c r="B141" t="s">
        <v>37</v>
      </c>
      <c r="C141">
        <v>34</v>
      </c>
      <c r="D141">
        <v>199</v>
      </c>
      <c r="E141">
        <v>81</v>
      </c>
    </row>
    <row r="142" spans="2:5" x14ac:dyDescent="0.3">
      <c r="B142" t="s">
        <v>28</v>
      </c>
      <c r="C142">
        <v>33</v>
      </c>
      <c r="D142">
        <v>177</v>
      </c>
      <c r="E142">
        <v>74</v>
      </c>
    </row>
    <row r="143" spans="2:5" x14ac:dyDescent="0.3">
      <c r="B143" t="s">
        <v>28</v>
      </c>
      <c r="C143">
        <v>29</v>
      </c>
      <c r="D143">
        <v>168</v>
      </c>
      <c r="E143">
        <v>99</v>
      </c>
    </row>
    <row r="144" spans="2:5" x14ac:dyDescent="0.3">
      <c r="B144" t="s">
        <v>37</v>
      </c>
      <c r="C144">
        <v>25</v>
      </c>
      <c r="D144">
        <v>184</v>
      </c>
      <c r="E144">
        <v>80</v>
      </c>
    </row>
    <row r="145" spans="2:5" x14ac:dyDescent="0.3">
      <c r="B145" t="s">
        <v>37</v>
      </c>
      <c r="C145">
        <v>37</v>
      </c>
      <c r="D145">
        <v>199</v>
      </c>
      <c r="E145">
        <v>74</v>
      </c>
    </row>
    <row r="146" spans="2:5" x14ac:dyDescent="0.3">
      <c r="B146" t="s">
        <v>68</v>
      </c>
      <c r="C146">
        <v>20</v>
      </c>
      <c r="D146">
        <v>173</v>
      </c>
      <c r="E146">
        <v>81</v>
      </c>
    </row>
    <row r="147" spans="2:5" x14ac:dyDescent="0.3">
      <c r="B147" t="s">
        <v>64</v>
      </c>
      <c r="C147">
        <v>33</v>
      </c>
      <c r="D147">
        <v>184</v>
      </c>
      <c r="E147">
        <v>87</v>
      </c>
    </row>
    <row r="148" spans="2:5" x14ac:dyDescent="0.3">
      <c r="B148" t="s">
        <v>68</v>
      </c>
      <c r="C148">
        <v>30</v>
      </c>
      <c r="D148">
        <v>181</v>
      </c>
      <c r="E148">
        <v>73</v>
      </c>
    </row>
    <row r="149" spans="2:5" x14ac:dyDescent="0.3">
      <c r="B149" t="s">
        <v>64</v>
      </c>
      <c r="C149">
        <v>36</v>
      </c>
      <c r="D149">
        <v>189</v>
      </c>
      <c r="E149">
        <v>86</v>
      </c>
    </row>
    <row r="150" spans="2:5" x14ac:dyDescent="0.3">
      <c r="B150" t="s">
        <v>68</v>
      </c>
      <c r="C150">
        <v>25</v>
      </c>
      <c r="D150">
        <v>179</v>
      </c>
      <c r="E150">
        <v>99</v>
      </c>
    </row>
    <row r="151" spans="2:5" x14ac:dyDescent="0.3">
      <c r="B151" t="s">
        <v>37</v>
      </c>
      <c r="C151">
        <v>39</v>
      </c>
      <c r="D151">
        <v>180</v>
      </c>
      <c r="E151">
        <v>87</v>
      </c>
    </row>
    <row r="152" spans="2:5" x14ac:dyDescent="0.3">
      <c r="B152" t="s">
        <v>64</v>
      </c>
      <c r="C152">
        <v>22</v>
      </c>
      <c r="D152">
        <v>191</v>
      </c>
      <c r="E152">
        <v>85</v>
      </c>
    </row>
    <row r="153" spans="2:5" x14ac:dyDescent="0.3">
      <c r="B153" t="s">
        <v>28</v>
      </c>
      <c r="C153">
        <v>37</v>
      </c>
      <c r="D153">
        <v>180</v>
      </c>
      <c r="E153">
        <v>61</v>
      </c>
    </row>
    <row r="154" spans="2:5" x14ac:dyDescent="0.3">
      <c r="B154" t="s">
        <v>68</v>
      </c>
      <c r="C154">
        <v>25</v>
      </c>
      <c r="D154">
        <v>194</v>
      </c>
      <c r="E154">
        <v>84</v>
      </c>
    </row>
    <row r="155" spans="2:5" x14ac:dyDescent="0.3">
      <c r="B155" t="s">
        <v>64</v>
      </c>
      <c r="C155">
        <v>29</v>
      </c>
      <c r="D155">
        <v>191</v>
      </c>
      <c r="E155">
        <v>62</v>
      </c>
    </row>
    <row r="156" spans="2:5" x14ac:dyDescent="0.3">
      <c r="B156" t="s">
        <v>64</v>
      </c>
      <c r="C156">
        <v>18</v>
      </c>
      <c r="D156">
        <v>189</v>
      </c>
      <c r="E156">
        <v>67</v>
      </c>
    </row>
    <row r="157" spans="2:5" x14ac:dyDescent="0.3">
      <c r="B157" t="s">
        <v>64</v>
      </c>
      <c r="C157">
        <v>38</v>
      </c>
      <c r="D157">
        <v>198</v>
      </c>
      <c r="E157">
        <v>92</v>
      </c>
    </row>
    <row r="158" spans="2:5" x14ac:dyDescent="0.3">
      <c r="B158" t="s">
        <v>37</v>
      </c>
      <c r="C158">
        <v>37</v>
      </c>
      <c r="D158">
        <v>171</v>
      </c>
      <c r="E158">
        <v>94</v>
      </c>
    </row>
    <row r="159" spans="2:5" x14ac:dyDescent="0.3">
      <c r="B159" t="s">
        <v>28</v>
      </c>
      <c r="C159">
        <v>23</v>
      </c>
      <c r="D159">
        <v>177</v>
      </c>
      <c r="E159">
        <v>65</v>
      </c>
    </row>
    <row r="160" spans="2:5" x14ac:dyDescent="0.3">
      <c r="B160" t="s">
        <v>37</v>
      </c>
      <c r="C160">
        <v>39</v>
      </c>
      <c r="D160">
        <v>180</v>
      </c>
      <c r="E160">
        <v>98</v>
      </c>
    </row>
    <row r="161" spans="2:5" x14ac:dyDescent="0.3">
      <c r="B161" t="s">
        <v>64</v>
      </c>
      <c r="C161">
        <v>35</v>
      </c>
      <c r="D161">
        <v>172</v>
      </c>
      <c r="E161">
        <v>82</v>
      </c>
    </row>
    <row r="162" spans="2:5" x14ac:dyDescent="0.3">
      <c r="B162" t="s">
        <v>64</v>
      </c>
      <c r="C162">
        <v>25</v>
      </c>
      <c r="D162">
        <v>180</v>
      </c>
      <c r="E162">
        <v>84</v>
      </c>
    </row>
    <row r="163" spans="2:5" x14ac:dyDescent="0.3">
      <c r="B163" t="s">
        <v>37</v>
      </c>
      <c r="C163">
        <v>24</v>
      </c>
      <c r="D163">
        <v>167</v>
      </c>
      <c r="E163">
        <v>78</v>
      </c>
    </row>
    <row r="164" spans="2:5" x14ac:dyDescent="0.3">
      <c r="B164" t="s">
        <v>28</v>
      </c>
      <c r="C164">
        <v>18</v>
      </c>
      <c r="D164">
        <v>199</v>
      </c>
      <c r="E164">
        <v>64</v>
      </c>
    </row>
    <row r="165" spans="2:5" x14ac:dyDescent="0.3">
      <c r="B165" t="s">
        <v>28</v>
      </c>
      <c r="C165">
        <v>38</v>
      </c>
      <c r="D165">
        <v>166</v>
      </c>
      <c r="E165">
        <v>70</v>
      </c>
    </row>
    <row r="166" spans="2:5" x14ac:dyDescent="0.3">
      <c r="B166" t="s">
        <v>64</v>
      </c>
      <c r="C166">
        <v>33</v>
      </c>
      <c r="D166">
        <v>182</v>
      </c>
      <c r="E166">
        <v>71</v>
      </c>
    </row>
    <row r="167" spans="2:5" x14ac:dyDescent="0.3">
      <c r="B167" t="s">
        <v>37</v>
      </c>
      <c r="C167">
        <v>29</v>
      </c>
      <c r="D167">
        <v>191</v>
      </c>
      <c r="E167">
        <v>69</v>
      </c>
    </row>
    <row r="168" spans="2:5" x14ac:dyDescent="0.3">
      <c r="B168" t="s">
        <v>64</v>
      </c>
      <c r="C168">
        <v>23</v>
      </c>
      <c r="D168">
        <v>170</v>
      </c>
      <c r="E168">
        <v>67</v>
      </c>
    </row>
    <row r="169" spans="2:5" x14ac:dyDescent="0.3">
      <c r="B169" t="s">
        <v>64</v>
      </c>
      <c r="C169">
        <v>37</v>
      </c>
      <c r="D169">
        <v>181</v>
      </c>
      <c r="E169">
        <v>83</v>
      </c>
    </row>
    <row r="170" spans="2:5" x14ac:dyDescent="0.3">
      <c r="B170" t="s">
        <v>37</v>
      </c>
      <c r="C170">
        <v>19</v>
      </c>
      <c r="D170">
        <v>181</v>
      </c>
      <c r="E170">
        <v>87</v>
      </c>
    </row>
    <row r="171" spans="2:5" x14ac:dyDescent="0.3">
      <c r="B171" t="s">
        <v>64</v>
      </c>
      <c r="C171">
        <v>31</v>
      </c>
      <c r="D171">
        <v>184</v>
      </c>
      <c r="E171">
        <v>95</v>
      </c>
    </row>
    <row r="172" spans="2:5" x14ac:dyDescent="0.3">
      <c r="B172" t="s">
        <v>68</v>
      </c>
      <c r="C172">
        <v>21</v>
      </c>
      <c r="D172">
        <v>181</v>
      </c>
      <c r="E172">
        <v>96</v>
      </c>
    </row>
    <row r="173" spans="2:5" x14ac:dyDescent="0.3">
      <c r="B173" t="s">
        <v>68</v>
      </c>
      <c r="C173">
        <v>18</v>
      </c>
      <c r="D173">
        <v>187</v>
      </c>
      <c r="E173">
        <v>80</v>
      </c>
    </row>
    <row r="174" spans="2:5" x14ac:dyDescent="0.3">
      <c r="B174" t="s">
        <v>64</v>
      </c>
      <c r="C174">
        <v>35</v>
      </c>
      <c r="D174">
        <v>188</v>
      </c>
      <c r="E174">
        <v>67</v>
      </c>
    </row>
    <row r="175" spans="2:5" x14ac:dyDescent="0.3">
      <c r="B175" t="s">
        <v>37</v>
      </c>
      <c r="C175">
        <v>30</v>
      </c>
      <c r="D175">
        <v>172</v>
      </c>
      <c r="E175">
        <v>68</v>
      </c>
    </row>
    <row r="176" spans="2:5" x14ac:dyDescent="0.3">
      <c r="B176" t="s">
        <v>28</v>
      </c>
      <c r="C176">
        <v>19</v>
      </c>
      <c r="D176">
        <v>177</v>
      </c>
      <c r="E176">
        <v>74</v>
      </c>
    </row>
    <row r="177" spans="2:5" x14ac:dyDescent="0.3">
      <c r="B177" t="s">
        <v>28</v>
      </c>
      <c r="C177">
        <v>26</v>
      </c>
      <c r="D177">
        <v>161</v>
      </c>
      <c r="E177">
        <v>99</v>
      </c>
    </row>
    <row r="178" spans="2:5" x14ac:dyDescent="0.3">
      <c r="B178" t="s">
        <v>37</v>
      </c>
      <c r="C178">
        <v>38</v>
      </c>
      <c r="D178">
        <v>188</v>
      </c>
      <c r="E178">
        <v>77</v>
      </c>
    </row>
    <row r="179" spans="2:5" x14ac:dyDescent="0.3">
      <c r="B179" t="s">
        <v>28</v>
      </c>
      <c r="C179">
        <v>19</v>
      </c>
      <c r="D179">
        <v>180</v>
      </c>
      <c r="E179">
        <v>79</v>
      </c>
    </row>
    <row r="180" spans="2:5" x14ac:dyDescent="0.3">
      <c r="B180" t="s">
        <v>37</v>
      </c>
      <c r="C180">
        <v>26</v>
      </c>
      <c r="D180">
        <v>174</v>
      </c>
      <c r="E180">
        <v>65</v>
      </c>
    </row>
    <row r="181" spans="2:5" x14ac:dyDescent="0.3">
      <c r="B181" t="s">
        <v>68</v>
      </c>
      <c r="C181">
        <v>18</v>
      </c>
      <c r="D181">
        <v>186</v>
      </c>
      <c r="E181">
        <v>71</v>
      </c>
    </row>
    <row r="182" spans="2:5" x14ac:dyDescent="0.3">
      <c r="B182" t="s">
        <v>68</v>
      </c>
      <c r="C182">
        <v>28</v>
      </c>
      <c r="D182">
        <v>190</v>
      </c>
      <c r="E182">
        <v>61</v>
      </c>
    </row>
    <row r="183" spans="2:5" x14ac:dyDescent="0.3">
      <c r="B183" t="s">
        <v>28</v>
      </c>
      <c r="C183">
        <v>20</v>
      </c>
      <c r="D183">
        <v>174</v>
      </c>
      <c r="E183">
        <v>66</v>
      </c>
    </row>
    <row r="184" spans="2:5" x14ac:dyDescent="0.3">
      <c r="B184" t="s">
        <v>37</v>
      </c>
      <c r="C184">
        <v>37</v>
      </c>
      <c r="D184">
        <v>182</v>
      </c>
      <c r="E184">
        <v>75</v>
      </c>
    </row>
    <row r="185" spans="2:5" x14ac:dyDescent="0.3">
      <c r="B185" t="s">
        <v>37</v>
      </c>
      <c r="C185">
        <v>21</v>
      </c>
      <c r="D185">
        <v>183</v>
      </c>
      <c r="E185">
        <v>62</v>
      </c>
    </row>
    <row r="186" spans="2:5" x14ac:dyDescent="0.3">
      <c r="B186" t="s">
        <v>28</v>
      </c>
      <c r="C186">
        <v>35</v>
      </c>
      <c r="D186">
        <v>172</v>
      </c>
      <c r="E186">
        <v>62</v>
      </c>
    </row>
    <row r="187" spans="2:5" x14ac:dyDescent="0.3">
      <c r="B187" t="s">
        <v>68</v>
      </c>
      <c r="C187">
        <v>23</v>
      </c>
      <c r="D187">
        <v>181</v>
      </c>
      <c r="E187">
        <v>86</v>
      </c>
    </row>
    <row r="188" spans="2:5" x14ac:dyDescent="0.3">
      <c r="B188" t="s">
        <v>68</v>
      </c>
      <c r="C188">
        <v>20</v>
      </c>
      <c r="D188">
        <v>196</v>
      </c>
      <c r="E188">
        <v>99</v>
      </c>
    </row>
    <row r="189" spans="2:5" x14ac:dyDescent="0.3">
      <c r="B189" t="s">
        <v>28</v>
      </c>
      <c r="C189">
        <v>39</v>
      </c>
      <c r="D189">
        <v>192</v>
      </c>
      <c r="E189">
        <v>97</v>
      </c>
    </row>
    <row r="190" spans="2:5" x14ac:dyDescent="0.3">
      <c r="B190" t="s">
        <v>28</v>
      </c>
      <c r="C190">
        <v>28</v>
      </c>
      <c r="D190">
        <v>162</v>
      </c>
      <c r="E190">
        <v>92</v>
      </c>
    </row>
    <row r="191" spans="2:5" x14ac:dyDescent="0.3">
      <c r="B191" t="s">
        <v>28</v>
      </c>
      <c r="C191">
        <v>32</v>
      </c>
      <c r="D191">
        <v>178</v>
      </c>
      <c r="E191">
        <v>87</v>
      </c>
    </row>
    <row r="192" spans="2:5" x14ac:dyDescent="0.3">
      <c r="B192" t="s">
        <v>64</v>
      </c>
      <c r="C192">
        <v>39</v>
      </c>
      <c r="D192">
        <v>182</v>
      </c>
      <c r="E192">
        <v>60</v>
      </c>
    </row>
    <row r="193" spans="2:5" x14ac:dyDescent="0.3">
      <c r="B193" t="s">
        <v>28</v>
      </c>
      <c r="C193">
        <v>22</v>
      </c>
      <c r="D193">
        <v>188</v>
      </c>
      <c r="E193">
        <v>67</v>
      </c>
    </row>
    <row r="194" spans="2:5" x14ac:dyDescent="0.3">
      <c r="B194" t="s">
        <v>68</v>
      </c>
      <c r="C194">
        <v>37</v>
      </c>
      <c r="D194">
        <v>189</v>
      </c>
      <c r="E194">
        <v>96</v>
      </c>
    </row>
    <row r="195" spans="2:5" x14ac:dyDescent="0.3">
      <c r="B195" t="s">
        <v>37</v>
      </c>
      <c r="C195">
        <v>27</v>
      </c>
      <c r="D195">
        <v>198</v>
      </c>
      <c r="E195">
        <v>91</v>
      </c>
    </row>
    <row r="196" spans="2:5" x14ac:dyDescent="0.3">
      <c r="B196" t="s">
        <v>68</v>
      </c>
      <c r="C196">
        <v>29</v>
      </c>
      <c r="D196">
        <v>184</v>
      </c>
      <c r="E196">
        <v>96</v>
      </c>
    </row>
    <row r="197" spans="2:5" x14ac:dyDescent="0.3">
      <c r="B197" t="s">
        <v>28</v>
      </c>
      <c r="C197">
        <v>32</v>
      </c>
      <c r="D197">
        <v>196</v>
      </c>
      <c r="E197">
        <v>63</v>
      </c>
    </row>
    <row r="198" spans="2:5" x14ac:dyDescent="0.3">
      <c r="B198" t="s">
        <v>37</v>
      </c>
      <c r="C198">
        <v>34</v>
      </c>
      <c r="D198">
        <v>167</v>
      </c>
      <c r="E198">
        <v>89</v>
      </c>
    </row>
    <row r="199" spans="2:5" x14ac:dyDescent="0.3">
      <c r="B199" t="s">
        <v>28</v>
      </c>
      <c r="C199">
        <v>27</v>
      </c>
      <c r="D199">
        <v>175</v>
      </c>
      <c r="E199">
        <v>65</v>
      </c>
    </row>
    <row r="200" spans="2:5" x14ac:dyDescent="0.3">
      <c r="B200" t="s">
        <v>28</v>
      </c>
      <c r="C200">
        <v>23</v>
      </c>
      <c r="D200">
        <v>167</v>
      </c>
      <c r="E200">
        <v>78</v>
      </c>
    </row>
    <row r="201" spans="2:5" x14ac:dyDescent="0.3">
      <c r="B201" t="s">
        <v>68</v>
      </c>
      <c r="C201">
        <v>35</v>
      </c>
      <c r="D201">
        <v>160</v>
      </c>
      <c r="E201">
        <v>91</v>
      </c>
    </row>
    <row r="202" spans="2:5" x14ac:dyDescent="0.3">
      <c r="B202" t="s">
        <v>64</v>
      </c>
      <c r="C202">
        <v>30</v>
      </c>
      <c r="D202">
        <v>164</v>
      </c>
      <c r="E202">
        <v>68</v>
      </c>
    </row>
    <row r="203" spans="2:5" x14ac:dyDescent="0.3">
      <c r="B203" t="s">
        <v>28</v>
      </c>
      <c r="C203">
        <v>20</v>
      </c>
      <c r="D203">
        <v>162</v>
      </c>
      <c r="E203">
        <v>71</v>
      </c>
    </row>
    <row r="204" spans="2:5" x14ac:dyDescent="0.3">
      <c r="B204" t="s">
        <v>28</v>
      </c>
      <c r="C204">
        <v>27</v>
      </c>
      <c r="D204">
        <v>160</v>
      </c>
      <c r="E204">
        <v>70</v>
      </c>
    </row>
    <row r="205" spans="2:5" x14ac:dyDescent="0.3">
      <c r="B205" t="s">
        <v>68</v>
      </c>
      <c r="C205">
        <v>31</v>
      </c>
      <c r="D205">
        <v>163</v>
      </c>
      <c r="E205">
        <v>75</v>
      </c>
    </row>
    <row r="206" spans="2:5" x14ac:dyDescent="0.3">
      <c r="B206" t="s">
        <v>68</v>
      </c>
      <c r="C206">
        <v>23</v>
      </c>
      <c r="D206">
        <v>199</v>
      </c>
      <c r="E206">
        <v>60</v>
      </c>
    </row>
    <row r="207" spans="2:5" x14ac:dyDescent="0.3">
      <c r="B207" t="s">
        <v>37</v>
      </c>
      <c r="C207">
        <v>20</v>
      </c>
      <c r="D207">
        <v>194</v>
      </c>
      <c r="E207">
        <v>80</v>
      </c>
    </row>
    <row r="208" spans="2:5" x14ac:dyDescent="0.3">
      <c r="B208" t="s">
        <v>37</v>
      </c>
      <c r="C208">
        <v>33</v>
      </c>
      <c r="D208">
        <v>191</v>
      </c>
      <c r="E208">
        <v>89</v>
      </c>
    </row>
    <row r="209" spans="2:5" x14ac:dyDescent="0.3">
      <c r="B209" t="s">
        <v>28</v>
      </c>
      <c r="C209">
        <v>24</v>
      </c>
      <c r="D209">
        <v>193</v>
      </c>
      <c r="E209">
        <v>72</v>
      </c>
    </row>
    <row r="210" spans="2:5" x14ac:dyDescent="0.3">
      <c r="B210" t="s">
        <v>64</v>
      </c>
      <c r="C210">
        <v>37</v>
      </c>
      <c r="D210">
        <v>184</v>
      </c>
      <c r="E210">
        <v>93</v>
      </c>
    </row>
    <row r="211" spans="2:5" x14ac:dyDescent="0.3">
      <c r="B211" t="s">
        <v>68</v>
      </c>
      <c r="C211">
        <v>31</v>
      </c>
      <c r="D211">
        <v>169</v>
      </c>
      <c r="E211">
        <v>63</v>
      </c>
    </row>
    <row r="212" spans="2:5" x14ac:dyDescent="0.3">
      <c r="B212" t="s">
        <v>37</v>
      </c>
      <c r="C212">
        <v>26</v>
      </c>
      <c r="D212">
        <v>180</v>
      </c>
      <c r="E212">
        <v>87</v>
      </c>
    </row>
    <row r="213" spans="2:5" x14ac:dyDescent="0.3">
      <c r="B213" t="s">
        <v>68</v>
      </c>
      <c r="C213">
        <v>32</v>
      </c>
      <c r="D213">
        <v>198</v>
      </c>
      <c r="E213">
        <v>97</v>
      </c>
    </row>
    <row r="214" spans="2:5" x14ac:dyDescent="0.3">
      <c r="B214" t="s">
        <v>68</v>
      </c>
      <c r="C214">
        <v>38</v>
      </c>
      <c r="D214">
        <v>186</v>
      </c>
      <c r="E214">
        <v>90</v>
      </c>
    </row>
    <row r="215" spans="2:5" x14ac:dyDescent="0.3">
      <c r="B215" t="s">
        <v>37</v>
      </c>
      <c r="C215">
        <v>20</v>
      </c>
      <c r="D215">
        <v>186</v>
      </c>
      <c r="E215">
        <v>86</v>
      </c>
    </row>
    <row r="216" spans="2:5" x14ac:dyDescent="0.3">
      <c r="B216" t="s">
        <v>68</v>
      </c>
      <c r="C216">
        <v>19</v>
      </c>
      <c r="D216">
        <v>161</v>
      </c>
      <c r="E216">
        <v>64</v>
      </c>
    </row>
    <row r="217" spans="2:5" x14ac:dyDescent="0.3">
      <c r="B217" t="s">
        <v>37</v>
      </c>
      <c r="C217">
        <v>19</v>
      </c>
      <c r="D217">
        <v>172</v>
      </c>
      <c r="E217">
        <v>84</v>
      </c>
    </row>
    <row r="218" spans="2:5" x14ac:dyDescent="0.3">
      <c r="B218" t="s">
        <v>68</v>
      </c>
      <c r="C218">
        <v>20</v>
      </c>
      <c r="D218">
        <v>168</v>
      </c>
      <c r="E218">
        <v>62</v>
      </c>
    </row>
    <row r="219" spans="2:5" x14ac:dyDescent="0.3">
      <c r="B219" t="s">
        <v>64</v>
      </c>
      <c r="C219">
        <v>35</v>
      </c>
      <c r="D219">
        <v>195</v>
      </c>
      <c r="E219">
        <v>92</v>
      </c>
    </row>
    <row r="220" spans="2:5" x14ac:dyDescent="0.3">
      <c r="B220" t="s">
        <v>37</v>
      </c>
      <c r="C220">
        <v>31</v>
      </c>
      <c r="D220">
        <v>181</v>
      </c>
      <c r="E220">
        <v>63</v>
      </c>
    </row>
    <row r="221" spans="2:5" x14ac:dyDescent="0.3">
      <c r="B221" t="s">
        <v>64</v>
      </c>
      <c r="C221">
        <v>37</v>
      </c>
      <c r="D221">
        <v>185</v>
      </c>
      <c r="E221">
        <v>84</v>
      </c>
    </row>
    <row r="222" spans="2:5" x14ac:dyDescent="0.3">
      <c r="B222" t="s">
        <v>68</v>
      </c>
      <c r="C222">
        <v>35</v>
      </c>
      <c r="D222">
        <v>171</v>
      </c>
      <c r="E222">
        <v>79</v>
      </c>
    </row>
    <row r="223" spans="2:5" x14ac:dyDescent="0.3">
      <c r="B223" t="s">
        <v>37</v>
      </c>
      <c r="C223">
        <v>27</v>
      </c>
      <c r="D223">
        <v>176</v>
      </c>
      <c r="E223">
        <v>93</v>
      </c>
    </row>
    <row r="224" spans="2:5" x14ac:dyDescent="0.3">
      <c r="B224" t="s">
        <v>28</v>
      </c>
      <c r="C224">
        <v>19</v>
      </c>
      <c r="D224">
        <v>173</v>
      </c>
      <c r="E224">
        <v>85</v>
      </c>
    </row>
    <row r="225" spans="2:5" x14ac:dyDescent="0.3">
      <c r="B225" t="s">
        <v>28</v>
      </c>
      <c r="C225">
        <v>39</v>
      </c>
      <c r="D225">
        <v>173</v>
      </c>
      <c r="E225">
        <v>64</v>
      </c>
    </row>
    <row r="226" spans="2:5" x14ac:dyDescent="0.3">
      <c r="B226" t="s">
        <v>28</v>
      </c>
      <c r="C226">
        <v>18</v>
      </c>
      <c r="D226">
        <v>193</v>
      </c>
      <c r="E226">
        <v>94</v>
      </c>
    </row>
    <row r="227" spans="2:5" x14ac:dyDescent="0.3">
      <c r="B227" t="s">
        <v>64</v>
      </c>
      <c r="C227">
        <v>21</v>
      </c>
      <c r="D227">
        <v>179</v>
      </c>
      <c r="E227">
        <v>87</v>
      </c>
    </row>
    <row r="228" spans="2:5" x14ac:dyDescent="0.3">
      <c r="B228" t="s">
        <v>37</v>
      </c>
      <c r="C228">
        <v>31</v>
      </c>
      <c r="D228">
        <v>170</v>
      </c>
      <c r="E228">
        <v>88</v>
      </c>
    </row>
    <row r="229" spans="2:5" x14ac:dyDescent="0.3">
      <c r="B229" t="s">
        <v>64</v>
      </c>
      <c r="C229">
        <v>18</v>
      </c>
      <c r="D229">
        <v>175</v>
      </c>
      <c r="E229">
        <v>68</v>
      </c>
    </row>
    <row r="230" spans="2:5" x14ac:dyDescent="0.3">
      <c r="B230" t="s">
        <v>64</v>
      </c>
      <c r="C230">
        <v>31</v>
      </c>
      <c r="D230">
        <v>190</v>
      </c>
      <c r="E230">
        <v>97</v>
      </c>
    </row>
    <row r="231" spans="2:5" x14ac:dyDescent="0.3">
      <c r="B231" t="s">
        <v>37</v>
      </c>
      <c r="C231">
        <v>33</v>
      </c>
      <c r="D231">
        <v>165</v>
      </c>
      <c r="E231">
        <v>65</v>
      </c>
    </row>
    <row r="232" spans="2:5" x14ac:dyDescent="0.3">
      <c r="B232" t="s">
        <v>68</v>
      </c>
      <c r="C232">
        <v>39</v>
      </c>
      <c r="D232">
        <v>178</v>
      </c>
      <c r="E232">
        <v>78</v>
      </c>
    </row>
    <row r="233" spans="2:5" x14ac:dyDescent="0.3">
      <c r="B233" t="s">
        <v>68</v>
      </c>
      <c r="C233">
        <v>31</v>
      </c>
      <c r="D233">
        <v>196</v>
      </c>
      <c r="E233">
        <v>70</v>
      </c>
    </row>
    <row r="234" spans="2:5" x14ac:dyDescent="0.3">
      <c r="B234" t="s">
        <v>64</v>
      </c>
      <c r="C234">
        <v>37</v>
      </c>
      <c r="D234">
        <v>163</v>
      </c>
      <c r="E234">
        <v>61</v>
      </c>
    </row>
    <row r="235" spans="2:5" x14ac:dyDescent="0.3">
      <c r="B235" t="s">
        <v>68</v>
      </c>
      <c r="C235">
        <v>20</v>
      </c>
      <c r="D235">
        <v>163</v>
      </c>
      <c r="E235">
        <v>68</v>
      </c>
    </row>
    <row r="236" spans="2:5" x14ac:dyDescent="0.3">
      <c r="B236" t="s">
        <v>37</v>
      </c>
      <c r="C236">
        <v>20</v>
      </c>
      <c r="D236">
        <v>179</v>
      </c>
      <c r="E236">
        <v>80</v>
      </c>
    </row>
    <row r="237" spans="2:5" x14ac:dyDescent="0.3">
      <c r="B237" t="s">
        <v>64</v>
      </c>
      <c r="C237">
        <v>26</v>
      </c>
      <c r="D237">
        <v>169</v>
      </c>
      <c r="E237">
        <v>83</v>
      </c>
    </row>
    <row r="238" spans="2:5" x14ac:dyDescent="0.3">
      <c r="B238" t="s">
        <v>68</v>
      </c>
      <c r="C238">
        <v>23</v>
      </c>
      <c r="D238">
        <v>183</v>
      </c>
      <c r="E238">
        <v>93</v>
      </c>
    </row>
    <row r="239" spans="2:5" x14ac:dyDescent="0.3">
      <c r="B239" t="s">
        <v>28</v>
      </c>
      <c r="C239">
        <v>30</v>
      </c>
      <c r="D239">
        <v>194</v>
      </c>
      <c r="E239">
        <v>81</v>
      </c>
    </row>
    <row r="240" spans="2:5" x14ac:dyDescent="0.3">
      <c r="B240" t="s">
        <v>64</v>
      </c>
      <c r="C240">
        <v>38</v>
      </c>
      <c r="D240">
        <v>185</v>
      </c>
      <c r="E240">
        <v>62</v>
      </c>
    </row>
    <row r="241" spans="2:5" x14ac:dyDescent="0.3">
      <c r="B241" t="s">
        <v>28</v>
      </c>
      <c r="C241">
        <v>19</v>
      </c>
      <c r="D241">
        <v>196</v>
      </c>
      <c r="E241">
        <v>71</v>
      </c>
    </row>
    <row r="242" spans="2:5" x14ac:dyDescent="0.3">
      <c r="B242" t="s">
        <v>37</v>
      </c>
      <c r="C242">
        <v>25</v>
      </c>
      <c r="D242">
        <v>197</v>
      </c>
      <c r="E242">
        <v>87</v>
      </c>
    </row>
    <row r="243" spans="2:5" x14ac:dyDescent="0.3">
      <c r="B243" t="s">
        <v>37</v>
      </c>
      <c r="C243">
        <v>38</v>
      </c>
      <c r="D243">
        <v>180</v>
      </c>
      <c r="E243">
        <v>89</v>
      </c>
    </row>
    <row r="244" spans="2:5" x14ac:dyDescent="0.3">
      <c r="B244" t="s">
        <v>68</v>
      </c>
      <c r="C244">
        <v>19</v>
      </c>
      <c r="D244">
        <v>199</v>
      </c>
      <c r="E244">
        <v>85</v>
      </c>
    </row>
    <row r="245" spans="2:5" x14ac:dyDescent="0.3">
      <c r="B245" t="s">
        <v>28</v>
      </c>
      <c r="C245">
        <v>21</v>
      </c>
      <c r="D245">
        <v>198</v>
      </c>
      <c r="E245">
        <v>80</v>
      </c>
    </row>
    <row r="246" spans="2:5" x14ac:dyDescent="0.3">
      <c r="B246" t="s">
        <v>64</v>
      </c>
      <c r="C246">
        <v>32</v>
      </c>
      <c r="D246">
        <v>180</v>
      </c>
      <c r="E246">
        <v>87</v>
      </c>
    </row>
    <row r="247" spans="2:5" x14ac:dyDescent="0.3">
      <c r="B247" t="s">
        <v>28</v>
      </c>
      <c r="C247">
        <v>21</v>
      </c>
      <c r="D247">
        <v>169</v>
      </c>
      <c r="E247">
        <v>85</v>
      </c>
    </row>
    <row r="248" spans="2:5" x14ac:dyDescent="0.3">
      <c r="B248" t="s">
        <v>28</v>
      </c>
      <c r="C248">
        <v>30</v>
      </c>
      <c r="D248">
        <v>197</v>
      </c>
      <c r="E248">
        <v>92</v>
      </c>
    </row>
    <row r="249" spans="2:5" x14ac:dyDescent="0.3">
      <c r="B249" t="s">
        <v>28</v>
      </c>
      <c r="C249">
        <v>29</v>
      </c>
      <c r="D249">
        <v>163</v>
      </c>
      <c r="E249">
        <v>80</v>
      </c>
    </row>
    <row r="250" spans="2:5" x14ac:dyDescent="0.3">
      <c r="B250" t="s">
        <v>37</v>
      </c>
      <c r="C250">
        <v>30</v>
      </c>
      <c r="D250">
        <v>179</v>
      </c>
      <c r="E250">
        <v>94</v>
      </c>
    </row>
    <row r="251" spans="2:5" x14ac:dyDescent="0.3">
      <c r="B251" t="s">
        <v>37</v>
      </c>
      <c r="C251">
        <v>31</v>
      </c>
      <c r="D251">
        <v>176</v>
      </c>
      <c r="E251">
        <v>93</v>
      </c>
    </row>
    <row r="252" spans="2:5" x14ac:dyDescent="0.3">
      <c r="B252" t="s">
        <v>68</v>
      </c>
      <c r="C252">
        <v>37</v>
      </c>
      <c r="D252">
        <v>166</v>
      </c>
      <c r="E252">
        <v>77</v>
      </c>
    </row>
    <row r="253" spans="2:5" x14ac:dyDescent="0.3">
      <c r="B253" t="s">
        <v>68</v>
      </c>
      <c r="C253">
        <v>35</v>
      </c>
      <c r="D253">
        <v>163</v>
      </c>
      <c r="E253">
        <v>70</v>
      </c>
    </row>
    <row r="254" spans="2:5" x14ac:dyDescent="0.3">
      <c r="B254" t="s">
        <v>37</v>
      </c>
      <c r="C254">
        <v>23</v>
      </c>
      <c r="D254">
        <v>188</v>
      </c>
      <c r="E254">
        <v>82</v>
      </c>
    </row>
    <row r="255" spans="2:5" x14ac:dyDescent="0.3">
      <c r="B255" t="s">
        <v>37</v>
      </c>
      <c r="C255">
        <v>28</v>
      </c>
      <c r="D255">
        <v>173</v>
      </c>
      <c r="E255">
        <v>81</v>
      </c>
    </row>
    <row r="256" spans="2:5" x14ac:dyDescent="0.3">
      <c r="B256" t="s">
        <v>37</v>
      </c>
      <c r="C256">
        <v>19</v>
      </c>
      <c r="D256">
        <v>162</v>
      </c>
      <c r="E256">
        <v>76</v>
      </c>
    </row>
    <row r="257" spans="2:5" x14ac:dyDescent="0.3">
      <c r="B257" t="s">
        <v>37</v>
      </c>
      <c r="C257">
        <v>36</v>
      </c>
      <c r="D257">
        <v>183</v>
      </c>
      <c r="E257">
        <v>64</v>
      </c>
    </row>
    <row r="258" spans="2:5" x14ac:dyDescent="0.3">
      <c r="B258" t="s">
        <v>64</v>
      </c>
      <c r="C258">
        <v>36</v>
      </c>
      <c r="D258">
        <v>196</v>
      </c>
      <c r="E258">
        <v>70</v>
      </c>
    </row>
    <row r="259" spans="2:5" x14ac:dyDescent="0.3">
      <c r="B259" t="s">
        <v>64</v>
      </c>
      <c r="C259">
        <v>22</v>
      </c>
      <c r="D259">
        <v>175</v>
      </c>
      <c r="E259">
        <v>89</v>
      </c>
    </row>
    <row r="260" spans="2:5" x14ac:dyDescent="0.3">
      <c r="B260" t="s">
        <v>37</v>
      </c>
      <c r="C260">
        <v>36</v>
      </c>
      <c r="D260">
        <v>163</v>
      </c>
      <c r="E260">
        <v>74</v>
      </c>
    </row>
    <row r="261" spans="2:5" x14ac:dyDescent="0.3">
      <c r="B261" t="s">
        <v>37</v>
      </c>
      <c r="C261">
        <v>19</v>
      </c>
      <c r="D261">
        <v>183</v>
      </c>
      <c r="E261">
        <v>86</v>
      </c>
    </row>
    <row r="262" spans="2:5" x14ac:dyDescent="0.3">
      <c r="B262" t="s">
        <v>68</v>
      </c>
      <c r="C262">
        <v>27</v>
      </c>
      <c r="D262">
        <v>193</v>
      </c>
      <c r="E262">
        <v>94</v>
      </c>
    </row>
    <row r="263" spans="2:5" x14ac:dyDescent="0.3">
      <c r="B263" t="s">
        <v>28</v>
      </c>
      <c r="C263">
        <v>19</v>
      </c>
      <c r="D263">
        <v>189</v>
      </c>
      <c r="E263">
        <v>92</v>
      </c>
    </row>
    <row r="264" spans="2:5" x14ac:dyDescent="0.3">
      <c r="B264" t="s">
        <v>37</v>
      </c>
      <c r="C264">
        <v>28</v>
      </c>
      <c r="D264">
        <v>177</v>
      </c>
      <c r="E264">
        <v>79</v>
      </c>
    </row>
    <row r="265" spans="2:5" x14ac:dyDescent="0.3">
      <c r="B265" t="s">
        <v>68</v>
      </c>
      <c r="C265">
        <v>35</v>
      </c>
      <c r="D265">
        <v>178</v>
      </c>
      <c r="E265">
        <v>75</v>
      </c>
    </row>
    <row r="266" spans="2:5" x14ac:dyDescent="0.3">
      <c r="B266" t="s">
        <v>68</v>
      </c>
      <c r="C266">
        <v>32</v>
      </c>
      <c r="D266">
        <v>190</v>
      </c>
      <c r="E266">
        <v>93</v>
      </c>
    </row>
    <row r="267" spans="2:5" x14ac:dyDescent="0.3">
      <c r="B267" t="s">
        <v>64</v>
      </c>
      <c r="C267">
        <v>26</v>
      </c>
      <c r="D267">
        <v>178</v>
      </c>
      <c r="E267">
        <v>61</v>
      </c>
    </row>
    <row r="268" spans="2:5" x14ac:dyDescent="0.3">
      <c r="B268" t="s">
        <v>28</v>
      </c>
      <c r="C268">
        <v>36</v>
      </c>
      <c r="D268">
        <v>178</v>
      </c>
      <c r="E268">
        <v>94</v>
      </c>
    </row>
    <row r="269" spans="2:5" x14ac:dyDescent="0.3">
      <c r="B269" t="s">
        <v>28</v>
      </c>
      <c r="C269">
        <v>26</v>
      </c>
      <c r="D269">
        <v>181</v>
      </c>
      <c r="E269">
        <v>99</v>
      </c>
    </row>
    <row r="270" spans="2:5" x14ac:dyDescent="0.3">
      <c r="B270" t="s">
        <v>28</v>
      </c>
      <c r="C270">
        <v>20</v>
      </c>
      <c r="D270">
        <v>183</v>
      </c>
      <c r="E270">
        <v>87</v>
      </c>
    </row>
    <row r="271" spans="2:5" x14ac:dyDescent="0.3">
      <c r="B271" t="s">
        <v>37</v>
      </c>
      <c r="C271">
        <v>38</v>
      </c>
      <c r="D271">
        <v>171</v>
      </c>
      <c r="E271">
        <v>98</v>
      </c>
    </row>
    <row r="272" spans="2:5" x14ac:dyDescent="0.3">
      <c r="B272" t="s">
        <v>37</v>
      </c>
      <c r="C272">
        <v>26</v>
      </c>
      <c r="D272">
        <v>189</v>
      </c>
      <c r="E272">
        <v>65</v>
      </c>
    </row>
    <row r="273" spans="2:5" x14ac:dyDescent="0.3">
      <c r="B273" t="s">
        <v>28</v>
      </c>
      <c r="C273">
        <v>31</v>
      </c>
      <c r="D273">
        <v>197</v>
      </c>
      <c r="E273">
        <v>68</v>
      </c>
    </row>
    <row r="274" spans="2:5" x14ac:dyDescent="0.3">
      <c r="B274" t="s">
        <v>68</v>
      </c>
      <c r="C274">
        <v>36</v>
      </c>
      <c r="D274">
        <v>190</v>
      </c>
      <c r="E274">
        <v>79</v>
      </c>
    </row>
    <row r="275" spans="2:5" x14ac:dyDescent="0.3">
      <c r="B275" t="s">
        <v>64</v>
      </c>
      <c r="C275">
        <v>24</v>
      </c>
      <c r="D275">
        <v>195</v>
      </c>
      <c r="E275">
        <v>60</v>
      </c>
    </row>
    <row r="276" spans="2:5" x14ac:dyDescent="0.3">
      <c r="B276" t="s">
        <v>64</v>
      </c>
      <c r="C276">
        <v>33</v>
      </c>
      <c r="D276">
        <v>178</v>
      </c>
      <c r="E276">
        <v>67</v>
      </c>
    </row>
    <row r="277" spans="2:5" x14ac:dyDescent="0.3">
      <c r="B277" t="s">
        <v>37</v>
      </c>
      <c r="C277">
        <v>33</v>
      </c>
      <c r="D277">
        <v>195</v>
      </c>
      <c r="E277">
        <v>82</v>
      </c>
    </row>
    <row r="278" spans="2:5" x14ac:dyDescent="0.3">
      <c r="B278" t="s">
        <v>68</v>
      </c>
      <c r="C278">
        <v>18</v>
      </c>
      <c r="D278">
        <v>189</v>
      </c>
      <c r="E278">
        <v>62</v>
      </c>
    </row>
    <row r="279" spans="2:5" x14ac:dyDescent="0.3">
      <c r="B279" t="s">
        <v>37</v>
      </c>
      <c r="C279">
        <v>21</v>
      </c>
      <c r="D279">
        <v>192</v>
      </c>
      <c r="E279">
        <v>63</v>
      </c>
    </row>
    <row r="280" spans="2:5" x14ac:dyDescent="0.3">
      <c r="B280" t="s">
        <v>28</v>
      </c>
      <c r="C280">
        <v>21</v>
      </c>
      <c r="D280">
        <v>177</v>
      </c>
      <c r="E280">
        <v>84</v>
      </c>
    </row>
    <row r="281" spans="2:5" x14ac:dyDescent="0.3">
      <c r="B281" t="s">
        <v>37</v>
      </c>
      <c r="C281">
        <v>24</v>
      </c>
      <c r="D281">
        <v>187</v>
      </c>
      <c r="E281">
        <v>97</v>
      </c>
    </row>
    <row r="282" spans="2:5" x14ac:dyDescent="0.3">
      <c r="B282" t="s">
        <v>37</v>
      </c>
      <c r="C282">
        <v>25</v>
      </c>
      <c r="D282">
        <v>170</v>
      </c>
      <c r="E282">
        <v>74</v>
      </c>
    </row>
    <row r="283" spans="2:5" x14ac:dyDescent="0.3">
      <c r="B283" t="s">
        <v>37</v>
      </c>
      <c r="C283">
        <v>34</v>
      </c>
      <c r="D283">
        <v>192</v>
      </c>
      <c r="E283">
        <v>80</v>
      </c>
    </row>
    <row r="284" spans="2:5" x14ac:dyDescent="0.3">
      <c r="B284" t="s">
        <v>37</v>
      </c>
      <c r="C284">
        <v>22</v>
      </c>
      <c r="D284">
        <v>176</v>
      </c>
      <c r="E284">
        <v>94</v>
      </c>
    </row>
    <row r="285" spans="2:5" x14ac:dyDescent="0.3">
      <c r="B285" t="s">
        <v>64</v>
      </c>
      <c r="C285">
        <v>24</v>
      </c>
      <c r="D285">
        <v>165</v>
      </c>
      <c r="E285">
        <v>73</v>
      </c>
    </row>
    <row r="286" spans="2:5" x14ac:dyDescent="0.3">
      <c r="B286" t="s">
        <v>68</v>
      </c>
      <c r="C286">
        <v>37</v>
      </c>
      <c r="D286">
        <v>163</v>
      </c>
      <c r="E286">
        <v>95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E88FA-12D1-438D-8EEB-27B6F2883B06}">
  <dimension ref="A1:T282"/>
  <sheetViews>
    <sheetView workbookViewId="0">
      <selection activeCell="L31" sqref="L31:Q35"/>
    </sheetView>
  </sheetViews>
  <sheetFormatPr defaultRowHeight="14.4" x14ac:dyDescent="0.3"/>
  <cols>
    <col min="4" max="4" width="11.44140625" bestFit="1" customWidth="1"/>
    <col min="12" max="12" width="22.33203125" bestFit="1" customWidth="1"/>
    <col min="13" max="13" width="12.5546875" bestFit="1" customWidth="1"/>
    <col min="14" max="14" width="14.33203125" bestFit="1" customWidth="1"/>
    <col min="15" max="16" width="12.5546875" bestFit="1" customWidth="1"/>
    <col min="17" max="17" width="13.6640625" bestFit="1" customWidth="1"/>
    <col min="18" max="18" width="12.5546875" bestFit="1" customWidth="1"/>
    <col min="19" max="20" width="13" bestFit="1" customWidth="1"/>
  </cols>
  <sheetData>
    <row r="1" spans="1:5" x14ac:dyDescent="0.3">
      <c r="A1" t="s">
        <v>727</v>
      </c>
      <c r="B1" t="s">
        <v>728</v>
      </c>
    </row>
    <row r="2" spans="1:5" ht="57.6" x14ac:dyDescent="0.3">
      <c r="A2" s="2" t="s">
        <v>10</v>
      </c>
      <c r="B2" s="2" t="s">
        <v>11</v>
      </c>
    </row>
    <row r="3" spans="1:5" x14ac:dyDescent="0.3">
      <c r="A3">
        <v>11.7</v>
      </c>
      <c r="B3">
        <v>14.47</v>
      </c>
      <c r="D3" t="s">
        <v>729</v>
      </c>
      <c r="E3">
        <f>CORREL(A3:A282,B3:B282)</f>
        <v>5.5292817659228395E-2</v>
      </c>
    </row>
    <row r="4" spans="1:5" x14ac:dyDescent="0.3">
      <c r="A4">
        <v>19.899999999999999</v>
      </c>
      <c r="B4">
        <v>6.66</v>
      </c>
    </row>
    <row r="5" spans="1:5" x14ac:dyDescent="0.3">
      <c r="A5">
        <v>11.6</v>
      </c>
      <c r="B5">
        <v>12.71</v>
      </c>
    </row>
    <row r="6" spans="1:5" x14ac:dyDescent="0.3">
      <c r="A6">
        <v>17.899999999999999</v>
      </c>
      <c r="B6">
        <v>12.09</v>
      </c>
    </row>
    <row r="7" spans="1:5" x14ac:dyDescent="0.3">
      <c r="A7">
        <v>17.8</v>
      </c>
      <c r="B7">
        <v>9.74</v>
      </c>
    </row>
    <row r="8" spans="1:5" x14ac:dyDescent="0.3">
      <c r="A8">
        <v>11.6</v>
      </c>
      <c r="B8">
        <v>5.58</v>
      </c>
    </row>
    <row r="9" spans="1:5" x14ac:dyDescent="0.3">
      <c r="A9">
        <v>19.899999999999999</v>
      </c>
      <c r="B9">
        <v>5.75</v>
      </c>
    </row>
    <row r="10" spans="1:5" x14ac:dyDescent="0.3">
      <c r="A10">
        <v>11.5</v>
      </c>
      <c r="B10">
        <v>13.52</v>
      </c>
    </row>
    <row r="11" spans="1:5" x14ac:dyDescent="0.3">
      <c r="A11">
        <v>9.3000000000000007</v>
      </c>
      <c r="B11">
        <v>14.9</v>
      </c>
    </row>
    <row r="12" spans="1:5" x14ac:dyDescent="0.3">
      <c r="A12">
        <v>13.8</v>
      </c>
      <c r="B12">
        <v>11.76</v>
      </c>
    </row>
    <row r="13" spans="1:5" x14ac:dyDescent="0.3">
      <c r="A13">
        <v>19.899999999999999</v>
      </c>
      <c r="B13">
        <v>9.4600000000000009</v>
      </c>
    </row>
    <row r="14" spans="1:5" x14ac:dyDescent="0.3">
      <c r="A14">
        <v>19.8</v>
      </c>
      <c r="B14">
        <v>11.48</v>
      </c>
    </row>
    <row r="15" spans="1:5" x14ac:dyDescent="0.3">
      <c r="A15">
        <v>15.7</v>
      </c>
      <c r="B15">
        <v>10.94</v>
      </c>
    </row>
    <row r="16" spans="1:5" x14ac:dyDescent="0.3">
      <c r="A16">
        <v>6.5</v>
      </c>
      <c r="B16">
        <v>8.84</v>
      </c>
    </row>
    <row r="17" spans="1:20" x14ac:dyDescent="0.3">
      <c r="A17">
        <v>13.8</v>
      </c>
      <c r="B17">
        <v>5.66</v>
      </c>
    </row>
    <row r="18" spans="1:20" x14ac:dyDescent="0.3">
      <c r="A18">
        <v>17.8</v>
      </c>
      <c r="B18">
        <v>13.22</v>
      </c>
    </row>
    <row r="19" spans="1:20" x14ac:dyDescent="0.3">
      <c r="A19">
        <v>19.8</v>
      </c>
      <c r="B19">
        <v>8.7200000000000006</v>
      </c>
    </row>
    <row r="20" spans="1:20" x14ac:dyDescent="0.3">
      <c r="A20">
        <v>11.4</v>
      </c>
      <c r="B20">
        <v>13.19</v>
      </c>
    </row>
    <row r="21" spans="1:20" x14ac:dyDescent="0.3">
      <c r="A21">
        <v>13.7</v>
      </c>
      <c r="B21">
        <v>7.53</v>
      </c>
    </row>
    <row r="22" spans="1:20" ht="15.6" x14ac:dyDescent="0.3">
      <c r="A22">
        <v>15.6</v>
      </c>
      <c r="B22">
        <v>5.01</v>
      </c>
      <c r="L22" s="76" t="s">
        <v>730</v>
      </c>
      <c r="M22" s="76"/>
      <c r="N22" s="76"/>
      <c r="O22" s="76"/>
      <c r="P22" s="76"/>
      <c r="Q22" s="76"/>
      <c r="R22" s="76"/>
      <c r="S22" s="76"/>
      <c r="T22" s="76"/>
    </row>
    <row r="23" spans="1:20" ht="15.6" x14ac:dyDescent="0.3">
      <c r="A23">
        <v>17.8</v>
      </c>
      <c r="B23">
        <v>6.59</v>
      </c>
      <c r="L23" s="76"/>
      <c r="M23" s="76"/>
      <c r="N23" s="76"/>
      <c r="O23" s="76"/>
      <c r="P23" s="76"/>
      <c r="Q23" s="76"/>
      <c r="R23" s="76"/>
      <c r="S23" s="76"/>
      <c r="T23" s="76"/>
    </row>
    <row r="24" spans="1:20" ht="15.6" x14ac:dyDescent="0.3">
      <c r="A24">
        <v>6.4</v>
      </c>
      <c r="B24">
        <v>9.69</v>
      </c>
      <c r="L24" s="80" t="s">
        <v>731</v>
      </c>
      <c r="M24" s="80"/>
      <c r="N24" s="76"/>
      <c r="O24" s="76"/>
      <c r="P24" s="76"/>
      <c r="Q24" s="76"/>
      <c r="R24" s="76"/>
      <c r="S24" s="76"/>
      <c r="T24" s="76"/>
    </row>
    <row r="25" spans="1:20" ht="15.6" x14ac:dyDescent="0.3">
      <c r="A25">
        <v>6.4</v>
      </c>
      <c r="B25">
        <v>14.44</v>
      </c>
      <c r="L25" s="81" t="s">
        <v>732</v>
      </c>
      <c r="M25" s="82">
        <v>5.5292819999999999E-2</v>
      </c>
      <c r="N25" s="76"/>
      <c r="O25" s="76"/>
      <c r="P25" s="76"/>
      <c r="Q25" s="76"/>
      <c r="R25" s="76"/>
      <c r="S25" s="76"/>
      <c r="T25" s="76"/>
    </row>
    <row r="26" spans="1:20" ht="15.6" x14ac:dyDescent="0.3">
      <c r="A26">
        <v>15.6</v>
      </c>
      <c r="B26">
        <v>6.02</v>
      </c>
      <c r="L26" s="81" t="s">
        <v>733</v>
      </c>
      <c r="M26" s="82">
        <v>3.0573000000000002E-3</v>
      </c>
      <c r="N26" s="76"/>
      <c r="O26" s="76"/>
      <c r="P26" s="76"/>
      <c r="Q26" s="76"/>
      <c r="R26" s="76"/>
      <c r="S26" s="76"/>
      <c r="T26" s="76"/>
    </row>
    <row r="27" spans="1:20" ht="15.6" x14ac:dyDescent="0.3">
      <c r="A27">
        <v>15.5</v>
      </c>
      <c r="B27">
        <v>13.54</v>
      </c>
      <c r="L27" s="81" t="s">
        <v>734</v>
      </c>
      <c r="M27" s="81">
        <v>-5.2879999999999995E-4</v>
      </c>
      <c r="N27" s="76"/>
      <c r="O27" s="76"/>
      <c r="P27" s="76"/>
      <c r="Q27" s="76"/>
      <c r="R27" s="76"/>
      <c r="S27" s="76"/>
      <c r="T27" s="76"/>
    </row>
    <row r="28" spans="1:20" ht="15.6" x14ac:dyDescent="0.3">
      <c r="A28">
        <v>11.4</v>
      </c>
      <c r="B28">
        <v>10.27</v>
      </c>
      <c r="L28" s="81" t="s">
        <v>735</v>
      </c>
      <c r="M28" s="81">
        <v>2.82529991</v>
      </c>
      <c r="N28" s="76"/>
      <c r="O28" s="76"/>
      <c r="P28" s="76"/>
      <c r="Q28" s="76"/>
      <c r="R28" s="76"/>
      <c r="S28" s="76"/>
      <c r="T28" s="76"/>
    </row>
    <row r="29" spans="1:20" ht="15.6" x14ac:dyDescent="0.3">
      <c r="A29">
        <v>19.8</v>
      </c>
      <c r="B29">
        <v>13.26</v>
      </c>
      <c r="L29" s="81" t="s">
        <v>736</v>
      </c>
      <c r="M29" s="81">
        <v>280</v>
      </c>
      <c r="N29" s="76"/>
      <c r="O29" s="76"/>
      <c r="P29" s="76"/>
      <c r="Q29" s="76"/>
      <c r="R29" s="76"/>
      <c r="S29" s="76"/>
      <c r="T29" s="76"/>
    </row>
    <row r="30" spans="1:20" ht="15.6" x14ac:dyDescent="0.3">
      <c r="A30">
        <v>6.4</v>
      </c>
      <c r="B30">
        <v>7.98</v>
      </c>
      <c r="L30" s="76"/>
      <c r="M30" s="76"/>
      <c r="N30" s="76"/>
      <c r="O30" s="76"/>
      <c r="P30" s="76"/>
      <c r="Q30" s="76"/>
      <c r="R30" s="76"/>
      <c r="S30" s="76"/>
      <c r="T30" s="76"/>
    </row>
    <row r="31" spans="1:20" ht="15.6" x14ac:dyDescent="0.3">
      <c r="A31">
        <v>17.8</v>
      </c>
      <c r="B31">
        <v>13.4</v>
      </c>
      <c r="L31" s="81" t="s">
        <v>737</v>
      </c>
      <c r="M31" s="81"/>
      <c r="N31" s="81"/>
      <c r="O31" s="81"/>
      <c r="P31" s="81"/>
      <c r="Q31" s="81"/>
      <c r="R31" s="76"/>
      <c r="S31" s="76"/>
      <c r="T31" s="76"/>
    </row>
    <row r="32" spans="1:20" ht="15.6" x14ac:dyDescent="0.3">
      <c r="A32">
        <v>13.6</v>
      </c>
      <c r="B32">
        <v>12.73</v>
      </c>
      <c r="L32" s="80" t="s">
        <v>738</v>
      </c>
      <c r="M32" s="80" t="s">
        <v>739</v>
      </c>
      <c r="N32" s="80" t="s">
        <v>740</v>
      </c>
      <c r="O32" s="80" t="s">
        <v>741</v>
      </c>
      <c r="P32" s="80" t="s">
        <v>742</v>
      </c>
      <c r="Q32" s="80" t="s">
        <v>743</v>
      </c>
      <c r="R32" s="76"/>
      <c r="S32" s="76"/>
      <c r="T32" s="76"/>
    </row>
    <row r="33" spans="1:20" ht="15.6" x14ac:dyDescent="0.3">
      <c r="A33">
        <v>17.7</v>
      </c>
      <c r="B33">
        <v>7.3</v>
      </c>
      <c r="L33" s="81" t="s">
        <v>744</v>
      </c>
      <c r="M33" s="81">
        <v>1</v>
      </c>
      <c r="N33" s="81">
        <v>6.8052040199999997</v>
      </c>
      <c r="O33" s="81">
        <v>6.8052040199999997</v>
      </c>
      <c r="P33" s="81">
        <v>0.85253464999999995</v>
      </c>
      <c r="Q33" s="82">
        <v>0.35663697</v>
      </c>
      <c r="R33" s="79"/>
      <c r="S33" s="79"/>
      <c r="T33" s="79"/>
    </row>
    <row r="34" spans="1:20" ht="15.6" x14ac:dyDescent="0.3">
      <c r="A34">
        <v>9.1999999999999993</v>
      </c>
      <c r="B34">
        <v>6.31</v>
      </c>
      <c r="L34" s="81" t="s">
        <v>745</v>
      </c>
      <c r="M34" s="81">
        <v>278</v>
      </c>
      <c r="N34" s="81">
        <v>2219.08484</v>
      </c>
      <c r="O34" s="81">
        <v>7.9823195599999996</v>
      </c>
      <c r="P34" s="81"/>
      <c r="Q34" s="81"/>
      <c r="R34" s="76"/>
      <c r="S34" s="76"/>
      <c r="T34" s="76"/>
    </row>
    <row r="35" spans="1:20" ht="15.6" x14ac:dyDescent="0.3">
      <c r="A35">
        <v>9.1999999999999993</v>
      </c>
      <c r="B35">
        <v>13.68</v>
      </c>
      <c r="L35" s="81" t="s">
        <v>746</v>
      </c>
      <c r="M35" s="81">
        <v>279</v>
      </c>
      <c r="N35" s="81">
        <v>2225.8900400000002</v>
      </c>
      <c r="O35" s="81" t="s">
        <v>738</v>
      </c>
      <c r="P35" s="81" t="s">
        <v>738</v>
      </c>
      <c r="Q35" s="81" t="s">
        <v>738</v>
      </c>
      <c r="R35" s="76"/>
      <c r="S35" s="76"/>
      <c r="T35" s="76"/>
    </row>
    <row r="36" spans="1:20" ht="15.6" x14ac:dyDescent="0.3">
      <c r="A36">
        <v>15.5</v>
      </c>
      <c r="B36">
        <v>14.63</v>
      </c>
      <c r="L36" s="76"/>
      <c r="M36" s="76"/>
      <c r="N36" s="76"/>
      <c r="O36" s="76"/>
      <c r="P36" s="76"/>
      <c r="Q36" s="76"/>
      <c r="R36" s="76"/>
      <c r="S36" s="76"/>
      <c r="T36" s="76"/>
    </row>
    <row r="37" spans="1:20" ht="15.6" x14ac:dyDescent="0.3">
      <c r="A37">
        <v>11.4</v>
      </c>
      <c r="B37">
        <v>5.31</v>
      </c>
      <c r="L37" s="80" t="s">
        <v>738</v>
      </c>
      <c r="M37" s="80" t="s">
        <v>747</v>
      </c>
      <c r="N37" s="80" t="s">
        <v>735</v>
      </c>
      <c r="O37" s="80" t="s">
        <v>748</v>
      </c>
      <c r="P37" s="80" t="s">
        <v>749</v>
      </c>
      <c r="Q37" s="80" t="s">
        <v>750</v>
      </c>
      <c r="R37" s="80" t="s">
        <v>751</v>
      </c>
      <c r="S37" s="77" t="s">
        <v>752</v>
      </c>
      <c r="T37" s="77" t="s">
        <v>753</v>
      </c>
    </row>
    <row r="38" spans="1:20" ht="15.6" x14ac:dyDescent="0.3">
      <c r="A38">
        <v>9.1999999999999993</v>
      </c>
      <c r="B38">
        <v>12.31</v>
      </c>
      <c r="L38" s="81" t="s">
        <v>754</v>
      </c>
      <c r="M38" s="81">
        <v>9.6137963600000003</v>
      </c>
      <c r="N38" s="81">
        <v>0.50347637000000001</v>
      </c>
      <c r="O38" s="81">
        <v>19.094831200000002</v>
      </c>
      <c r="P38" s="83">
        <v>1.6546000000000001E-52</v>
      </c>
      <c r="Q38" s="81">
        <v>8.6226860100000007</v>
      </c>
      <c r="R38" s="81">
        <v>10.604906700000001</v>
      </c>
      <c r="S38" s="76">
        <v>8.6226860100000007</v>
      </c>
      <c r="T38" s="76">
        <v>10.604906700000001</v>
      </c>
    </row>
    <row r="39" spans="1:20" ht="15.6" x14ac:dyDescent="0.3">
      <c r="A39">
        <v>6.4</v>
      </c>
      <c r="B39">
        <v>14.1</v>
      </c>
      <c r="L39" s="81" t="s">
        <v>10</v>
      </c>
      <c r="M39" s="81">
        <v>3.4230410000000003E-2</v>
      </c>
      <c r="N39" s="81">
        <v>3.7072859999999999E-2</v>
      </c>
      <c r="O39" s="81">
        <v>0.92332802999999997</v>
      </c>
      <c r="P39" s="82">
        <v>0.35663697</v>
      </c>
      <c r="Q39" s="81">
        <v>-3.87488E-2</v>
      </c>
      <c r="R39" s="81">
        <v>0.10720958999999999</v>
      </c>
      <c r="S39" s="78">
        <v>-3.87488E-2</v>
      </c>
      <c r="T39" s="78">
        <v>0.10720958999999999</v>
      </c>
    </row>
    <row r="40" spans="1:20" x14ac:dyDescent="0.3">
      <c r="A40">
        <v>17.5</v>
      </c>
      <c r="B40">
        <v>13.57</v>
      </c>
      <c r="P40" s="43" t="s">
        <v>755</v>
      </c>
    </row>
    <row r="41" spans="1:20" x14ac:dyDescent="0.3">
      <c r="A41">
        <v>17.399999999999999</v>
      </c>
      <c r="B41">
        <v>14.65</v>
      </c>
    </row>
    <row r="42" spans="1:20" x14ac:dyDescent="0.3">
      <c r="A42">
        <v>15.5</v>
      </c>
      <c r="B42">
        <v>12.6</v>
      </c>
    </row>
    <row r="43" spans="1:20" x14ac:dyDescent="0.3">
      <c r="A43">
        <v>19.8</v>
      </c>
      <c r="B43">
        <v>9.42</v>
      </c>
    </row>
    <row r="44" spans="1:20" x14ac:dyDescent="0.3">
      <c r="A44">
        <v>19.600000000000001</v>
      </c>
      <c r="B44">
        <v>8.1199999999999992</v>
      </c>
    </row>
    <row r="45" spans="1:20" x14ac:dyDescent="0.3">
      <c r="A45">
        <v>13.6</v>
      </c>
      <c r="B45">
        <v>8.2100000000000009</v>
      </c>
    </row>
    <row r="46" spans="1:20" x14ac:dyDescent="0.3">
      <c r="A46">
        <v>15.5</v>
      </c>
      <c r="B46">
        <v>12.24</v>
      </c>
    </row>
    <row r="47" spans="1:20" x14ac:dyDescent="0.3">
      <c r="A47">
        <v>13.6</v>
      </c>
      <c r="B47">
        <v>12.46</v>
      </c>
    </row>
    <row r="48" spans="1:20" x14ac:dyDescent="0.3">
      <c r="A48">
        <v>19.600000000000001</v>
      </c>
      <c r="B48">
        <v>7</v>
      </c>
    </row>
    <row r="49" spans="1:2" x14ac:dyDescent="0.3">
      <c r="A49">
        <v>15.5</v>
      </c>
      <c r="B49">
        <v>13.68</v>
      </c>
    </row>
    <row r="50" spans="1:2" x14ac:dyDescent="0.3">
      <c r="A50">
        <v>15.5</v>
      </c>
      <c r="B50">
        <v>12.15</v>
      </c>
    </row>
    <row r="51" spans="1:2" x14ac:dyDescent="0.3">
      <c r="A51">
        <v>15.4</v>
      </c>
      <c r="B51">
        <v>10.63</v>
      </c>
    </row>
    <row r="52" spans="1:2" x14ac:dyDescent="0.3">
      <c r="A52">
        <v>19.5</v>
      </c>
      <c r="B52">
        <v>9.7200000000000006</v>
      </c>
    </row>
    <row r="53" spans="1:2" x14ac:dyDescent="0.3">
      <c r="A53">
        <v>13.4</v>
      </c>
      <c r="B53">
        <v>10.43</v>
      </c>
    </row>
    <row r="54" spans="1:2" x14ac:dyDescent="0.3">
      <c r="A54">
        <v>13.4</v>
      </c>
      <c r="B54">
        <v>6.59</v>
      </c>
    </row>
    <row r="55" spans="1:2" x14ac:dyDescent="0.3">
      <c r="A55">
        <v>15.4</v>
      </c>
      <c r="B55">
        <v>7.04</v>
      </c>
    </row>
    <row r="56" spans="1:2" x14ac:dyDescent="0.3">
      <c r="A56">
        <v>9.1999999999999993</v>
      </c>
      <c r="B56">
        <v>5.91</v>
      </c>
    </row>
    <row r="57" spans="1:2" x14ac:dyDescent="0.3">
      <c r="A57">
        <v>11.3</v>
      </c>
      <c r="B57">
        <v>6.54</v>
      </c>
    </row>
    <row r="58" spans="1:2" x14ac:dyDescent="0.3">
      <c r="A58">
        <v>19.5</v>
      </c>
      <c r="B58">
        <v>9.5399999999999991</v>
      </c>
    </row>
    <row r="59" spans="1:2" x14ac:dyDescent="0.3">
      <c r="A59">
        <v>11.3</v>
      </c>
      <c r="B59">
        <v>10.3</v>
      </c>
    </row>
    <row r="60" spans="1:2" x14ac:dyDescent="0.3">
      <c r="A60">
        <v>11.2</v>
      </c>
      <c r="B60">
        <v>5.18</v>
      </c>
    </row>
    <row r="61" spans="1:2" x14ac:dyDescent="0.3">
      <c r="A61">
        <v>13.3</v>
      </c>
      <c r="B61">
        <v>12.97</v>
      </c>
    </row>
    <row r="62" spans="1:2" x14ac:dyDescent="0.3">
      <c r="A62">
        <v>13.3</v>
      </c>
      <c r="B62">
        <v>7.94</v>
      </c>
    </row>
    <row r="63" spans="1:2" x14ac:dyDescent="0.3">
      <c r="A63">
        <v>9.1999999999999993</v>
      </c>
      <c r="B63">
        <v>14.12</v>
      </c>
    </row>
    <row r="64" spans="1:2" x14ac:dyDescent="0.3">
      <c r="A64">
        <v>11.1</v>
      </c>
      <c r="B64">
        <v>14.68</v>
      </c>
    </row>
    <row r="65" spans="1:2" x14ac:dyDescent="0.3">
      <c r="A65">
        <v>11</v>
      </c>
      <c r="B65">
        <v>6.85</v>
      </c>
    </row>
    <row r="66" spans="1:2" x14ac:dyDescent="0.3">
      <c r="A66">
        <v>15.4</v>
      </c>
      <c r="B66">
        <v>9.6199999999999992</v>
      </c>
    </row>
    <row r="67" spans="1:2" x14ac:dyDescent="0.3">
      <c r="A67">
        <v>13.2</v>
      </c>
      <c r="B67">
        <v>5.01</v>
      </c>
    </row>
    <row r="68" spans="1:2" x14ac:dyDescent="0.3">
      <c r="A68">
        <v>10.8</v>
      </c>
      <c r="B68">
        <v>10.98</v>
      </c>
    </row>
    <row r="69" spans="1:2" x14ac:dyDescent="0.3">
      <c r="A69">
        <v>17.3</v>
      </c>
      <c r="B69">
        <v>11.07</v>
      </c>
    </row>
    <row r="70" spans="1:2" x14ac:dyDescent="0.3">
      <c r="A70">
        <v>9.1</v>
      </c>
      <c r="B70">
        <v>7.48</v>
      </c>
    </row>
    <row r="71" spans="1:2" x14ac:dyDescent="0.3">
      <c r="A71">
        <v>17.3</v>
      </c>
      <c r="B71">
        <v>10.58</v>
      </c>
    </row>
    <row r="72" spans="1:2" x14ac:dyDescent="0.3">
      <c r="A72">
        <v>17.3</v>
      </c>
      <c r="B72">
        <v>7.26</v>
      </c>
    </row>
    <row r="73" spans="1:2" x14ac:dyDescent="0.3">
      <c r="A73">
        <v>19.5</v>
      </c>
      <c r="B73">
        <v>6.61</v>
      </c>
    </row>
    <row r="74" spans="1:2" x14ac:dyDescent="0.3">
      <c r="A74">
        <v>19.5</v>
      </c>
      <c r="B74">
        <v>11.52</v>
      </c>
    </row>
    <row r="75" spans="1:2" x14ac:dyDescent="0.3">
      <c r="A75">
        <v>8.8000000000000007</v>
      </c>
      <c r="B75">
        <v>8.26</v>
      </c>
    </row>
    <row r="76" spans="1:2" x14ac:dyDescent="0.3">
      <c r="A76">
        <v>17.2</v>
      </c>
      <c r="B76">
        <v>10.9</v>
      </c>
    </row>
    <row r="77" spans="1:2" x14ac:dyDescent="0.3">
      <c r="A77">
        <v>10.8</v>
      </c>
      <c r="B77">
        <v>9.33</v>
      </c>
    </row>
    <row r="78" spans="1:2" x14ac:dyDescent="0.3">
      <c r="A78">
        <v>13.2</v>
      </c>
      <c r="B78">
        <v>14.84</v>
      </c>
    </row>
    <row r="79" spans="1:2" x14ac:dyDescent="0.3">
      <c r="A79">
        <v>8.6999999999999993</v>
      </c>
      <c r="B79">
        <v>6.5</v>
      </c>
    </row>
    <row r="80" spans="1:2" x14ac:dyDescent="0.3">
      <c r="A80">
        <v>15.3</v>
      </c>
      <c r="B80">
        <v>9.65</v>
      </c>
    </row>
    <row r="81" spans="1:2" x14ac:dyDescent="0.3">
      <c r="A81">
        <v>17.2</v>
      </c>
      <c r="B81">
        <v>11.8</v>
      </c>
    </row>
    <row r="82" spans="1:2" x14ac:dyDescent="0.3">
      <c r="A82">
        <v>8.4</v>
      </c>
      <c r="B82">
        <v>8.9600000000000009</v>
      </c>
    </row>
    <row r="83" spans="1:2" x14ac:dyDescent="0.3">
      <c r="A83">
        <v>6.3</v>
      </c>
      <c r="B83">
        <v>14.75</v>
      </c>
    </row>
    <row r="84" spans="1:2" x14ac:dyDescent="0.3">
      <c r="A84">
        <v>6.3</v>
      </c>
      <c r="B84">
        <v>12.22</v>
      </c>
    </row>
    <row r="85" spans="1:2" x14ac:dyDescent="0.3">
      <c r="A85">
        <v>19.399999999999999</v>
      </c>
      <c r="B85">
        <v>11.57</v>
      </c>
    </row>
    <row r="86" spans="1:2" x14ac:dyDescent="0.3">
      <c r="A86">
        <v>13.2</v>
      </c>
      <c r="B86">
        <v>12.57</v>
      </c>
    </row>
    <row r="87" spans="1:2" x14ac:dyDescent="0.3">
      <c r="A87">
        <v>10.8</v>
      </c>
      <c r="B87">
        <v>14.53</v>
      </c>
    </row>
    <row r="88" spans="1:2" x14ac:dyDescent="0.3">
      <c r="A88">
        <v>13.1</v>
      </c>
      <c r="B88">
        <v>14.08</v>
      </c>
    </row>
    <row r="89" spans="1:2" x14ac:dyDescent="0.3">
      <c r="A89">
        <v>13.1</v>
      </c>
      <c r="B89">
        <v>12.24</v>
      </c>
    </row>
    <row r="90" spans="1:2" x14ac:dyDescent="0.3">
      <c r="A90">
        <v>13</v>
      </c>
      <c r="B90">
        <v>12.49</v>
      </c>
    </row>
    <row r="91" spans="1:2" x14ac:dyDescent="0.3">
      <c r="A91">
        <v>13</v>
      </c>
      <c r="B91">
        <v>6.46</v>
      </c>
    </row>
    <row r="92" spans="1:2" x14ac:dyDescent="0.3">
      <c r="A92">
        <v>15.2</v>
      </c>
      <c r="B92">
        <v>6.03</v>
      </c>
    </row>
    <row r="93" spans="1:2" x14ac:dyDescent="0.3">
      <c r="A93">
        <v>15.1</v>
      </c>
      <c r="B93">
        <v>10.71</v>
      </c>
    </row>
    <row r="94" spans="1:2" x14ac:dyDescent="0.3">
      <c r="A94">
        <v>19.399999999999999</v>
      </c>
      <c r="B94">
        <v>5.18</v>
      </c>
    </row>
    <row r="95" spans="1:2" x14ac:dyDescent="0.3">
      <c r="A95">
        <v>8.1999999999999993</v>
      </c>
      <c r="B95">
        <v>9.82</v>
      </c>
    </row>
    <row r="96" spans="1:2" x14ac:dyDescent="0.3">
      <c r="A96">
        <v>6.3</v>
      </c>
      <c r="B96">
        <v>7.1</v>
      </c>
    </row>
    <row r="97" spans="1:2" x14ac:dyDescent="0.3">
      <c r="A97">
        <v>12.9</v>
      </c>
      <c r="B97">
        <v>8.4600000000000009</v>
      </c>
    </row>
    <row r="98" spans="1:2" x14ac:dyDescent="0.3">
      <c r="A98">
        <v>19.399999999999999</v>
      </c>
      <c r="B98">
        <v>12.76</v>
      </c>
    </row>
    <row r="99" spans="1:2" x14ac:dyDescent="0.3">
      <c r="A99">
        <v>7.9</v>
      </c>
      <c r="B99">
        <v>14.41</v>
      </c>
    </row>
    <row r="100" spans="1:2" x14ac:dyDescent="0.3">
      <c r="A100">
        <v>6.3</v>
      </c>
      <c r="B100">
        <v>5.72</v>
      </c>
    </row>
    <row r="101" spans="1:2" x14ac:dyDescent="0.3">
      <c r="A101">
        <v>17.2</v>
      </c>
      <c r="B101">
        <v>10.34</v>
      </c>
    </row>
    <row r="102" spans="1:2" x14ac:dyDescent="0.3">
      <c r="A102">
        <v>10.8</v>
      </c>
      <c r="B102">
        <v>13.83</v>
      </c>
    </row>
    <row r="103" spans="1:2" x14ac:dyDescent="0.3">
      <c r="A103">
        <v>14.9</v>
      </c>
      <c r="B103">
        <v>5.83</v>
      </c>
    </row>
    <row r="104" spans="1:2" x14ac:dyDescent="0.3">
      <c r="A104">
        <v>17.2</v>
      </c>
      <c r="B104">
        <v>13.25</v>
      </c>
    </row>
    <row r="105" spans="1:2" x14ac:dyDescent="0.3">
      <c r="A105">
        <v>6.2</v>
      </c>
      <c r="B105">
        <v>8.58</v>
      </c>
    </row>
    <row r="106" spans="1:2" x14ac:dyDescent="0.3">
      <c r="A106">
        <v>17.2</v>
      </c>
      <c r="B106">
        <v>8.2200000000000006</v>
      </c>
    </row>
    <row r="107" spans="1:2" x14ac:dyDescent="0.3">
      <c r="A107">
        <v>10.6</v>
      </c>
      <c r="B107">
        <v>14.77</v>
      </c>
    </row>
    <row r="108" spans="1:2" x14ac:dyDescent="0.3">
      <c r="A108">
        <v>19.399999999999999</v>
      </c>
      <c r="B108">
        <v>7.01</v>
      </c>
    </row>
    <row r="109" spans="1:2" x14ac:dyDescent="0.3">
      <c r="A109">
        <v>6.2</v>
      </c>
      <c r="B109">
        <v>11.93</v>
      </c>
    </row>
    <row r="110" spans="1:2" x14ac:dyDescent="0.3">
      <c r="A110">
        <v>17.100000000000001</v>
      </c>
      <c r="B110">
        <v>13.21</v>
      </c>
    </row>
    <row r="111" spans="1:2" x14ac:dyDescent="0.3">
      <c r="A111">
        <v>14.9</v>
      </c>
      <c r="B111">
        <v>5.41</v>
      </c>
    </row>
    <row r="112" spans="1:2" x14ac:dyDescent="0.3">
      <c r="A112">
        <v>14.7</v>
      </c>
      <c r="B112">
        <v>11.7</v>
      </c>
    </row>
    <row r="113" spans="1:2" x14ac:dyDescent="0.3">
      <c r="A113">
        <v>7.8</v>
      </c>
      <c r="B113">
        <v>14.52</v>
      </c>
    </row>
    <row r="114" spans="1:2" x14ac:dyDescent="0.3">
      <c r="A114">
        <v>17.100000000000001</v>
      </c>
      <c r="B114">
        <v>6.24</v>
      </c>
    </row>
    <row r="115" spans="1:2" x14ac:dyDescent="0.3">
      <c r="A115">
        <v>12.8</v>
      </c>
      <c r="B115">
        <v>13.96</v>
      </c>
    </row>
    <row r="116" spans="1:2" x14ac:dyDescent="0.3">
      <c r="A116">
        <v>17.100000000000001</v>
      </c>
      <c r="B116">
        <v>10.95</v>
      </c>
    </row>
    <row r="117" spans="1:2" x14ac:dyDescent="0.3">
      <c r="A117">
        <v>19.3</v>
      </c>
      <c r="B117">
        <v>11.17</v>
      </c>
    </row>
    <row r="118" spans="1:2" x14ac:dyDescent="0.3">
      <c r="A118">
        <v>6.2</v>
      </c>
      <c r="B118">
        <v>11.13</v>
      </c>
    </row>
    <row r="119" spans="1:2" x14ac:dyDescent="0.3">
      <c r="A119">
        <v>6.1</v>
      </c>
      <c r="B119">
        <v>7.99</v>
      </c>
    </row>
    <row r="120" spans="1:2" x14ac:dyDescent="0.3">
      <c r="A120">
        <v>19.3</v>
      </c>
      <c r="B120">
        <v>14.35</v>
      </c>
    </row>
    <row r="121" spans="1:2" x14ac:dyDescent="0.3">
      <c r="A121">
        <v>17</v>
      </c>
      <c r="B121">
        <v>14.47</v>
      </c>
    </row>
    <row r="122" spans="1:2" x14ac:dyDescent="0.3">
      <c r="A122">
        <v>19.3</v>
      </c>
      <c r="B122">
        <v>11.25</v>
      </c>
    </row>
    <row r="123" spans="1:2" x14ac:dyDescent="0.3">
      <c r="A123">
        <v>10.6</v>
      </c>
      <c r="B123">
        <v>12.83</v>
      </c>
    </row>
    <row r="124" spans="1:2" x14ac:dyDescent="0.3">
      <c r="A124">
        <v>19.3</v>
      </c>
      <c r="B124">
        <v>11.12</v>
      </c>
    </row>
    <row r="125" spans="1:2" x14ac:dyDescent="0.3">
      <c r="A125">
        <v>14.7</v>
      </c>
      <c r="B125">
        <v>9.84</v>
      </c>
    </row>
    <row r="126" spans="1:2" x14ac:dyDescent="0.3">
      <c r="A126">
        <v>19.3</v>
      </c>
      <c r="B126">
        <v>11.61</v>
      </c>
    </row>
    <row r="127" spans="1:2" x14ac:dyDescent="0.3">
      <c r="A127">
        <v>6.1</v>
      </c>
      <c r="B127">
        <v>10.53</v>
      </c>
    </row>
    <row r="128" spans="1:2" x14ac:dyDescent="0.3">
      <c r="A128">
        <v>14.6</v>
      </c>
      <c r="B128">
        <v>10.97</v>
      </c>
    </row>
    <row r="129" spans="1:2" x14ac:dyDescent="0.3">
      <c r="A129">
        <v>6.1</v>
      </c>
      <c r="B129">
        <v>12.84</v>
      </c>
    </row>
    <row r="130" spans="1:2" x14ac:dyDescent="0.3">
      <c r="A130">
        <v>7.7</v>
      </c>
      <c r="B130">
        <v>9.81</v>
      </c>
    </row>
    <row r="131" spans="1:2" x14ac:dyDescent="0.3">
      <c r="A131">
        <v>12.8</v>
      </c>
      <c r="B131">
        <v>5.41</v>
      </c>
    </row>
    <row r="132" spans="1:2" x14ac:dyDescent="0.3">
      <c r="A132">
        <v>6.1</v>
      </c>
      <c r="B132">
        <v>6.64</v>
      </c>
    </row>
    <row r="133" spans="1:2" x14ac:dyDescent="0.3">
      <c r="A133">
        <v>14.6</v>
      </c>
      <c r="B133">
        <v>9.39</v>
      </c>
    </row>
    <row r="134" spans="1:2" x14ac:dyDescent="0.3">
      <c r="A134">
        <v>7.6</v>
      </c>
      <c r="B134">
        <v>12.25</v>
      </c>
    </row>
    <row r="135" spans="1:2" x14ac:dyDescent="0.3">
      <c r="A135">
        <v>6</v>
      </c>
      <c r="B135">
        <v>10.93</v>
      </c>
    </row>
    <row r="136" spans="1:2" x14ac:dyDescent="0.3">
      <c r="A136">
        <v>10.6</v>
      </c>
      <c r="B136">
        <v>11.5</v>
      </c>
    </row>
    <row r="137" spans="1:2" x14ac:dyDescent="0.3">
      <c r="A137">
        <v>19.2</v>
      </c>
      <c r="B137">
        <v>9.7899999999999991</v>
      </c>
    </row>
    <row r="138" spans="1:2" x14ac:dyDescent="0.3">
      <c r="A138">
        <v>12.8</v>
      </c>
      <c r="B138">
        <v>11.16</v>
      </c>
    </row>
    <row r="139" spans="1:2" x14ac:dyDescent="0.3">
      <c r="A139">
        <v>5.9</v>
      </c>
      <c r="B139">
        <v>8.2899999999999991</v>
      </c>
    </row>
    <row r="140" spans="1:2" x14ac:dyDescent="0.3">
      <c r="A140">
        <v>7.6</v>
      </c>
      <c r="B140">
        <v>9.6999999999999993</v>
      </c>
    </row>
    <row r="141" spans="1:2" x14ac:dyDescent="0.3">
      <c r="A141">
        <v>10.6</v>
      </c>
      <c r="B141">
        <v>12.44</v>
      </c>
    </row>
    <row r="142" spans="1:2" x14ac:dyDescent="0.3">
      <c r="A142">
        <v>16.899999999999999</v>
      </c>
      <c r="B142">
        <v>13.72</v>
      </c>
    </row>
    <row r="143" spans="1:2" x14ac:dyDescent="0.3">
      <c r="A143">
        <v>7.5</v>
      </c>
      <c r="B143">
        <v>9.34</v>
      </c>
    </row>
    <row r="144" spans="1:2" x14ac:dyDescent="0.3">
      <c r="A144">
        <v>19.2</v>
      </c>
      <c r="B144">
        <v>5.44</v>
      </c>
    </row>
    <row r="145" spans="1:2" x14ac:dyDescent="0.3">
      <c r="A145">
        <v>7.4</v>
      </c>
      <c r="B145">
        <v>6.62</v>
      </c>
    </row>
    <row r="146" spans="1:2" x14ac:dyDescent="0.3">
      <c r="A146">
        <v>10.6</v>
      </c>
      <c r="B146">
        <v>5.21</v>
      </c>
    </row>
    <row r="147" spans="1:2" x14ac:dyDescent="0.3">
      <c r="A147">
        <v>7.4</v>
      </c>
      <c r="B147">
        <v>11.53</v>
      </c>
    </row>
    <row r="148" spans="1:2" x14ac:dyDescent="0.3">
      <c r="A148">
        <v>10.6</v>
      </c>
      <c r="B148">
        <v>8.32</v>
      </c>
    </row>
    <row r="149" spans="1:2" x14ac:dyDescent="0.3">
      <c r="A149">
        <v>5.8</v>
      </c>
      <c r="B149">
        <v>10.42</v>
      </c>
    </row>
    <row r="150" spans="1:2" x14ac:dyDescent="0.3">
      <c r="A150">
        <v>10.6</v>
      </c>
      <c r="B150">
        <v>9.93</v>
      </c>
    </row>
    <row r="151" spans="1:2" x14ac:dyDescent="0.3">
      <c r="A151">
        <v>10.6</v>
      </c>
      <c r="B151">
        <v>5.82</v>
      </c>
    </row>
    <row r="152" spans="1:2" x14ac:dyDescent="0.3">
      <c r="A152">
        <v>12.7</v>
      </c>
      <c r="B152">
        <v>9.0299999999999994</v>
      </c>
    </row>
    <row r="153" spans="1:2" x14ac:dyDescent="0.3">
      <c r="A153">
        <v>10.6</v>
      </c>
      <c r="B153">
        <v>7.21</v>
      </c>
    </row>
    <row r="154" spans="1:2" x14ac:dyDescent="0.3">
      <c r="A154">
        <v>10.4</v>
      </c>
      <c r="B154">
        <v>9.18</v>
      </c>
    </row>
    <row r="155" spans="1:2" x14ac:dyDescent="0.3">
      <c r="A155">
        <v>16.899999999999999</v>
      </c>
      <c r="B155">
        <v>7.04</v>
      </c>
    </row>
    <row r="156" spans="1:2" x14ac:dyDescent="0.3">
      <c r="A156">
        <v>5.8</v>
      </c>
      <c r="B156">
        <v>13.4</v>
      </c>
    </row>
    <row r="157" spans="1:2" x14ac:dyDescent="0.3">
      <c r="A157">
        <v>19.100000000000001</v>
      </c>
      <c r="B157">
        <v>6.74</v>
      </c>
    </row>
    <row r="158" spans="1:2" x14ac:dyDescent="0.3">
      <c r="A158">
        <v>12.7</v>
      </c>
      <c r="B158">
        <v>14.61</v>
      </c>
    </row>
    <row r="159" spans="1:2" x14ac:dyDescent="0.3">
      <c r="A159">
        <v>16.899999999999999</v>
      </c>
      <c r="B159">
        <v>9.16</v>
      </c>
    </row>
    <row r="160" spans="1:2" x14ac:dyDescent="0.3">
      <c r="A160">
        <v>14.6</v>
      </c>
      <c r="B160">
        <v>13.46</v>
      </c>
    </row>
    <row r="161" spans="1:2" x14ac:dyDescent="0.3">
      <c r="A161">
        <v>5.7</v>
      </c>
      <c r="B161">
        <v>11.29</v>
      </c>
    </row>
    <row r="162" spans="1:2" x14ac:dyDescent="0.3">
      <c r="A162">
        <v>5.7</v>
      </c>
      <c r="B162">
        <v>12.35</v>
      </c>
    </row>
    <row r="163" spans="1:2" x14ac:dyDescent="0.3">
      <c r="A163">
        <v>14.5</v>
      </c>
      <c r="B163">
        <v>12.68</v>
      </c>
    </row>
    <row r="164" spans="1:2" x14ac:dyDescent="0.3">
      <c r="A164">
        <v>19.100000000000001</v>
      </c>
      <c r="B164">
        <v>10.050000000000001</v>
      </c>
    </row>
    <row r="165" spans="1:2" x14ac:dyDescent="0.3">
      <c r="A165">
        <v>10.4</v>
      </c>
      <c r="B165">
        <v>10.43</v>
      </c>
    </row>
    <row r="166" spans="1:2" x14ac:dyDescent="0.3">
      <c r="A166">
        <v>16.8</v>
      </c>
      <c r="B166">
        <v>10.14</v>
      </c>
    </row>
    <row r="167" spans="1:2" x14ac:dyDescent="0.3">
      <c r="A167">
        <v>7.3</v>
      </c>
      <c r="B167">
        <v>10.88</v>
      </c>
    </row>
    <row r="168" spans="1:2" x14ac:dyDescent="0.3">
      <c r="A168">
        <v>12.6</v>
      </c>
      <c r="B168">
        <v>5.29</v>
      </c>
    </row>
    <row r="169" spans="1:2" x14ac:dyDescent="0.3">
      <c r="A169">
        <v>7.3</v>
      </c>
      <c r="B169">
        <v>8.9600000000000009</v>
      </c>
    </row>
    <row r="170" spans="1:2" x14ac:dyDescent="0.3">
      <c r="A170">
        <v>14.5</v>
      </c>
      <c r="B170">
        <v>11.06</v>
      </c>
    </row>
    <row r="171" spans="1:2" x14ac:dyDescent="0.3">
      <c r="A171">
        <v>5.7</v>
      </c>
      <c r="B171">
        <v>10.98</v>
      </c>
    </row>
    <row r="172" spans="1:2" x14ac:dyDescent="0.3">
      <c r="A172">
        <v>19</v>
      </c>
      <c r="B172">
        <v>12.93</v>
      </c>
    </row>
    <row r="173" spans="1:2" x14ac:dyDescent="0.3">
      <c r="A173">
        <v>5.7</v>
      </c>
      <c r="B173">
        <v>11.55</v>
      </c>
    </row>
    <row r="174" spans="1:2" x14ac:dyDescent="0.3">
      <c r="A174">
        <v>12.5</v>
      </c>
      <c r="B174">
        <v>14.92</v>
      </c>
    </row>
    <row r="175" spans="1:2" x14ac:dyDescent="0.3">
      <c r="A175">
        <v>5.6</v>
      </c>
      <c r="B175">
        <v>7.84</v>
      </c>
    </row>
    <row r="176" spans="1:2" x14ac:dyDescent="0.3">
      <c r="A176">
        <v>5.6</v>
      </c>
      <c r="B176">
        <v>8.59</v>
      </c>
    </row>
    <row r="177" spans="1:2" x14ac:dyDescent="0.3">
      <c r="A177">
        <v>12.5</v>
      </c>
      <c r="B177">
        <v>8.84</v>
      </c>
    </row>
    <row r="178" spans="1:2" x14ac:dyDescent="0.3">
      <c r="A178">
        <v>16.7</v>
      </c>
      <c r="B178">
        <v>9.66</v>
      </c>
    </row>
    <row r="179" spans="1:2" x14ac:dyDescent="0.3">
      <c r="A179">
        <v>16.600000000000001</v>
      </c>
      <c r="B179">
        <v>13.36</v>
      </c>
    </row>
    <row r="180" spans="1:2" x14ac:dyDescent="0.3">
      <c r="A180">
        <v>12.4</v>
      </c>
      <c r="B180">
        <v>7.36</v>
      </c>
    </row>
    <row r="181" spans="1:2" x14ac:dyDescent="0.3">
      <c r="A181">
        <v>19</v>
      </c>
      <c r="B181">
        <v>12.76</v>
      </c>
    </row>
    <row r="182" spans="1:2" x14ac:dyDescent="0.3">
      <c r="A182">
        <v>14.4</v>
      </c>
      <c r="B182">
        <v>9.0500000000000007</v>
      </c>
    </row>
    <row r="183" spans="1:2" x14ac:dyDescent="0.3">
      <c r="A183">
        <v>5.6</v>
      </c>
      <c r="B183">
        <v>11.02</v>
      </c>
    </row>
    <row r="184" spans="1:2" x14ac:dyDescent="0.3">
      <c r="A184">
        <v>19</v>
      </c>
      <c r="B184">
        <v>11.33</v>
      </c>
    </row>
    <row r="185" spans="1:2" x14ac:dyDescent="0.3">
      <c r="A185">
        <v>5.5</v>
      </c>
      <c r="B185">
        <v>8.73</v>
      </c>
    </row>
    <row r="186" spans="1:2" x14ac:dyDescent="0.3">
      <c r="A186">
        <v>14.4</v>
      </c>
      <c r="B186">
        <v>10.130000000000001</v>
      </c>
    </row>
    <row r="187" spans="1:2" x14ac:dyDescent="0.3">
      <c r="A187">
        <v>16.5</v>
      </c>
      <c r="B187">
        <v>9.1300000000000008</v>
      </c>
    </row>
    <row r="188" spans="1:2" x14ac:dyDescent="0.3">
      <c r="A188">
        <v>18.899999999999999</v>
      </c>
      <c r="B188">
        <v>5.69</v>
      </c>
    </row>
    <row r="189" spans="1:2" x14ac:dyDescent="0.3">
      <c r="A189">
        <v>10.3</v>
      </c>
      <c r="B189">
        <v>9.3699999999999992</v>
      </c>
    </row>
    <row r="190" spans="1:2" x14ac:dyDescent="0.3">
      <c r="A190">
        <v>10.3</v>
      </c>
      <c r="B190">
        <v>5.97</v>
      </c>
    </row>
    <row r="191" spans="1:2" x14ac:dyDescent="0.3">
      <c r="A191">
        <v>10.3</v>
      </c>
      <c r="B191">
        <v>9.0500000000000007</v>
      </c>
    </row>
    <row r="192" spans="1:2" x14ac:dyDescent="0.3">
      <c r="A192">
        <v>16.399999999999999</v>
      </c>
      <c r="B192">
        <v>10.93</v>
      </c>
    </row>
    <row r="193" spans="1:2" x14ac:dyDescent="0.3">
      <c r="A193">
        <v>16.399999999999999</v>
      </c>
      <c r="B193">
        <v>10.79</v>
      </c>
    </row>
    <row r="194" spans="1:2" x14ac:dyDescent="0.3">
      <c r="A194">
        <v>14.4</v>
      </c>
      <c r="B194">
        <v>11.63</v>
      </c>
    </row>
    <row r="195" spans="1:2" x14ac:dyDescent="0.3">
      <c r="A195">
        <v>5.5</v>
      </c>
      <c r="B195">
        <v>5.95</v>
      </c>
    </row>
    <row r="196" spans="1:2" x14ac:dyDescent="0.3">
      <c r="A196">
        <v>14.4</v>
      </c>
      <c r="B196">
        <v>11.52</v>
      </c>
    </row>
    <row r="197" spans="1:2" x14ac:dyDescent="0.3">
      <c r="A197">
        <v>14.3</v>
      </c>
      <c r="B197">
        <v>8.1199999999999992</v>
      </c>
    </row>
    <row r="198" spans="1:2" x14ac:dyDescent="0.3">
      <c r="A198">
        <v>16.3</v>
      </c>
      <c r="B198">
        <v>8.99</v>
      </c>
    </row>
    <row r="199" spans="1:2" x14ac:dyDescent="0.3">
      <c r="A199">
        <v>10.1</v>
      </c>
      <c r="B199">
        <v>13.58</v>
      </c>
    </row>
    <row r="200" spans="1:2" x14ac:dyDescent="0.3">
      <c r="A200">
        <v>7.1</v>
      </c>
      <c r="B200">
        <v>5.09</v>
      </c>
    </row>
    <row r="201" spans="1:2" x14ac:dyDescent="0.3">
      <c r="A201">
        <v>5.4</v>
      </c>
      <c r="B201">
        <v>10.88</v>
      </c>
    </row>
    <row r="202" spans="1:2" x14ac:dyDescent="0.3">
      <c r="A202">
        <v>16.3</v>
      </c>
      <c r="B202">
        <v>10.99</v>
      </c>
    </row>
    <row r="203" spans="1:2" x14ac:dyDescent="0.3">
      <c r="A203">
        <v>10.1</v>
      </c>
      <c r="B203">
        <v>8.9700000000000006</v>
      </c>
    </row>
    <row r="204" spans="1:2" x14ac:dyDescent="0.3">
      <c r="A204">
        <v>18.7</v>
      </c>
      <c r="B204">
        <v>7.37</v>
      </c>
    </row>
    <row r="205" spans="1:2" x14ac:dyDescent="0.3">
      <c r="A205">
        <v>7.1</v>
      </c>
      <c r="B205">
        <v>7.35</v>
      </c>
    </row>
    <row r="206" spans="1:2" x14ac:dyDescent="0.3">
      <c r="A206">
        <v>6.9</v>
      </c>
      <c r="B206">
        <v>13.84</v>
      </c>
    </row>
    <row r="207" spans="1:2" x14ac:dyDescent="0.3">
      <c r="A207">
        <v>16.3</v>
      </c>
      <c r="B207">
        <v>9.42</v>
      </c>
    </row>
    <row r="208" spans="1:2" x14ac:dyDescent="0.3">
      <c r="A208">
        <v>12.4</v>
      </c>
      <c r="B208">
        <v>8.31</v>
      </c>
    </row>
    <row r="209" spans="1:2" x14ac:dyDescent="0.3">
      <c r="A209">
        <v>5.4</v>
      </c>
      <c r="B209">
        <v>9.49</v>
      </c>
    </row>
    <row r="210" spans="1:2" x14ac:dyDescent="0.3">
      <c r="A210">
        <v>6.8</v>
      </c>
      <c r="B210">
        <v>11.69</v>
      </c>
    </row>
    <row r="211" spans="1:2" x14ac:dyDescent="0.3">
      <c r="A211">
        <v>16.3</v>
      </c>
      <c r="B211">
        <v>6.46</v>
      </c>
    </row>
    <row r="212" spans="1:2" x14ac:dyDescent="0.3">
      <c r="A212">
        <v>16.3</v>
      </c>
      <c r="B212">
        <v>9.49</v>
      </c>
    </row>
    <row r="213" spans="1:2" x14ac:dyDescent="0.3">
      <c r="A213">
        <v>9.9</v>
      </c>
      <c r="B213">
        <v>10.88</v>
      </c>
    </row>
    <row r="214" spans="1:2" x14ac:dyDescent="0.3">
      <c r="A214">
        <v>18.7</v>
      </c>
      <c r="B214">
        <v>14.49</v>
      </c>
    </row>
    <row r="215" spans="1:2" x14ac:dyDescent="0.3">
      <c r="A215">
        <v>12.4</v>
      </c>
      <c r="B215">
        <v>7.53</v>
      </c>
    </row>
    <row r="216" spans="1:2" x14ac:dyDescent="0.3">
      <c r="A216">
        <v>5.4</v>
      </c>
      <c r="B216">
        <v>8.59</v>
      </c>
    </row>
    <row r="217" spans="1:2" x14ac:dyDescent="0.3">
      <c r="A217">
        <v>14.3</v>
      </c>
      <c r="B217">
        <v>8.7899999999999991</v>
      </c>
    </row>
    <row r="218" spans="1:2" x14ac:dyDescent="0.3">
      <c r="A218">
        <v>18.7</v>
      </c>
      <c r="B218">
        <v>11.06</v>
      </c>
    </row>
    <row r="219" spans="1:2" x14ac:dyDescent="0.3">
      <c r="A219">
        <v>18.600000000000001</v>
      </c>
      <c r="B219">
        <v>8.57</v>
      </c>
    </row>
    <row r="220" spans="1:2" x14ac:dyDescent="0.3">
      <c r="A220">
        <v>9.8000000000000007</v>
      </c>
      <c r="B220">
        <v>10.34</v>
      </c>
    </row>
    <row r="221" spans="1:2" x14ac:dyDescent="0.3">
      <c r="A221">
        <v>6.8</v>
      </c>
      <c r="B221">
        <v>12.82</v>
      </c>
    </row>
    <row r="222" spans="1:2" x14ac:dyDescent="0.3">
      <c r="A222">
        <v>6.8</v>
      </c>
      <c r="B222">
        <v>12.05</v>
      </c>
    </row>
    <row r="223" spans="1:2" x14ac:dyDescent="0.3">
      <c r="A223">
        <v>9.8000000000000007</v>
      </c>
      <c r="B223">
        <v>9.4600000000000009</v>
      </c>
    </row>
    <row r="224" spans="1:2" x14ac:dyDescent="0.3">
      <c r="A224">
        <v>16.2</v>
      </c>
      <c r="B224">
        <v>13.64</v>
      </c>
    </row>
    <row r="225" spans="1:2" x14ac:dyDescent="0.3">
      <c r="A225">
        <v>6.8</v>
      </c>
      <c r="B225">
        <v>10.58</v>
      </c>
    </row>
    <row r="226" spans="1:2" x14ac:dyDescent="0.3">
      <c r="A226">
        <v>12.1</v>
      </c>
      <c r="B226">
        <v>10.4</v>
      </c>
    </row>
    <row r="227" spans="1:2" x14ac:dyDescent="0.3">
      <c r="A227">
        <v>5.3</v>
      </c>
      <c r="B227">
        <v>5.34</v>
      </c>
    </row>
    <row r="228" spans="1:2" x14ac:dyDescent="0.3">
      <c r="A228">
        <v>18.600000000000001</v>
      </c>
      <c r="B228">
        <v>14.87</v>
      </c>
    </row>
    <row r="229" spans="1:2" x14ac:dyDescent="0.3">
      <c r="A229">
        <v>18.600000000000001</v>
      </c>
      <c r="B229">
        <v>6.23</v>
      </c>
    </row>
    <row r="230" spans="1:2" x14ac:dyDescent="0.3">
      <c r="A230">
        <v>12.1</v>
      </c>
      <c r="B230">
        <v>7.31</v>
      </c>
    </row>
    <row r="231" spans="1:2" x14ac:dyDescent="0.3">
      <c r="A231">
        <v>6.7</v>
      </c>
      <c r="B231">
        <v>5.52</v>
      </c>
    </row>
    <row r="232" spans="1:2" x14ac:dyDescent="0.3">
      <c r="A232">
        <v>18.5</v>
      </c>
      <c r="B232">
        <v>11.4</v>
      </c>
    </row>
    <row r="233" spans="1:2" x14ac:dyDescent="0.3">
      <c r="A233">
        <v>14.3</v>
      </c>
      <c r="B233">
        <v>7.25</v>
      </c>
    </row>
    <row r="234" spans="1:2" x14ac:dyDescent="0.3">
      <c r="A234">
        <v>5.3</v>
      </c>
      <c r="B234">
        <v>6.8</v>
      </c>
    </row>
    <row r="235" spans="1:2" x14ac:dyDescent="0.3">
      <c r="A235">
        <v>5.2</v>
      </c>
      <c r="B235">
        <v>5.89</v>
      </c>
    </row>
    <row r="236" spans="1:2" x14ac:dyDescent="0.3">
      <c r="A236">
        <v>18.5</v>
      </c>
      <c r="B236">
        <v>6.03</v>
      </c>
    </row>
    <row r="237" spans="1:2" x14ac:dyDescent="0.3">
      <c r="A237">
        <v>9.8000000000000007</v>
      </c>
      <c r="B237">
        <v>10.85</v>
      </c>
    </row>
    <row r="238" spans="1:2" x14ac:dyDescent="0.3">
      <c r="A238">
        <v>18.399999999999999</v>
      </c>
      <c r="B238">
        <v>11.88</v>
      </c>
    </row>
    <row r="239" spans="1:2" x14ac:dyDescent="0.3">
      <c r="A239">
        <v>9.8000000000000007</v>
      </c>
      <c r="B239">
        <v>8.9700000000000006</v>
      </c>
    </row>
    <row r="240" spans="1:2" x14ac:dyDescent="0.3">
      <c r="A240">
        <v>18.399999999999999</v>
      </c>
      <c r="B240">
        <v>9.8000000000000007</v>
      </c>
    </row>
    <row r="241" spans="1:2" x14ac:dyDescent="0.3">
      <c r="A241">
        <v>14.2</v>
      </c>
      <c r="B241">
        <v>11.86</v>
      </c>
    </row>
    <row r="242" spans="1:2" x14ac:dyDescent="0.3">
      <c r="A242">
        <v>16.100000000000001</v>
      </c>
      <c r="B242">
        <v>5.17</v>
      </c>
    </row>
    <row r="243" spans="1:2" x14ac:dyDescent="0.3">
      <c r="A243">
        <v>5.2</v>
      </c>
      <c r="B243">
        <v>8.23</v>
      </c>
    </row>
    <row r="244" spans="1:2" x14ac:dyDescent="0.3">
      <c r="A244">
        <v>18.399999999999999</v>
      </c>
      <c r="B244">
        <v>14.73</v>
      </c>
    </row>
    <row r="245" spans="1:2" x14ac:dyDescent="0.3">
      <c r="A245">
        <v>14.2</v>
      </c>
      <c r="B245">
        <v>10.8</v>
      </c>
    </row>
    <row r="246" spans="1:2" x14ac:dyDescent="0.3">
      <c r="A246">
        <v>9.8000000000000007</v>
      </c>
      <c r="B246">
        <v>7.54</v>
      </c>
    </row>
    <row r="247" spans="1:2" x14ac:dyDescent="0.3">
      <c r="A247">
        <v>9.6</v>
      </c>
      <c r="B247">
        <v>10.220000000000001</v>
      </c>
    </row>
    <row r="248" spans="1:2" x14ac:dyDescent="0.3">
      <c r="A248">
        <v>5.2</v>
      </c>
      <c r="B248">
        <v>8.43</v>
      </c>
    </row>
    <row r="249" spans="1:2" x14ac:dyDescent="0.3">
      <c r="A249">
        <v>12</v>
      </c>
      <c r="B249">
        <v>10.32</v>
      </c>
    </row>
    <row r="250" spans="1:2" x14ac:dyDescent="0.3">
      <c r="A250">
        <v>18.399999999999999</v>
      </c>
      <c r="B250">
        <v>6.26</v>
      </c>
    </row>
    <row r="251" spans="1:2" x14ac:dyDescent="0.3">
      <c r="A251">
        <v>6.7</v>
      </c>
      <c r="B251">
        <v>6.33</v>
      </c>
    </row>
    <row r="252" spans="1:2" x14ac:dyDescent="0.3">
      <c r="A252">
        <v>9.4</v>
      </c>
      <c r="B252">
        <v>6.44</v>
      </c>
    </row>
    <row r="253" spans="1:2" x14ac:dyDescent="0.3">
      <c r="A253">
        <v>16.100000000000001</v>
      </c>
      <c r="B253">
        <v>14.4</v>
      </c>
    </row>
    <row r="254" spans="1:2" x14ac:dyDescent="0.3">
      <c r="A254">
        <v>16</v>
      </c>
      <c r="B254">
        <v>12.33</v>
      </c>
    </row>
    <row r="255" spans="1:2" x14ac:dyDescent="0.3">
      <c r="A255">
        <v>9.4</v>
      </c>
      <c r="B255">
        <v>6.62</v>
      </c>
    </row>
    <row r="256" spans="1:2" x14ac:dyDescent="0.3">
      <c r="A256">
        <v>12</v>
      </c>
      <c r="B256">
        <v>6.88</v>
      </c>
    </row>
    <row r="257" spans="1:2" x14ac:dyDescent="0.3">
      <c r="A257">
        <v>12</v>
      </c>
      <c r="B257">
        <v>12.31</v>
      </c>
    </row>
    <row r="258" spans="1:2" x14ac:dyDescent="0.3">
      <c r="A258">
        <v>14.2</v>
      </c>
      <c r="B258">
        <v>6.56</v>
      </c>
    </row>
    <row r="259" spans="1:2" x14ac:dyDescent="0.3">
      <c r="A259">
        <v>15.9</v>
      </c>
      <c r="B259">
        <v>7.35</v>
      </c>
    </row>
    <row r="260" spans="1:2" x14ac:dyDescent="0.3">
      <c r="A260">
        <v>14.2</v>
      </c>
      <c r="B260">
        <v>14.63</v>
      </c>
    </row>
    <row r="261" spans="1:2" x14ac:dyDescent="0.3">
      <c r="A261">
        <v>15.9</v>
      </c>
      <c r="B261">
        <v>7.55</v>
      </c>
    </row>
    <row r="262" spans="1:2" x14ac:dyDescent="0.3">
      <c r="A262">
        <v>18.3</v>
      </c>
      <c r="B262">
        <v>11.62</v>
      </c>
    </row>
    <row r="263" spans="1:2" x14ac:dyDescent="0.3">
      <c r="A263">
        <v>18.2</v>
      </c>
      <c r="B263">
        <v>14.79</v>
      </c>
    </row>
    <row r="264" spans="1:2" x14ac:dyDescent="0.3">
      <c r="A264">
        <v>6.5</v>
      </c>
      <c r="B264">
        <v>8.74</v>
      </c>
    </row>
    <row r="265" spans="1:2" x14ac:dyDescent="0.3">
      <c r="A265">
        <v>18.2</v>
      </c>
      <c r="B265">
        <v>5.18</v>
      </c>
    </row>
    <row r="266" spans="1:2" x14ac:dyDescent="0.3">
      <c r="A266">
        <v>6.5</v>
      </c>
      <c r="B266">
        <v>7.44</v>
      </c>
    </row>
    <row r="267" spans="1:2" x14ac:dyDescent="0.3">
      <c r="A267">
        <v>18</v>
      </c>
      <c r="B267">
        <v>13.31</v>
      </c>
    </row>
    <row r="268" spans="1:2" x14ac:dyDescent="0.3">
      <c r="A268">
        <v>5.2</v>
      </c>
      <c r="B268">
        <v>13.65</v>
      </c>
    </row>
    <row r="269" spans="1:2" x14ac:dyDescent="0.3">
      <c r="A269">
        <v>18</v>
      </c>
      <c r="B269">
        <v>12.69</v>
      </c>
    </row>
    <row r="270" spans="1:2" x14ac:dyDescent="0.3">
      <c r="A270">
        <v>13.9</v>
      </c>
      <c r="B270">
        <v>6.13</v>
      </c>
    </row>
    <row r="271" spans="1:2" x14ac:dyDescent="0.3">
      <c r="A271">
        <v>9.4</v>
      </c>
      <c r="B271">
        <v>12.96</v>
      </c>
    </row>
    <row r="272" spans="1:2" x14ac:dyDescent="0.3">
      <c r="A272">
        <v>13.9</v>
      </c>
      <c r="B272">
        <v>14.19</v>
      </c>
    </row>
    <row r="273" spans="1:2" x14ac:dyDescent="0.3">
      <c r="A273">
        <v>9.3000000000000007</v>
      </c>
      <c r="B273">
        <v>11.01</v>
      </c>
    </row>
    <row r="274" spans="1:2" x14ac:dyDescent="0.3">
      <c r="A274">
        <v>11.9</v>
      </c>
      <c r="B274">
        <v>14.41</v>
      </c>
    </row>
    <row r="275" spans="1:2" x14ac:dyDescent="0.3">
      <c r="A275">
        <v>13.8</v>
      </c>
      <c r="B275">
        <v>13.27</v>
      </c>
    </row>
    <row r="276" spans="1:2" x14ac:dyDescent="0.3">
      <c r="A276">
        <v>11.8</v>
      </c>
      <c r="B276">
        <v>11.67</v>
      </c>
    </row>
    <row r="277" spans="1:2" x14ac:dyDescent="0.3">
      <c r="A277">
        <v>6.5</v>
      </c>
      <c r="B277">
        <v>10.77</v>
      </c>
    </row>
    <row r="278" spans="1:2" x14ac:dyDescent="0.3">
      <c r="A278">
        <v>6.5</v>
      </c>
      <c r="B278">
        <v>8.49</v>
      </c>
    </row>
    <row r="279" spans="1:2" x14ac:dyDescent="0.3">
      <c r="A279">
        <v>5.2</v>
      </c>
      <c r="B279">
        <v>6.59</v>
      </c>
    </row>
    <row r="280" spans="1:2" x14ac:dyDescent="0.3">
      <c r="A280">
        <v>18</v>
      </c>
      <c r="B280">
        <v>11.05</v>
      </c>
    </row>
    <row r="281" spans="1:2" x14ac:dyDescent="0.3">
      <c r="A281">
        <v>13.8</v>
      </c>
      <c r="B281">
        <v>8.18</v>
      </c>
    </row>
    <row r="282" spans="1:2" x14ac:dyDescent="0.3">
      <c r="A282">
        <v>11.8</v>
      </c>
      <c r="B282">
        <v>13.66</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E22CA-A125-4B51-AD3B-B80647807777}">
  <dimension ref="A1:J281"/>
  <sheetViews>
    <sheetView workbookViewId="0">
      <selection activeCell="E2" sqref="E2:F2"/>
    </sheetView>
  </sheetViews>
  <sheetFormatPr defaultRowHeight="14.4" x14ac:dyDescent="0.3"/>
  <cols>
    <col min="2" max="2" width="6.33203125" bestFit="1" customWidth="1"/>
    <col min="5" max="5" width="16.5546875" bestFit="1" customWidth="1"/>
    <col min="6" max="6" width="12.6640625" bestFit="1" customWidth="1"/>
    <col min="7" max="7" width="16.5546875" bestFit="1" customWidth="1"/>
    <col min="8" max="8" width="12.6640625" bestFit="1" customWidth="1"/>
    <col min="9" max="9" width="19.6640625" bestFit="1" customWidth="1"/>
    <col min="10" max="11" width="12.6640625" bestFit="1" customWidth="1"/>
    <col min="12" max="12" width="16.5546875" bestFit="1" customWidth="1"/>
    <col min="13" max="13" width="12.6640625" bestFit="1" customWidth="1"/>
    <col min="14" max="14" width="19.6640625" bestFit="1" customWidth="1"/>
    <col min="15" max="15" width="12.6640625" bestFit="1" customWidth="1"/>
  </cols>
  <sheetData>
    <row r="1" spans="1:10" ht="43.2" x14ac:dyDescent="0.3">
      <c r="A1" s="2" t="s">
        <v>9</v>
      </c>
      <c r="B1" s="2" t="s">
        <v>24</v>
      </c>
      <c r="C1" s="2" t="s">
        <v>26</v>
      </c>
    </row>
    <row r="2" spans="1:10" x14ac:dyDescent="0.3">
      <c r="A2">
        <v>69.209999999999994</v>
      </c>
      <c r="B2">
        <v>7.58</v>
      </c>
      <c r="C2">
        <v>98.33</v>
      </c>
      <c r="E2" s="109" t="s">
        <v>9</v>
      </c>
      <c r="F2" s="110"/>
      <c r="G2" s="109" t="s">
        <v>24</v>
      </c>
      <c r="H2" s="110"/>
      <c r="I2" s="109" t="s">
        <v>26</v>
      </c>
      <c r="J2" s="110"/>
    </row>
    <row r="3" spans="1:10" x14ac:dyDescent="0.3">
      <c r="A3">
        <v>94.97</v>
      </c>
      <c r="B3">
        <v>6.16</v>
      </c>
      <c r="C3">
        <v>89.25</v>
      </c>
      <c r="E3" s="20"/>
      <c r="F3" s="20"/>
      <c r="G3" s="20"/>
      <c r="H3" s="20"/>
      <c r="I3" s="20"/>
      <c r="J3" s="20"/>
    </row>
    <row r="4" spans="1:10" x14ac:dyDescent="0.3">
      <c r="A4">
        <v>68.989999999999995</v>
      </c>
      <c r="B4">
        <v>7.9</v>
      </c>
      <c r="C4">
        <v>90.14</v>
      </c>
      <c r="E4" s="85" t="s">
        <v>756</v>
      </c>
      <c r="F4" s="86">
        <v>72.704035714285709</v>
      </c>
      <c r="G4" s="85" t="s">
        <v>756</v>
      </c>
      <c r="H4" s="86">
        <v>7.9935357142857066</v>
      </c>
      <c r="I4" s="85" t="s">
        <v>756</v>
      </c>
      <c r="J4" s="86">
        <v>84.447892857142804</v>
      </c>
    </row>
    <row r="5" spans="1:10" x14ac:dyDescent="0.3">
      <c r="A5">
        <v>87.71</v>
      </c>
      <c r="B5">
        <v>8.17</v>
      </c>
      <c r="C5">
        <v>88.97</v>
      </c>
      <c r="E5" s="85" t="s">
        <v>735</v>
      </c>
      <c r="F5" s="86">
        <v>0.80662017248392825</v>
      </c>
      <c r="G5" s="85" t="s">
        <v>735</v>
      </c>
      <c r="H5" s="86">
        <v>7.0504327601095068E-2</v>
      </c>
      <c r="I5" s="85" t="s">
        <v>735</v>
      </c>
      <c r="J5" s="86">
        <v>0.50878613532613393</v>
      </c>
    </row>
    <row r="6" spans="1:10" x14ac:dyDescent="0.3">
      <c r="A6">
        <v>87.7</v>
      </c>
      <c r="B6">
        <v>6.91</v>
      </c>
      <c r="C6">
        <v>75.97</v>
      </c>
      <c r="E6" s="85" t="s">
        <v>626</v>
      </c>
      <c r="F6" s="86">
        <v>73.204999999999998</v>
      </c>
      <c r="G6" s="85" t="s">
        <v>626</v>
      </c>
      <c r="H6" s="86">
        <v>7.97</v>
      </c>
      <c r="I6" s="85" t="s">
        <v>626</v>
      </c>
      <c r="J6" s="86">
        <v>84.11</v>
      </c>
    </row>
    <row r="7" spans="1:10" x14ac:dyDescent="0.3">
      <c r="A7">
        <v>68.98</v>
      </c>
      <c r="B7">
        <v>9.86</v>
      </c>
      <c r="C7">
        <v>82.55</v>
      </c>
      <c r="E7" s="85" t="s">
        <v>757</v>
      </c>
      <c r="F7" s="86">
        <v>84.69</v>
      </c>
      <c r="G7" s="85" t="s">
        <v>757</v>
      </c>
      <c r="H7" s="86">
        <v>9.86</v>
      </c>
      <c r="I7" s="85" t="s">
        <v>757</v>
      </c>
      <c r="J7" s="86">
        <v>75.38</v>
      </c>
    </row>
    <row r="8" spans="1:10" x14ac:dyDescent="0.3">
      <c r="A8">
        <v>94.84</v>
      </c>
      <c r="B8">
        <v>9.64</v>
      </c>
      <c r="C8">
        <v>92.53</v>
      </c>
      <c r="E8" s="85" t="s">
        <v>676</v>
      </c>
      <c r="F8" s="86">
        <v>13.497337098266481</v>
      </c>
      <c r="G8" s="85" t="s">
        <v>676</v>
      </c>
      <c r="H8" s="86">
        <v>1.1797630520299871</v>
      </c>
      <c r="I8" s="85" t="s">
        <v>676</v>
      </c>
      <c r="J8" s="86">
        <v>8.5136204296426587</v>
      </c>
    </row>
    <row r="9" spans="1:10" x14ac:dyDescent="0.3">
      <c r="A9">
        <v>68.98</v>
      </c>
      <c r="B9">
        <v>8.89</v>
      </c>
      <c r="C9">
        <v>73.040000000000006</v>
      </c>
      <c r="E9" s="85" t="s">
        <v>758</v>
      </c>
      <c r="F9" s="86">
        <v>182.17810874424063</v>
      </c>
      <c r="G9" s="85" t="s">
        <v>758</v>
      </c>
      <c r="H9" s="86">
        <v>1.3918408589351101</v>
      </c>
      <c r="I9" s="85" t="s">
        <v>758</v>
      </c>
      <c r="J9" s="86">
        <v>72.481732820028839</v>
      </c>
    </row>
    <row r="10" spans="1:10" x14ac:dyDescent="0.3">
      <c r="A10">
        <v>61.65</v>
      </c>
      <c r="B10">
        <v>8.1300000000000008</v>
      </c>
      <c r="C10">
        <v>78.34</v>
      </c>
      <c r="E10" s="85" t="s">
        <v>759</v>
      </c>
      <c r="F10" s="86">
        <v>-1.2148638609990521</v>
      </c>
      <c r="G10" s="85" t="s">
        <v>759</v>
      </c>
      <c r="H10" s="86">
        <v>-1.2189955657734077</v>
      </c>
      <c r="I10" s="85" t="s">
        <v>759</v>
      </c>
      <c r="J10" s="86">
        <v>-1.1752846125189207</v>
      </c>
    </row>
    <row r="11" spans="1:10" x14ac:dyDescent="0.3">
      <c r="A11">
        <v>74.290000000000006</v>
      </c>
      <c r="B11">
        <v>9.48</v>
      </c>
      <c r="C11">
        <v>78.290000000000006</v>
      </c>
      <c r="E11" s="85" t="s">
        <v>760</v>
      </c>
      <c r="F11" s="86">
        <v>-7.5298399086924067E-2</v>
      </c>
      <c r="G11" s="85" t="s">
        <v>760</v>
      </c>
      <c r="H11" s="86">
        <v>-3.1992384296856212E-2</v>
      </c>
      <c r="I11" s="85" t="s">
        <v>760</v>
      </c>
      <c r="J11" s="86">
        <v>6.7273037876835071E-2</v>
      </c>
    </row>
    <row r="12" spans="1:10" x14ac:dyDescent="0.3">
      <c r="A12">
        <v>94.62</v>
      </c>
      <c r="B12">
        <v>6.52</v>
      </c>
      <c r="C12">
        <v>82.96</v>
      </c>
      <c r="E12" s="85" t="s">
        <v>627</v>
      </c>
      <c r="F12" s="86">
        <v>44.96</v>
      </c>
      <c r="G12" s="85" t="s">
        <v>627</v>
      </c>
      <c r="H12" s="86">
        <v>3.99</v>
      </c>
      <c r="I12" s="85" t="s">
        <v>627</v>
      </c>
      <c r="J12" s="86">
        <v>29.86</v>
      </c>
    </row>
    <row r="13" spans="1:10" x14ac:dyDescent="0.3">
      <c r="A13">
        <v>94.57</v>
      </c>
      <c r="B13">
        <v>9.16</v>
      </c>
      <c r="C13">
        <v>99.41</v>
      </c>
      <c r="E13" s="85" t="s">
        <v>657</v>
      </c>
      <c r="F13" s="86">
        <v>50.01</v>
      </c>
      <c r="G13" s="85" t="s">
        <v>657</v>
      </c>
      <c r="H13" s="86">
        <v>6</v>
      </c>
      <c r="I13" s="85" t="s">
        <v>657</v>
      </c>
      <c r="J13" s="86">
        <v>70.06</v>
      </c>
    </row>
    <row r="14" spans="1:10" x14ac:dyDescent="0.3">
      <c r="A14">
        <v>82.2</v>
      </c>
      <c r="B14">
        <v>6.5</v>
      </c>
      <c r="C14">
        <v>72.03</v>
      </c>
      <c r="E14" s="85" t="s">
        <v>658</v>
      </c>
      <c r="F14" s="86">
        <v>94.97</v>
      </c>
      <c r="G14" s="85" t="s">
        <v>658</v>
      </c>
      <c r="H14" s="86">
        <v>9.99</v>
      </c>
      <c r="I14" s="85" t="s">
        <v>658</v>
      </c>
      <c r="J14" s="86">
        <v>99.92</v>
      </c>
    </row>
    <row r="15" spans="1:10" x14ac:dyDescent="0.3">
      <c r="A15">
        <v>54.93</v>
      </c>
      <c r="B15">
        <v>9.18</v>
      </c>
      <c r="C15">
        <v>85.56</v>
      </c>
      <c r="E15" s="85" t="s">
        <v>761</v>
      </c>
      <c r="F15" s="86">
        <v>20357.129999999997</v>
      </c>
      <c r="G15" s="85" t="s">
        <v>761</v>
      </c>
      <c r="H15" s="86">
        <v>2238.1899999999978</v>
      </c>
      <c r="I15" s="85" t="s">
        <v>761</v>
      </c>
      <c r="J15" s="86">
        <v>23645.409999999985</v>
      </c>
    </row>
    <row r="16" spans="1:10" x14ac:dyDescent="0.3">
      <c r="A16">
        <v>74.23</v>
      </c>
      <c r="B16">
        <v>7.1</v>
      </c>
      <c r="C16">
        <v>75.38</v>
      </c>
      <c r="E16" s="85" t="s">
        <v>693</v>
      </c>
      <c r="F16" s="86">
        <v>280</v>
      </c>
      <c r="G16" s="85" t="s">
        <v>693</v>
      </c>
      <c r="H16" s="86">
        <v>280</v>
      </c>
      <c r="I16" s="85" t="s">
        <v>693</v>
      </c>
      <c r="J16" s="86">
        <v>280</v>
      </c>
    </row>
    <row r="17" spans="1:10" x14ac:dyDescent="0.3">
      <c r="A17">
        <v>87.67</v>
      </c>
      <c r="B17">
        <v>9.51</v>
      </c>
      <c r="C17">
        <v>99.12</v>
      </c>
    </row>
    <row r="18" spans="1:10" x14ac:dyDescent="0.3">
      <c r="A18">
        <v>94.51</v>
      </c>
      <c r="B18">
        <v>9.7799999999999994</v>
      </c>
      <c r="C18">
        <v>73.400000000000006</v>
      </c>
    </row>
    <row r="19" spans="1:10" ht="14.4" customHeight="1" x14ac:dyDescent="0.3">
      <c r="A19">
        <v>68.790000000000006</v>
      </c>
      <c r="B19">
        <v>6.6</v>
      </c>
      <c r="C19">
        <v>82.11</v>
      </c>
      <c r="E19" s="108" t="s">
        <v>762</v>
      </c>
      <c r="F19" s="108"/>
      <c r="G19" s="108"/>
      <c r="H19" s="108"/>
      <c r="I19" s="108"/>
      <c r="J19" s="108"/>
    </row>
    <row r="20" spans="1:10" ht="14.4" customHeight="1" x14ac:dyDescent="0.3">
      <c r="A20">
        <v>73.97</v>
      </c>
      <c r="B20">
        <v>7.85</v>
      </c>
      <c r="C20">
        <v>92.14</v>
      </c>
      <c r="E20" s="108"/>
      <c r="F20" s="108"/>
      <c r="G20" s="108"/>
      <c r="H20" s="108"/>
      <c r="I20" s="108"/>
      <c r="J20" s="108"/>
    </row>
    <row r="21" spans="1:10" ht="14.4" customHeight="1" x14ac:dyDescent="0.3">
      <c r="A21">
        <v>81.72</v>
      </c>
      <c r="B21">
        <v>9.92</v>
      </c>
      <c r="C21">
        <v>91.14</v>
      </c>
      <c r="E21" s="108"/>
      <c r="F21" s="108"/>
      <c r="G21" s="108"/>
      <c r="H21" s="108"/>
      <c r="I21" s="108"/>
      <c r="J21" s="108"/>
    </row>
    <row r="22" spans="1:10" ht="14.4" customHeight="1" x14ac:dyDescent="0.3">
      <c r="A22">
        <v>87.38</v>
      </c>
      <c r="B22">
        <v>7.93</v>
      </c>
      <c r="C22">
        <v>82.68</v>
      </c>
      <c r="E22" s="108"/>
      <c r="F22" s="108"/>
      <c r="G22" s="108"/>
      <c r="H22" s="108"/>
      <c r="I22" s="108"/>
      <c r="J22" s="108"/>
    </row>
    <row r="23" spans="1:10" ht="14.4" customHeight="1" x14ac:dyDescent="0.3">
      <c r="A23">
        <v>54.8</v>
      </c>
      <c r="B23">
        <v>9.4499999999999993</v>
      </c>
      <c r="C23">
        <v>80.400000000000006</v>
      </c>
      <c r="E23" s="108"/>
      <c r="F23" s="108"/>
      <c r="G23" s="108"/>
      <c r="H23" s="108"/>
      <c r="I23" s="108"/>
      <c r="J23" s="108"/>
    </row>
    <row r="24" spans="1:10" ht="14.4" customHeight="1" x14ac:dyDescent="0.3">
      <c r="A24">
        <v>54.76</v>
      </c>
      <c r="B24">
        <v>8.35</v>
      </c>
      <c r="C24">
        <v>81.93</v>
      </c>
      <c r="E24" s="108"/>
      <c r="F24" s="108"/>
      <c r="G24" s="108"/>
      <c r="H24" s="108"/>
      <c r="I24" s="108"/>
      <c r="J24" s="108"/>
    </row>
    <row r="25" spans="1:10" ht="14.4" customHeight="1" x14ac:dyDescent="0.3">
      <c r="A25">
        <v>81.45</v>
      </c>
      <c r="B25">
        <v>7.5</v>
      </c>
      <c r="C25">
        <v>77.930000000000007</v>
      </c>
      <c r="E25" s="108"/>
      <c r="F25" s="108"/>
      <c r="G25" s="108"/>
      <c r="H25" s="108"/>
      <c r="I25" s="108"/>
      <c r="J25" s="108"/>
    </row>
    <row r="26" spans="1:10" ht="14.4" customHeight="1" x14ac:dyDescent="0.3">
      <c r="A26">
        <v>81.45</v>
      </c>
      <c r="B26">
        <v>7.14</v>
      </c>
      <c r="C26">
        <v>76.16</v>
      </c>
      <c r="E26" s="108"/>
      <c r="F26" s="108"/>
      <c r="G26" s="108"/>
      <c r="H26" s="108"/>
      <c r="I26" s="108"/>
      <c r="J26" s="108"/>
    </row>
    <row r="27" spans="1:10" ht="14.4" customHeight="1" x14ac:dyDescent="0.3">
      <c r="A27">
        <v>68.58</v>
      </c>
      <c r="B27">
        <v>6.81</v>
      </c>
      <c r="C27">
        <v>84.49</v>
      </c>
      <c r="E27" s="108"/>
      <c r="F27" s="108"/>
      <c r="G27" s="108"/>
      <c r="H27" s="108"/>
      <c r="I27" s="108"/>
      <c r="J27" s="108"/>
    </row>
    <row r="28" spans="1:10" x14ac:dyDescent="0.3">
      <c r="A28">
        <v>94.34</v>
      </c>
      <c r="B28">
        <v>9.0500000000000007</v>
      </c>
      <c r="C28">
        <v>78.06</v>
      </c>
      <c r="E28" s="108"/>
      <c r="F28" s="108"/>
      <c r="G28" s="108"/>
      <c r="H28" s="108"/>
      <c r="I28" s="108"/>
      <c r="J28" s="108"/>
    </row>
    <row r="29" spans="1:10" x14ac:dyDescent="0.3">
      <c r="A29">
        <v>54.64</v>
      </c>
      <c r="B29">
        <v>7.55</v>
      </c>
      <c r="C29">
        <v>78.62</v>
      </c>
      <c r="E29" s="108"/>
      <c r="F29" s="108"/>
      <c r="G29" s="108"/>
      <c r="H29" s="108"/>
      <c r="I29" s="108"/>
      <c r="J29" s="108"/>
    </row>
    <row r="30" spans="1:10" x14ac:dyDescent="0.3">
      <c r="A30">
        <v>87.38</v>
      </c>
      <c r="B30">
        <v>8.0500000000000007</v>
      </c>
      <c r="C30">
        <v>89.7</v>
      </c>
      <c r="E30" s="108"/>
      <c r="F30" s="108"/>
      <c r="G30" s="108"/>
      <c r="H30" s="108"/>
      <c r="I30" s="108"/>
      <c r="J30" s="108"/>
    </row>
    <row r="31" spans="1:10" x14ac:dyDescent="0.3">
      <c r="A31">
        <v>73.86</v>
      </c>
      <c r="B31">
        <v>7.97</v>
      </c>
      <c r="C31">
        <v>99.06</v>
      </c>
      <c r="E31" s="108"/>
      <c r="F31" s="108"/>
      <c r="G31" s="108"/>
      <c r="H31" s="108"/>
      <c r="I31" s="108"/>
      <c r="J31" s="108"/>
    </row>
    <row r="32" spans="1:10" x14ac:dyDescent="0.3">
      <c r="A32">
        <v>87.18</v>
      </c>
      <c r="B32">
        <v>8.31</v>
      </c>
      <c r="C32">
        <v>88.11</v>
      </c>
    </row>
    <row r="33" spans="1:3" x14ac:dyDescent="0.3">
      <c r="A33">
        <v>61.64</v>
      </c>
      <c r="B33">
        <v>9.4600000000000009</v>
      </c>
      <c r="C33">
        <v>72.31</v>
      </c>
    </row>
    <row r="34" spans="1:3" x14ac:dyDescent="0.3">
      <c r="A34">
        <v>61.37</v>
      </c>
      <c r="B34">
        <v>9.92</v>
      </c>
      <c r="C34">
        <v>72.27</v>
      </c>
    </row>
    <row r="35" spans="1:3" x14ac:dyDescent="0.3">
      <c r="A35">
        <v>81.31</v>
      </c>
      <c r="B35">
        <v>7.63</v>
      </c>
      <c r="C35">
        <v>98.54</v>
      </c>
    </row>
    <row r="36" spans="1:3" x14ac:dyDescent="0.3">
      <c r="A36">
        <v>68.239999999999995</v>
      </c>
      <c r="B36">
        <v>9.31</v>
      </c>
      <c r="C36">
        <v>78.92</v>
      </c>
    </row>
    <row r="37" spans="1:3" x14ac:dyDescent="0.3">
      <c r="A37">
        <v>61.28</v>
      </c>
      <c r="B37">
        <v>9.06</v>
      </c>
      <c r="C37">
        <v>72.760000000000005</v>
      </c>
    </row>
    <row r="38" spans="1:3" x14ac:dyDescent="0.3">
      <c r="A38">
        <v>54.13</v>
      </c>
      <c r="B38">
        <v>8.2899999999999991</v>
      </c>
      <c r="C38">
        <v>87.97</v>
      </c>
    </row>
    <row r="39" spans="1:3" x14ac:dyDescent="0.3">
      <c r="A39">
        <v>87.13</v>
      </c>
      <c r="B39">
        <v>9.82</v>
      </c>
      <c r="C39">
        <v>88.71</v>
      </c>
    </row>
    <row r="40" spans="1:3" x14ac:dyDescent="0.3">
      <c r="A40">
        <v>87.02</v>
      </c>
      <c r="B40">
        <v>6.8</v>
      </c>
      <c r="C40">
        <v>89.46</v>
      </c>
    </row>
    <row r="41" spans="1:3" x14ac:dyDescent="0.3">
      <c r="A41">
        <v>81.19</v>
      </c>
      <c r="B41">
        <v>6.44</v>
      </c>
      <c r="C41">
        <v>78.02</v>
      </c>
    </row>
    <row r="42" spans="1:3" x14ac:dyDescent="0.3">
      <c r="A42">
        <v>94.2</v>
      </c>
      <c r="B42">
        <v>9.42</v>
      </c>
      <c r="C42">
        <v>70.45</v>
      </c>
    </row>
    <row r="43" spans="1:3" x14ac:dyDescent="0.3">
      <c r="A43">
        <v>94.13</v>
      </c>
      <c r="B43">
        <v>7.76</v>
      </c>
      <c r="C43">
        <v>98.95</v>
      </c>
    </row>
    <row r="44" spans="1:3" x14ac:dyDescent="0.3">
      <c r="A44">
        <v>73.83</v>
      </c>
      <c r="B44">
        <v>9.39</v>
      </c>
      <c r="C44">
        <v>77.53</v>
      </c>
    </row>
    <row r="45" spans="1:3" x14ac:dyDescent="0.3">
      <c r="A45">
        <v>81.099999999999994</v>
      </c>
      <c r="B45">
        <v>9.57</v>
      </c>
      <c r="C45">
        <v>90.28</v>
      </c>
    </row>
    <row r="46" spans="1:3" x14ac:dyDescent="0.3">
      <c r="A46">
        <v>73.63</v>
      </c>
      <c r="B46">
        <v>6.25</v>
      </c>
      <c r="C46">
        <v>91.2</v>
      </c>
    </row>
    <row r="47" spans="1:3" x14ac:dyDescent="0.3">
      <c r="A47">
        <v>93.85</v>
      </c>
      <c r="B47">
        <v>9.5299999999999994</v>
      </c>
      <c r="C47">
        <v>88.3</v>
      </c>
    </row>
    <row r="48" spans="1:3" x14ac:dyDescent="0.3">
      <c r="A48">
        <v>81.08</v>
      </c>
      <c r="B48">
        <v>7.79</v>
      </c>
      <c r="C48">
        <v>79.39</v>
      </c>
    </row>
    <row r="49" spans="1:3" x14ac:dyDescent="0.3">
      <c r="A49">
        <v>80.739999999999995</v>
      </c>
      <c r="B49">
        <v>8.0399999999999991</v>
      </c>
      <c r="C49">
        <v>78.13</v>
      </c>
    </row>
    <row r="50" spans="1:3" x14ac:dyDescent="0.3">
      <c r="A50">
        <v>80.150000000000006</v>
      </c>
      <c r="B50">
        <v>8.51</v>
      </c>
      <c r="C50">
        <v>87.93</v>
      </c>
    </row>
    <row r="51" spans="1:3" x14ac:dyDescent="0.3">
      <c r="A51">
        <v>93.55</v>
      </c>
      <c r="B51">
        <v>9.7100000000000009</v>
      </c>
      <c r="C51">
        <v>95.98</v>
      </c>
    </row>
    <row r="52" spans="1:3" x14ac:dyDescent="0.3">
      <c r="A52">
        <v>73.510000000000005</v>
      </c>
      <c r="B52">
        <v>6.08</v>
      </c>
      <c r="C52">
        <v>98.4</v>
      </c>
    </row>
    <row r="53" spans="1:3" x14ac:dyDescent="0.3">
      <c r="A53">
        <v>73.510000000000005</v>
      </c>
      <c r="B53">
        <v>7.91</v>
      </c>
      <c r="C53">
        <v>73.180000000000007</v>
      </c>
    </row>
    <row r="54" spans="1:3" x14ac:dyDescent="0.3">
      <c r="A54">
        <v>79.8</v>
      </c>
      <c r="B54">
        <v>8.75</v>
      </c>
      <c r="C54">
        <v>74.64</v>
      </c>
    </row>
    <row r="55" spans="1:3" x14ac:dyDescent="0.3">
      <c r="A55">
        <v>61.04</v>
      </c>
      <c r="B55">
        <v>8.89</v>
      </c>
      <c r="C55">
        <v>98.34</v>
      </c>
    </row>
    <row r="56" spans="1:3" x14ac:dyDescent="0.3">
      <c r="A56">
        <v>68.2</v>
      </c>
      <c r="B56">
        <v>8.77</v>
      </c>
      <c r="C56">
        <v>92.1</v>
      </c>
    </row>
    <row r="57" spans="1:3" x14ac:dyDescent="0.3">
      <c r="A57">
        <v>93.3</v>
      </c>
      <c r="B57">
        <v>6.54</v>
      </c>
      <c r="C57">
        <v>96.49</v>
      </c>
    </row>
    <row r="58" spans="1:3" x14ac:dyDescent="0.3">
      <c r="A58">
        <v>68.2</v>
      </c>
      <c r="B58">
        <v>7.2</v>
      </c>
      <c r="C58">
        <v>76.08</v>
      </c>
    </row>
    <row r="59" spans="1:3" x14ac:dyDescent="0.3">
      <c r="A59">
        <v>68.11</v>
      </c>
      <c r="B59">
        <v>7.43</v>
      </c>
      <c r="C59">
        <v>87.63</v>
      </c>
    </row>
    <row r="60" spans="1:3" x14ac:dyDescent="0.3">
      <c r="A60">
        <v>73.459999999999994</v>
      </c>
      <c r="B60">
        <v>9.2200000000000006</v>
      </c>
      <c r="C60">
        <v>91.03</v>
      </c>
    </row>
    <row r="61" spans="1:3" x14ac:dyDescent="0.3">
      <c r="A61">
        <v>73.459999999999994</v>
      </c>
      <c r="B61">
        <v>7.12</v>
      </c>
      <c r="C61">
        <v>90.4</v>
      </c>
    </row>
    <row r="62" spans="1:3" x14ac:dyDescent="0.3">
      <c r="A62">
        <v>60.74</v>
      </c>
      <c r="B62">
        <v>6.84</v>
      </c>
      <c r="C62">
        <v>82.24</v>
      </c>
    </row>
    <row r="63" spans="1:3" x14ac:dyDescent="0.3">
      <c r="A63">
        <v>68.069999999999993</v>
      </c>
      <c r="B63">
        <v>9.83</v>
      </c>
      <c r="C63">
        <v>70.459999999999994</v>
      </c>
    </row>
    <row r="64" spans="1:3" x14ac:dyDescent="0.3">
      <c r="A64">
        <v>67.92</v>
      </c>
      <c r="B64">
        <v>6.04</v>
      </c>
      <c r="C64">
        <v>87.49</v>
      </c>
    </row>
    <row r="65" spans="1:3" x14ac:dyDescent="0.3">
      <c r="A65">
        <v>79.77</v>
      </c>
      <c r="B65">
        <v>9.99</v>
      </c>
      <c r="C65">
        <v>77.59</v>
      </c>
    </row>
    <row r="66" spans="1:3" x14ac:dyDescent="0.3">
      <c r="A66">
        <v>73.41</v>
      </c>
      <c r="B66">
        <v>8.7100000000000009</v>
      </c>
      <c r="C66">
        <v>83.51</v>
      </c>
    </row>
    <row r="67" spans="1:3" x14ac:dyDescent="0.3">
      <c r="A67">
        <v>67.849999999999994</v>
      </c>
      <c r="B67">
        <v>9.31</v>
      </c>
      <c r="C67">
        <v>98.73</v>
      </c>
    </row>
    <row r="68" spans="1:3" x14ac:dyDescent="0.3">
      <c r="A68">
        <v>86.9</v>
      </c>
      <c r="B68">
        <v>7.18</v>
      </c>
      <c r="C68">
        <v>81.97</v>
      </c>
    </row>
    <row r="69" spans="1:3" x14ac:dyDescent="0.3">
      <c r="A69">
        <v>60.38</v>
      </c>
      <c r="B69">
        <v>6.06</v>
      </c>
      <c r="C69">
        <v>95.19</v>
      </c>
    </row>
    <row r="70" spans="1:3" x14ac:dyDescent="0.3">
      <c r="A70">
        <v>86.84</v>
      </c>
      <c r="B70">
        <v>8.9499999999999993</v>
      </c>
      <c r="C70">
        <v>75.66</v>
      </c>
    </row>
    <row r="71" spans="1:3" x14ac:dyDescent="0.3">
      <c r="A71">
        <v>86.68</v>
      </c>
      <c r="B71">
        <v>9.34</v>
      </c>
      <c r="C71">
        <v>90.17</v>
      </c>
    </row>
    <row r="72" spans="1:3" x14ac:dyDescent="0.3">
      <c r="A72">
        <v>93.29</v>
      </c>
      <c r="B72">
        <v>8.9600000000000009</v>
      </c>
      <c r="C72">
        <v>99.31</v>
      </c>
    </row>
    <row r="73" spans="1:3" x14ac:dyDescent="0.3">
      <c r="A73">
        <v>93.26</v>
      </c>
      <c r="B73">
        <v>6.57</v>
      </c>
      <c r="C73">
        <v>73.06</v>
      </c>
    </row>
    <row r="74" spans="1:3" x14ac:dyDescent="0.3">
      <c r="A74">
        <v>60.29</v>
      </c>
      <c r="B74">
        <v>9.01</v>
      </c>
      <c r="C74">
        <v>70.25</v>
      </c>
    </row>
    <row r="75" spans="1:3" x14ac:dyDescent="0.3">
      <c r="A75">
        <v>86.33</v>
      </c>
      <c r="B75">
        <v>9.08</v>
      </c>
      <c r="C75">
        <v>83.01</v>
      </c>
    </row>
    <row r="76" spans="1:3" x14ac:dyDescent="0.3">
      <c r="A76">
        <v>67.650000000000006</v>
      </c>
      <c r="B76">
        <v>8.6300000000000008</v>
      </c>
      <c r="C76">
        <v>72.78</v>
      </c>
    </row>
    <row r="77" spans="1:3" x14ac:dyDescent="0.3">
      <c r="A77">
        <v>73.319999999999993</v>
      </c>
      <c r="B77">
        <v>9.06</v>
      </c>
      <c r="C77">
        <v>92.45</v>
      </c>
    </row>
    <row r="78" spans="1:3" x14ac:dyDescent="0.3">
      <c r="A78">
        <v>59.88</v>
      </c>
      <c r="B78">
        <v>9.3800000000000008</v>
      </c>
      <c r="C78">
        <v>97.44</v>
      </c>
    </row>
    <row r="79" spans="1:3" x14ac:dyDescent="0.3">
      <c r="A79">
        <v>79.260000000000005</v>
      </c>
      <c r="B79">
        <v>8.4499999999999993</v>
      </c>
      <c r="C79">
        <v>83.02</v>
      </c>
    </row>
    <row r="80" spans="1:3" x14ac:dyDescent="0.3">
      <c r="A80">
        <v>86.18</v>
      </c>
      <c r="B80">
        <v>6.35</v>
      </c>
      <c r="C80">
        <v>77.760000000000005</v>
      </c>
    </row>
    <row r="81" spans="1:3" x14ac:dyDescent="0.3">
      <c r="A81">
        <v>59.81</v>
      </c>
      <c r="B81">
        <v>7.95</v>
      </c>
      <c r="C81">
        <v>83.03</v>
      </c>
    </row>
    <row r="82" spans="1:3" x14ac:dyDescent="0.3">
      <c r="A82">
        <v>54.07</v>
      </c>
      <c r="B82">
        <v>6.31</v>
      </c>
      <c r="C82">
        <v>91.7</v>
      </c>
    </row>
    <row r="83" spans="1:3" x14ac:dyDescent="0.3">
      <c r="A83">
        <v>53.98</v>
      </c>
      <c r="B83">
        <v>7.63</v>
      </c>
      <c r="C83">
        <v>70.27</v>
      </c>
    </row>
    <row r="84" spans="1:3" x14ac:dyDescent="0.3">
      <c r="A84">
        <v>93.14</v>
      </c>
      <c r="B84">
        <v>7.63</v>
      </c>
      <c r="C84">
        <v>87.68</v>
      </c>
    </row>
    <row r="85" spans="1:3" x14ac:dyDescent="0.3">
      <c r="A85">
        <v>73.22</v>
      </c>
      <c r="B85">
        <v>6.26</v>
      </c>
      <c r="C85">
        <v>88.4</v>
      </c>
    </row>
    <row r="86" spans="1:3" x14ac:dyDescent="0.3">
      <c r="A86">
        <v>67.62</v>
      </c>
      <c r="B86">
        <v>7.4</v>
      </c>
      <c r="C86">
        <v>89.13</v>
      </c>
    </row>
    <row r="87" spans="1:3" x14ac:dyDescent="0.3">
      <c r="A87">
        <v>73.19</v>
      </c>
      <c r="B87">
        <v>6.44</v>
      </c>
      <c r="C87">
        <v>77.260000000000005</v>
      </c>
    </row>
    <row r="88" spans="1:3" x14ac:dyDescent="0.3">
      <c r="A88">
        <v>73.06</v>
      </c>
      <c r="B88">
        <v>9.23</v>
      </c>
      <c r="C88">
        <v>91.42</v>
      </c>
    </row>
    <row r="89" spans="1:3" x14ac:dyDescent="0.3">
      <c r="A89">
        <v>72.41</v>
      </c>
      <c r="B89">
        <v>9.7899999999999991</v>
      </c>
      <c r="C89">
        <v>72.739999999999995</v>
      </c>
    </row>
    <row r="90" spans="1:3" x14ac:dyDescent="0.3">
      <c r="A90">
        <v>72.39</v>
      </c>
      <c r="B90">
        <v>6.29</v>
      </c>
      <c r="C90">
        <v>75.98</v>
      </c>
    </row>
    <row r="91" spans="1:3" x14ac:dyDescent="0.3">
      <c r="A91">
        <v>79.099999999999994</v>
      </c>
      <c r="B91">
        <v>9.82</v>
      </c>
      <c r="C91">
        <v>96.32</v>
      </c>
    </row>
    <row r="92" spans="1:3" x14ac:dyDescent="0.3">
      <c r="A92">
        <v>79.03</v>
      </c>
      <c r="B92">
        <v>8.09</v>
      </c>
      <c r="C92">
        <v>92.16</v>
      </c>
    </row>
    <row r="93" spans="1:3" x14ac:dyDescent="0.3">
      <c r="A93">
        <v>93.12</v>
      </c>
      <c r="B93">
        <v>7.2</v>
      </c>
      <c r="C93">
        <v>70.41</v>
      </c>
    </row>
    <row r="94" spans="1:3" x14ac:dyDescent="0.3">
      <c r="A94">
        <v>59.73</v>
      </c>
      <c r="B94">
        <v>6.31</v>
      </c>
      <c r="C94">
        <v>77.45</v>
      </c>
    </row>
    <row r="95" spans="1:3" x14ac:dyDescent="0.3">
      <c r="A95">
        <v>53.9</v>
      </c>
      <c r="B95">
        <v>8</v>
      </c>
      <c r="C95">
        <v>76.430000000000007</v>
      </c>
    </row>
    <row r="96" spans="1:3" x14ac:dyDescent="0.3">
      <c r="A96">
        <v>72.239999999999995</v>
      </c>
      <c r="B96">
        <v>9.18</v>
      </c>
      <c r="C96">
        <v>78.12</v>
      </c>
    </row>
    <row r="97" spans="1:3" x14ac:dyDescent="0.3">
      <c r="A97">
        <v>93.08</v>
      </c>
      <c r="B97">
        <v>8.83</v>
      </c>
      <c r="C97">
        <v>77.430000000000007</v>
      </c>
    </row>
    <row r="98" spans="1:3" x14ac:dyDescent="0.3">
      <c r="A98">
        <v>58.69</v>
      </c>
      <c r="B98">
        <v>6.2</v>
      </c>
      <c r="C98">
        <v>71.88</v>
      </c>
    </row>
    <row r="99" spans="1:3" x14ac:dyDescent="0.3">
      <c r="A99">
        <v>53.78</v>
      </c>
      <c r="B99">
        <v>6.29</v>
      </c>
      <c r="C99">
        <v>83.77</v>
      </c>
    </row>
    <row r="100" spans="1:3" x14ac:dyDescent="0.3">
      <c r="A100">
        <v>86.03</v>
      </c>
      <c r="B100">
        <v>7.61</v>
      </c>
      <c r="C100">
        <v>91.98</v>
      </c>
    </row>
    <row r="101" spans="1:3" x14ac:dyDescent="0.3">
      <c r="A101">
        <v>67.599999999999994</v>
      </c>
      <c r="B101">
        <v>7.18</v>
      </c>
      <c r="C101">
        <v>88.2</v>
      </c>
    </row>
    <row r="102" spans="1:3" x14ac:dyDescent="0.3">
      <c r="A102">
        <v>79</v>
      </c>
      <c r="B102">
        <v>6.93</v>
      </c>
      <c r="C102">
        <v>90.19</v>
      </c>
    </row>
    <row r="103" spans="1:3" x14ac:dyDescent="0.3">
      <c r="A103">
        <v>85.91</v>
      </c>
      <c r="B103">
        <v>7.12</v>
      </c>
      <c r="C103">
        <v>72.430000000000007</v>
      </c>
    </row>
    <row r="104" spans="1:3" x14ac:dyDescent="0.3">
      <c r="A104">
        <v>53.5</v>
      </c>
      <c r="B104">
        <v>9.2100000000000009</v>
      </c>
      <c r="C104">
        <v>98.54</v>
      </c>
    </row>
    <row r="105" spans="1:3" x14ac:dyDescent="0.3">
      <c r="A105">
        <v>85.79</v>
      </c>
      <c r="B105">
        <v>9.7200000000000006</v>
      </c>
      <c r="C105">
        <v>95.15</v>
      </c>
    </row>
    <row r="106" spans="1:3" x14ac:dyDescent="0.3">
      <c r="A106">
        <v>67.28</v>
      </c>
      <c r="B106">
        <v>7.62</v>
      </c>
      <c r="C106">
        <v>94.15</v>
      </c>
    </row>
    <row r="107" spans="1:3" x14ac:dyDescent="0.3">
      <c r="A107">
        <v>93.04</v>
      </c>
      <c r="B107">
        <v>9.6199999999999992</v>
      </c>
      <c r="C107">
        <v>94.69</v>
      </c>
    </row>
    <row r="108" spans="1:3" x14ac:dyDescent="0.3">
      <c r="A108">
        <v>53.42</v>
      </c>
      <c r="B108">
        <v>7.29</v>
      </c>
      <c r="C108">
        <v>97.98</v>
      </c>
    </row>
    <row r="109" spans="1:3" x14ac:dyDescent="0.3">
      <c r="A109">
        <v>85.55</v>
      </c>
      <c r="B109">
        <v>7.91</v>
      </c>
      <c r="C109">
        <v>86.33</v>
      </c>
    </row>
    <row r="110" spans="1:3" x14ac:dyDescent="0.3">
      <c r="A110">
        <v>78.75</v>
      </c>
      <c r="B110">
        <v>6.9</v>
      </c>
      <c r="C110">
        <v>76.010000000000005</v>
      </c>
    </row>
    <row r="111" spans="1:3" x14ac:dyDescent="0.3">
      <c r="A111">
        <v>78.680000000000007</v>
      </c>
      <c r="B111">
        <v>8.56</v>
      </c>
      <c r="C111">
        <v>88.5</v>
      </c>
    </row>
    <row r="112" spans="1:3" x14ac:dyDescent="0.3">
      <c r="A112">
        <v>58.67</v>
      </c>
      <c r="B112">
        <v>9.92</v>
      </c>
      <c r="C112">
        <v>92.29</v>
      </c>
    </row>
    <row r="113" spans="1:3" x14ac:dyDescent="0.3">
      <c r="A113">
        <v>85.5</v>
      </c>
      <c r="B113">
        <v>8.41</v>
      </c>
      <c r="C113">
        <v>92.14</v>
      </c>
    </row>
    <row r="114" spans="1:3" x14ac:dyDescent="0.3">
      <c r="A114">
        <v>72.099999999999994</v>
      </c>
      <c r="B114">
        <v>7.43</v>
      </c>
      <c r="C114">
        <v>85.64</v>
      </c>
    </row>
    <row r="115" spans="1:3" x14ac:dyDescent="0.3">
      <c r="A115">
        <v>85.09</v>
      </c>
      <c r="B115">
        <v>8.59</v>
      </c>
      <c r="C115">
        <v>72.05</v>
      </c>
    </row>
    <row r="116" spans="1:3" x14ac:dyDescent="0.3">
      <c r="A116">
        <v>92.99</v>
      </c>
      <c r="B116">
        <v>6.49</v>
      </c>
      <c r="C116">
        <v>81.13</v>
      </c>
    </row>
    <row r="117" spans="1:3" x14ac:dyDescent="0.3">
      <c r="A117">
        <v>53.15</v>
      </c>
      <c r="B117">
        <v>9.5500000000000007</v>
      </c>
      <c r="C117">
        <v>97.62</v>
      </c>
    </row>
    <row r="118" spans="1:3" x14ac:dyDescent="0.3">
      <c r="A118">
        <v>53.07</v>
      </c>
      <c r="B118">
        <v>8.01</v>
      </c>
      <c r="C118">
        <v>87.53</v>
      </c>
    </row>
    <row r="119" spans="1:3" x14ac:dyDescent="0.3">
      <c r="A119">
        <v>92.93</v>
      </c>
      <c r="B119">
        <v>7.8</v>
      </c>
      <c r="C119">
        <v>86.15</v>
      </c>
    </row>
    <row r="120" spans="1:3" x14ac:dyDescent="0.3">
      <c r="A120">
        <v>84.82</v>
      </c>
      <c r="B120">
        <v>8.34</v>
      </c>
      <c r="C120">
        <v>78.069999999999993</v>
      </c>
    </row>
    <row r="121" spans="1:3" x14ac:dyDescent="0.3">
      <c r="A121">
        <v>92.72</v>
      </c>
      <c r="B121">
        <v>8.5</v>
      </c>
      <c r="C121">
        <v>81.05</v>
      </c>
    </row>
    <row r="122" spans="1:3" x14ac:dyDescent="0.3">
      <c r="A122">
        <v>67.28</v>
      </c>
      <c r="B122">
        <v>6.29</v>
      </c>
      <c r="C122">
        <v>96.86</v>
      </c>
    </row>
    <row r="123" spans="1:3" x14ac:dyDescent="0.3">
      <c r="A123">
        <v>91.97</v>
      </c>
      <c r="B123">
        <v>8.73</v>
      </c>
      <c r="C123">
        <v>89.99</v>
      </c>
    </row>
    <row r="124" spans="1:3" x14ac:dyDescent="0.3">
      <c r="A124">
        <v>78.489999999999995</v>
      </c>
      <c r="B124">
        <v>6.97</v>
      </c>
      <c r="C124">
        <v>93.62</v>
      </c>
    </row>
    <row r="125" spans="1:3" x14ac:dyDescent="0.3">
      <c r="A125">
        <v>91.92</v>
      </c>
      <c r="B125">
        <v>8.86</v>
      </c>
      <c r="C125">
        <v>83.63</v>
      </c>
    </row>
    <row r="126" spans="1:3" x14ac:dyDescent="0.3">
      <c r="A126">
        <v>53.02</v>
      </c>
      <c r="B126">
        <v>9.2899999999999991</v>
      </c>
      <c r="C126">
        <v>88.91</v>
      </c>
    </row>
    <row r="127" spans="1:3" x14ac:dyDescent="0.3">
      <c r="A127">
        <v>78.34</v>
      </c>
      <c r="B127">
        <v>9.2200000000000006</v>
      </c>
      <c r="C127">
        <v>77.45</v>
      </c>
    </row>
    <row r="128" spans="1:3" x14ac:dyDescent="0.3">
      <c r="A128">
        <v>52.92</v>
      </c>
      <c r="B128">
        <v>8.2100000000000009</v>
      </c>
      <c r="C128">
        <v>91.16</v>
      </c>
    </row>
    <row r="129" spans="1:3" x14ac:dyDescent="0.3">
      <c r="A129">
        <v>58.51</v>
      </c>
      <c r="B129">
        <v>8.08</v>
      </c>
      <c r="C129">
        <v>82.83</v>
      </c>
    </row>
    <row r="130" spans="1:3" x14ac:dyDescent="0.3">
      <c r="A130">
        <v>71.819999999999993</v>
      </c>
      <c r="B130">
        <v>6.57</v>
      </c>
      <c r="C130">
        <v>83.28</v>
      </c>
    </row>
    <row r="131" spans="1:3" x14ac:dyDescent="0.3">
      <c r="A131">
        <v>52.77</v>
      </c>
      <c r="B131">
        <v>9.1</v>
      </c>
      <c r="C131">
        <v>89.48</v>
      </c>
    </row>
    <row r="132" spans="1:3" x14ac:dyDescent="0.3">
      <c r="A132">
        <v>78.05</v>
      </c>
      <c r="B132">
        <v>7.09</v>
      </c>
      <c r="C132">
        <v>98.09</v>
      </c>
    </row>
    <row r="133" spans="1:3" x14ac:dyDescent="0.3">
      <c r="A133">
        <v>58.35</v>
      </c>
      <c r="B133">
        <v>7.99</v>
      </c>
      <c r="C133">
        <v>71.92</v>
      </c>
    </row>
    <row r="134" spans="1:3" x14ac:dyDescent="0.3">
      <c r="A134">
        <v>52.47</v>
      </c>
      <c r="B134">
        <v>7.14</v>
      </c>
      <c r="C134">
        <v>94.74</v>
      </c>
    </row>
    <row r="135" spans="1:3" x14ac:dyDescent="0.3">
      <c r="A135">
        <v>66.95</v>
      </c>
      <c r="B135">
        <v>6.54</v>
      </c>
      <c r="C135">
        <v>78.77</v>
      </c>
    </row>
    <row r="136" spans="1:3" x14ac:dyDescent="0.3">
      <c r="A136">
        <v>91.85</v>
      </c>
      <c r="B136">
        <v>8.52</v>
      </c>
      <c r="C136">
        <v>83.32</v>
      </c>
    </row>
    <row r="137" spans="1:3" x14ac:dyDescent="0.3">
      <c r="A137">
        <v>71.77</v>
      </c>
      <c r="B137">
        <v>6.22</v>
      </c>
      <c r="C137">
        <v>70.66</v>
      </c>
    </row>
    <row r="138" spans="1:3" x14ac:dyDescent="0.3">
      <c r="A138">
        <v>52.37</v>
      </c>
      <c r="B138">
        <v>8.99</v>
      </c>
      <c r="C138">
        <v>79.03</v>
      </c>
    </row>
    <row r="139" spans="1:3" x14ac:dyDescent="0.3">
      <c r="A139">
        <v>58.3</v>
      </c>
      <c r="B139">
        <v>7.27</v>
      </c>
      <c r="C139">
        <v>85.08</v>
      </c>
    </row>
    <row r="140" spans="1:3" x14ac:dyDescent="0.3">
      <c r="A140">
        <v>66.41</v>
      </c>
      <c r="B140">
        <v>6</v>
      </c>
      <c r="C140">
        <v>71.69</v>
      </c>
    </row>
    <row r="141" spans="1:3" x14ac:dyDescent="0.3">
      <c r="A141">
        <v>84.69</v>
      </c>
      <c r="B141">
        <v>8.0399999999999991</v>
      </c>
      <c r="C141">
        <v>84.73</v>
      </c>
    </row>
    <row r="142" spans="1:3" x14ac:dyDescent="0.3">
      <c r="A142">
        <v>58.19</v>
      </c>
      <c r="B142">
        <v>6.19</v>
      </c>
      <c r="C142">
        <v>97.81</v>
      </c>
    </row>
    <row r="143" spans="1:3" x14ac:dyDescent="0.3">
      <c r="A143">
        <v>91.2</v>
      </c>
      <c r="B143">
        <v>7.1</v>
      </c>
      <c r="C143">
        <v>73.16</v>
      </c>
    </row>
    <row r="144" spans="1:3" x14ac:dyDescent="0.3">
      <c r="A144">
        <v>58.08</v>
      </c>
      <c r="B144">
        <v>8.83</v>
      </c>
      <c r="C144">
        <v>92.93</v>
      </c>
    </row>
    <row r="145" spans="1:3" x14ac:dyDescent="0.3">
      <c r="A145">
        <v>66.34</v>
      </c>
      <c r="B145">
        <v>6.25</v>
      </c>
      <c r="C145">
        <v>82.29</v>
      </c>
    </row>
    <row r="146" spans="1:3" x14ac:dyDescent="0.3">
      <c r="A146">
        <v>57.82</v>
      </c>
      <c r="B146">
        <v>9.36</v>
      </c>
      <c r="C146">
        <v>89.66</v>
      </c>
    </row>
    <row r="147" spans="1:3" x14ac:dyDescent="0.3">
      <c r="A147">
        <v>66.319999999999993</v>
      </c>
      <c r="B147">
        <v>6.02</v>
      </c>
      <c r="C147">
        <v>77.81</v>
      </c>
    </row>
    <row r="148" spans="1:3" x14ac:dyDescent="0.3">
      <c r="A148">
        <v>52.32</v>
      </c>
      <c r="B148">
        <v>6.99</v>
      </c>
      <c r="C148">
        <v>74.78</v>
      </c>
    </row>
    <row r="149" spans="1:3" x14ac:dyDescent="0.3">
      <c r="A149">
        <v>65.92</v>
      </c>
      <c r="B149">
        <v>8.9600000000000009</v>
      </c>
      <c r="C149">
        <v>74.81</v>
      </c>
    </row>
    <row r="150" spans="1:3" x14ac:dyDescent="0.3">
      <c r="A150">
        <v>65.819999999999993</v>
      </c>
      <c r="B150">
        <v>7.27</v>
      </c>
      <c r="C150">
        <v>72.11</v>
      </c>
    </row>
    <row r="151" spans="1:3" x14ac:dyDescent="0.3">
      <c r="A151">
        <v>71.650000000000006</v>
      </c>
      <c r="B151">
        <v>6.41</v>
      </c>
      <c r="C151">
        <v>75.569999999999993</v>
      </c>
    </row>
    <row r="152" spans="1:3" x14ac:dyDescent="0.3">
      <c r="A152">
        <v>65.53</v>
      </c>
      <c r="B152">
        <v>7.44</v>
      </c>
      <c r="C152">
        <v>89.93</v>
      </c>
    </row>
    <row r="153" spans="1:3" x14ac:dyDescent="0.3">
      <c r="A153">
        <v>65.5</v>
      </c>
      <c r="B153">
        <v>7.08</v>
      </c>
      <c r="C153">
        <v>96.45</v>
      </c>
    </row>
    <row r="154" spans="1:3" x14ac:dyDescent="0.3">
      <c r="A154">
        <v>84.69</v>
      </c>
      <c r="B154">
        <v>9.3699999999999992</v>
      </c>
      <c r="C154">
        <v>94.42</v>
      </c>
    </row>
    <row r="155" spans="1:3" x14ac:dyDescent="0.3">
      <c r="A155">
        <v>52.2</v>
      </c>
      <c r="B155">
        <v>7.25</v>
      </c>
      <c r="C155">
        <v>90.55</v>
      </c>
    </row>
    <row r="156" spans="1:3" x14ac:dyDescent="0.3">
      <c r="A156">
        <v>90.97</v>
      </c>
      <c r="B156">
        <v>9.16</v>
      </c>
      <c r="C156">
        <v>73.31</v>
      </c>
    </row>
    <row r="157" spans="1:3" x14ac:dyDescent="0.3">
      <c r="A157">
        <v>71.59</v>
      </c>
      <c r="B157">
        <v>9.57</v>
      </c>
      <c r="C157">
        <v>78.680000000000007</v>
      </c>
    </row>
    <row r="158" spans="1:3" x14ac:dyDescent="0.3">
      <c r="A158">
        <v>84.69</v>
      </c>
      <c r="B158">
        <v>7.74</v>
      </c>
      <c r="C158">
        <v>79.290000000000006</v>
      </c>
    </row>
    <row r="159" spans="1:3" x14ac:dyDescent="0.3">
      <c r="A159">
        <v>78.03</v>
      </c>
      <c r="B159">
        <v>9.64</v>
      </c>
      <c r="C159">
        <v>77.5</v>
      </c>
    </row>
    <row r="160" spans="1:3" x14ac:dyDescent="0.3">
      <c r="A160">
        <v>52.11</v>
      </c>
      <c r="B160">
        <v>7.51</v>
      </c>
      <c r="C160">
        <v>85.45</v>
      </c>
    </row>
    <row r="161" spans="1:3" x14ac:dyDescent="0.3">
      <c r="A161">
        <v>52.03</v>
      </c>
      <c r="B161">
        <v>9.86</v>
      </c>
      <c r="C161">
        <v>86.07</v>
      </c>
    </row>
    <row r="162" spans="1:3" x14ac:dyDescent="0.3">
      <c r="A162">
        <v>77.47</v>
      </c>
      <c r="B162">
        <v>6.36</v>
      </c>
      <c r="C162">
        <v>80.709999999999994</v>
      </c>
    </row>
    <row r="163" spans="1:3" x14ac:dyDescent="0.3">
      <c r="A163">
        <v>90.89</v>
      </c>
      <c r="B163">
        <v>8.75</v>
      </c>
      <c r="C163">
        <v>80.61</v>
      </c>
    </row>
    <row r="164" spans="1:3" x14ac:dyDescent="0.3">
      <c r="A164">
        <v>65.14</v>
      </c>
      <c r="B164">
        <v>7.98</v>
      </c>
      <c r="C164">
        <v>94.86</v>
      </c>
    </row>
    <row r="165" spans="1:3" x14ac:dyDescent="0.3">
      <c r="A165">
        <v>84.16</v>
      </c>
      <c r="B165">
        <v>7.55</v>
      </c>
      <c r="C165">
        <v>93.68</v>
      </c>
    </row>
    <row r="166" spans="1:3" x14ac:dyDescent="0.3">
      <c r="A166">
        <v>57.29</v>
      </c>
      <c r="B166">
        <v>8.5299999999999994</v>
      </c>
      <c r="C166">
        <v>79.23</v>
      </c>
    </row>
    <row r="167" spans="1:3" x14ac:dyDescent="0.3">
      <c r="A167">
        <v>71.45</v>
      </c>
      <c r="B167">
        <v>8.82</v>
      </c>
      <c r="C167">
        <v>97.41</v>
      </c>
    </row>
    <row r="168" spans="1:3" x14ac:dyDescent="0.3">
      <c r="A168">
        <v>57.22</v>
      </c>
      <c r="B168">
        <v>6.02</v>
      </c>
      <c r="C168">
        <v>98.58</v>
      </c>
    </row>
    <row r="169" spans="1:3" x14ac:dyDescent="0.3">
      <c r="A169">
        <v>77.040000000000006</v>
      </c>
      <c r="B169">
        <v>6.67</v>
      </c>
      <c r="C169">
        <v>79.8</v>
      </c>
    </row>
    <row r="170" spans="1:3" x14ac:dyDescent="0.3">
      <c r="A170">
        <v>52</v>
      </c>
      <c r="B170">
        <v>8.85</v>
      </c>
      <c r="C170">
        <v>80.63</v>
      </c>
    </row>
    <row r="171" spans="1:3" x14ac:dyDescent="0.3">
      <c r="A171">
        <v>90.79</v>
      </c>
      <c r="B171">
        <v>8.67</v>
      </c>
      <c r="C171">
        <v>85.17</v>
      </c>
    </row>
    <row r="172" spans="1:3" x14ac:dyDescent="0.3">
      <c r="A172">
        <v>51.99</v>
      </c>
      <c r="B172">
        <v>9.86</v>
      </c>
      <c r="C172">
        <v>98.23</v>
      </c>
    </row>
    <row r="173" spans="1:3" x14ac:dyDescent="0.3">
      <c r="A173">
        <v>71.34</v>
      </c>
      <c r="B173">
        <v>9.0399999999999991</v>
      </c>
      <c r="C173">
        <v>96.29</v>
      </c>
    </row>
    <row r="174" spans="1:3" x14ac:dyDescent="0.3">
      <c r="A174">
        <v>51.69</v>
      </c>
      <c r="B174">
        <v>9.8000000000000007</v>
      </c>
      <c r="C174">
        <v>73.08</v>
      </c>
    </row>
    <row r="175" spans="1:3" x14ac:dyDescent="0.3">
      <c r="A175">
        <v>51.65</v>
      </c>
      <c r="B175">
        <v>8.81</v>
      </c>
      <c r="C175">
        <v>81.78</v>
      </c>
    </row>
    <row r="176" spans="1:3" x14ac:dyDescent="0.3">
      <c r="A176">
        <v>71.290000000000006</v>
      </c>
      <c r="B176">
        <v>7.19</v>
      </c>
      <c r="C176">
        <v>86.6</v>
      </c>
    </row>
    <row r="177" spans="1:3" x14ac:dyDescent="0.3">
      <c r="A177">
        <v>84.13</v>
      </c>
      <c r="B177">
        <v>6.42</v>
      </c>
      <c r="C177">
        <v>85.09</v>
      </c>
    </row>
    <row r="178" spans="1:3" x14ac:dyDescent="0.3">
      <c r="A178">
        <v>84.05</v>
      </c>
      <c r="B178">
        <v>9.1300000000000008</v>
      </c>
      <c r="C178">
        <v>75.819999999999993</v>
      </c>
    </row>
    <row r="179" spans="1:3" x14ac:dyDescent="0.3">
      <c r="A179">
        <v>71.2</v>
      </c>
      <c r="B179">
        <v>8.58</v>
      </c>
      <c r="C179">
        <v>95.76</v>
      </c>
    </row>
    <row r="180" spans="1:3" x14ac:dyDescent="0.3">
      <c r="A180">
        <v>90.67</v>
      </c>
      <c r="B180">
        <v>6.19</v>
      </c>
      <c r="C180">
        <v>90.31</v>
      </c>
    </row>
    <row r="181" spans="1:3" x14ac:dyDescent="0.3">
      <c r="A181">
        <v>76.92</v>
      </c>
      <c r="B181">
        <v>7.44</v>
      </c>
      <c r="C181">
        <v>95.14</v>
      </c>
    </row>
    <row r="182" spans="1:3" x14ac:dyDescent="0.3">
      <c r="A182">
        <v>51.59</v>
      </c>
      <c r="B182">
        <v>9.83</v>
      </c>
      <c r="C182">
        <v>95.76</v>
      </c>
    </row>
    <row r="183" spans="1:3" x14ac:dyDescent="0.3">
      <c r="A183">
        <v>90.65</v>
      </c>
      <c r="B183">
        <v>8</v>
      </c>
      <c r="C183">
        <v>92.45</v>
      </c>
    </row>
    <row r="184" spans="1:3" x14ac:dyDescent="0.3">
      <c r="A184">
        <v>51.57</v>
      </c>
      <c r="B184">
        <v>7.73</v>
      </c>
      <c r="C184">
        <v>83.18</v>
      </c>
    </row>
    <row r="185" spans="1:3" x14ac:dyDescent="0.3">
      <c r="A185">
        <v>76.88</v>
      </c>
      <c r="B185">
        <v>7.83</v>
      </c>
      <c r="C185">
        <v>88.32</v>
      </c>
    </row>
    <row r="186" spans="1:3" x14ac:dyDescent="0.3">
      <c r="A186">
        <v>83.92</v>
      </c>
      <c r="B186">
        <v>6.84</v>
      </c>
      <c r="C186">
        <v>74.81</v>
      </c>
    </row>
    <row r="187" spans="1:3" x14ac:dyDescent="0.3">
      <c r="A187">
        <v>90.53</v>
      </c>
      <c r="B187">
        <v>7.47</v>
      </c>
      <c r="C187">
        <v>90.21</v>
      </c>
    </row>
    <row r="188" spans="1:3" x14ac:dyDescent="0.3">
      <c r="A188">
        <v>65.11</v>
      </c>
      <c r="B188">
        <v>7.48</v>
      </c>
      <c r="C188">
        <v>75.38</v>
      </c>
    </row>
    <row r="189" spans="1:3" x14ac:dyDescent="0.3">
      <c r="A189">
        <v>65.03</v>
      </c>
      <c r="B189">
        <v>6.21</v>
      </c>
      <c r="C189">
        <v>90.82</v>
      </c>
    </row>
    <row r="190" spans="1:3" x14ac:dyDescent="0.3">
      <c r="A190">
        <v>64.81</v>
      </c>
      <c r="B190">
        <v>9.07</v>
      </c>
      <c r="C190">
        <v>76.89</v>
      </c>
    </row>
    <row r="191" spans="1:3" x14ac:dyDescent="0.3">
      <c r="A191">
        <v>83.65</v>
      </c>
      <c r="B191">
        <v>7.67</v>
      </c>
      <c r="C191">
        <v>73.53</v>
      </c>
    </row>
    <row r="192" spans="1:3" x14ac:dyDescent="0.3">
      <c r="A192">
        <v>83.53</v>
      </c>
      <c r="B192">
        <v>9.2899999999999991</v>
      </c>
      <c r="C192">
        <v>74.959999999999994</v>
      </c>
    </row>
    <row r="193" spans="1:3" x14ac:dyDescent="0.3">
      <c r="A193">
        <v>76.510000000000005</v>
      </c>
      <c r="B193">
        <v>9.4</v>
      </c>
      <c r="C193">
        <v>70.06</v>
      </c>
    </row>
    <row r="194" spans="1:3" x14ac:dyDescent="0.3">
      <c r="A194">
        <v>51.54</v>
      </c>
      <c r="B194">
        <v>6.85</v>
      </c>
      <c r="C194">
        <v>91.56</v>
      </c>
    </row>
    <row r="195" spans="1:3" x14ac:dyDescent="0.3">
      <c r="A195">
        <v>76.48</v>
      </c>
      <c r="B195">
        <v>8.6300000000000008</v>
      </c>
      <c r="C195">
        <v>91.97</v>
      </c>
    </row>
    <row r="196" spans="1:3" x14ac:dyDescent="0.3">
      <c r="A196">
        <v>76.47</v>
      </c>
      <c r="B196">
        <v>7.89</v>
      </c>
      <c r="C196">
        <v>85.45</v>
      </c>
    </row>
    <row r="197" spans="1:3" x14ac:dyDescent="0.3">
      <c r="A197">
        <v>83.45</v>
      </c>
      <c r="B197">
        <v>9.52</v>
      </c>
      <c r="C197">
        <v>74.84</v>
      </c>
    </row>
    <row r="198" spans="1:3" x14ac:dyDescent="0.3">
      <c r="A198">
        <v>64.69</v>
      </c>
      <c r="B198">
        <v>6.86</v>
      </c>
      <c r="C198">
        <v>72.510000000000005</v>
      </c>
    </row>
    <row r="199" spans="1:3" x14ac:dyDescent="0.3">
      <c r="A199">
        <v>57.08</v>
      </c>
      <c r="B199">
        <v>8.7100000000000009</v>
      </c>
      <c r="C199">
        <v>70.569999999999993</v>
      </c>
    </row>
    <row r="200" spans="1:3" x14ac:dyDescent="0.3">
      <c r="A200">
        <v>50.83</v>
      </c>
      <c r="B200">
        <v>8.43</v>
      </c>
      <c r="C200">
        <v>74.97</v>
      </c>
    </row>
    <row r="201" spans="1:3" x14ac:dyDescent="0.3">
      <c r="A201">
        <v>83.38</v>
      </c>
      <c r="B201">
        <v>7.18</v>
      </c>
      <c r="C201">
        <v>96.73</v>
      </c>
    </row>
    <row r="202" spans="1:3" x14ac:dyDescent="0.3">
      <c r="A202">
        <v>64.16</v>
      </c>
      <c r="B202">
        <v>6.55</v>
      </c>
      <c r="C202">
        <v>77.25</v>
      </c>
    </row>
    <row r="203" spans="1:3" x14ac:dyDescent="0.3">
      <c r="A203">
        <v>90.38</v>
      </c>
      <c r="B203">
        <v>8.61</v>
      </c>
      <c r="C203">
        <v>80.63</v>
      </c>
    </row>
    <row r="204" spans="1:3" x14ac:dyDescent="0.3">
      <c r="A204">
        <v>56.96</v>
      </c>
      <c r="B204">
        <v>8.9499999999999993</v>
      </c>
      <c r="C204">
        <v>73.16</v>
      </c>
    </row>
    <row r="205" spans="1:3" x14ac:dyDescent="0.3">
      <c r="A205">
        <v>56.3</v>
      </c>
      <c r="B205">
        <v>7.26</v>
      </c>
      <c r="C205">
        <v>76.67</v>
      </c>
    </row>
    <row r="206" spans="1:3" x14ac:dyDescent="0.3">
      <c r="A206">
        <v>83.2</v>
      </c>
      <c r="B206">
        <v>8.58</v>
      </c>
      <c r="C206">
        <v>85.58</v>
      </c>
    </row>
    <row r="207" spans="1:3" x14ac:dyDescent="0.3">
      <c r="A207">
        <v>71.03</v>
      </c>
      <c r="B207">
        <v>7.58</v>
      </c>
      <c r="C207">
        <v>88.23</v>
      </c>
    </row>
    <row r="208" spans="1:3" x14ac:dyDescent="0.3">
      <c r="A208">
        <v>50.43</v>
      </c>
      <c r="B208">
        <v>8.85</v>
      </c>
      <c r="C208">
        <v>77.36</v>
      </c>
    </row>
    <row r="209" spans="1:3" x14ac:dyDescent="0.3">
      <c r="A209">
        <v>56.08</v>
      </c>
      <c r="B209">
        <v>6.8</v>
      </c>
      <c r="C209">
        <v>71.73</v>
      </c>
    </row>
    <row r="210" spans="1:3" x14ac:dyDescent="0.3">
      <c r="A210">
        <v>83.08</v>
      </c>
      <c r="B210">
        <v>9.56</v>
      </c>
      <c r="C210">
        <v>81.73</v>
      </c>
    </row>
    <row r="211" spans="1:3" x14ac:dyDescent="0.3">
      <c r="A211">
        <v>83.03</v>
      </c>
      <c r="B211">
        <v>7.15</v>
      </c>
      <c r="C211">
        <v>77.03</v>
      </c>
    </row>
    <row r="212" spans="1:3" x14ac:dyDescent="0.3">
      <c r="A212">
        <v>64.08</v>
      </c>
      <c r="B212">
        <v>7.47</v>
      </c>
      <c r="C212">
        <v>76.59</v>
      </c>
    </row>
    <row r="213" spans="1:3" x14ac:dyDescent="0.3">
      <c r="A213">
        <v>90.27</v>
      </c>
      <c r="B213">
        <v>6.23</v>
      </c>
      <c r="C213">
        <v>98.8</v>
      </c>
    </row>
    <row r="214" spans="1:3" x14ac:dyDescent="0.3">
      <c r="A214">
        <v>70.95</v>
      </c>
      <c r="B214">
        <v>6.45</v>
      </c>
      <c r="C214">
        <v>88.49</v>
      </c>
    </row>
    <row r="215" spans="1:3" x14ac:dyDescent="0.3">
      <c r="A215">
        <v>50.41</v>
      </c>
      <c r="B215">
        <v>8.06</v>
      </c>
      <c r="C215">
        <v>86.71</v>
      </c>
    </row>
    <row r="216" spans="1:3" x14ac:dyDescent="0.3">
      <c r="A216">
        <v>76.13</v>
      </c>
      <c r="B216">
        <v>7.07</v>
      </c>
      <c r="C216">
        <v>82.47</v>
      </c>
    </row>
    <row r="217" spans="1:3" x14ac:dyDescent="0.3">
      <c r="A217">
        <v>90.25</v>
      </c>
      <c r="B217">
        <v>9.34</v>
      </c>
      <c r="C217">
        <v>82.87</v>
      </c>
    </row>
    <row r="218" spans="1:3" x14ac:dyDescent="0.3">
      <c r="A218">
        <v>89.82</v>
      </c>
      <c r="B218">
        <v>6.06</v>
      </c>
      <c r="C218">
        <v>86.23</v>
      </c>
    </row>
    <row r="219" spans="1:3" x14ac:dyDescent="0.3">
      <c r="A219">
        <v>63.37</v>
      </c>
      <c r="B219">
        <v>7.52</v>
      </c>
      <c r="C219">
        <v>90.89</v>
      </c>
    </row>
    <row r="220" spans="1:3" x14ac:dyDescent="0.3">
      <c r="A220">
        <v>55.95</v>
      </c>
      <c r="B220">
        <v>7.35</v>
      </c>
      <c r="C220">
        <v>91.06</v>
      </c>
    </row>
    <row r="221" spans="1:3" x14ac:dyDescent="0.3">
      <c r="A221">
        <v>55.78</v>
      </c>
      <c r="B221">
        <v>6.08</v>
      </c>
      <c r="C221">
        <v>75.150000000000006</v>
      </c>
    </row>
    <row r="222" spans="1:3" x14ac:dyDescent="0.3">
      <c r="A222">
        <v>62.75</v>
      </c>
      <c r="B222">
        <v>6.5</v>
      </c>
      <c r="C222">
        <v>85</v>
      </c>
    </row>
    <row r="223" spans="1:3" x14ac:dyDescent="0.3">
      <c r="A223">
        <v>82.95</v>
      </c>
      <c r="B223">
        <v>7.65</v>
      </c>
      <c r="C223">
        <v>82.36</v>
      </c>
    </row>
    <row r="224" spans="1:3" x14ac:dyDescent="0.3">
      <c r="A224">
        <v>55.6</v>
      </c>
      <c r="B224">
        <v>7.97</v>
      </c>
      <c r="C224">
        <v>96.12</v>
      </c>
    </row>
    <row r="225" spans="1:3" x14ac:dyDescent="0.3">
      <c r="A225">
        <v>70.849999999999994</v>
      </c>
      <c r="B225">
        <v>7.62</v>
      </c>
      <c r="C225">
        <v>88.94</v>
      </c>
    </row>
    <row r="226" spans="1:3" x14ac:dyDescent="0.3">
      <c r="A226">
        <v>50.24</v>
      </c>
      <c r="B226">
        <v>8.1199999999999992</v>
      </c>
      <c r="C226">
        <v>85.98</v>
      </c>
    </row>
    <row r="227" spans="1:3" x14ac:dyDescent="0.3">
      <c r="A227">
        <v>89.79</v>
      </c>
      <c r="B227">
        <v>8.3800000000000008</v>
      </c>
      <c r="C227">
        <v>73.459999999999994</v>
      </c>
    </row>
    <row r="228" spans="1:3" x14ac:dyDescent="0.3">
      <c r="A228">
        <v>89.73</v>
      </c>
      <c r="B228">
        <v>6.04</v>
      </c>
      <c r="C228">
        <v>88.17</v>
      </c>
    </row>
    <row r="229" spans="1:3" x14ac:dyDescent="0.3">
      <c r="A229">
        <v>70.790000000000006</v>
      </c>
      <c r="B229">
        <v>7.86</v>
      </c>
      <c r="C229">
        <v>73.52</v>
      </c>
    </row>
    <row r="230" spans="1:3" x14ac:dyDescent="0.3">
      <c r="A230">
        <v>55.42</v>
      </c>
      <c r="B230">
        <v>9.85</v>
      </c>
      <c r="C230">
        <v>80.12</v>
      </c>
    </row>
    <row r="231" spans="1:3" x14ac:dyDescent="0.3">
      <c r="A231">
        <v>89.67</v>
      </c>
      <c r="B231">
        <v>8.08</v>
      </c>
      <c r="C231">
        <v>74.290000000000006</v>
      </c>
    </row>
    <row r="232" spans="1:3" x14ac:dyDescent="0.3">
      <c r="A232">
        <v>75.8</v>
      </c>
      <c r="B232">
        <v>8.7100000000000009</v>
      </c>
      <c r="C232">
        <v>90.76</v>
      </c>
    </row>
    <row r="233" spans="1:3" x14ac:dyDescent="0.3">
      <c r="A233">
        <v>50.23</v>
      </c>
      <c r="B233">
        <v>7.25</v>
      </c>
      <c r="C233">
        <v>76.19</v>
      </c>
    </row>
    <row r="234" spans="1:3" x14ac:dyDescent="0.3">
      <c r="A234">
        <v>50.23</v>
      </c>
      <c r="B234">
        <v>9.1</v>
      </c>
      <c r="C234">
        <v>81.760000000000005</v>
      </c>
    </row>
    <row r="235" spans="1:3" x14ac:dyDescent="0.3">
      <c r="A235">
        <v>89.56</v>
      </c>
      <c r="B235">
        <v>9.09</v>
      </c>
      <c r="C235">
        <v>96.87</v>
      </c>
    </row>
    <row r="236" spans="1:3" x14ac:dyDescent="0.3">
      <c r="A236">
        <v>62.66</v>
      </c>
      <c r="B236">
        <v>8.09</v>
      </c>
      <c r="C236">
        <v>76.13</v>
      </c>
    </row>
    <row r="237" spans="1:3" x14ac:dyDescent="0.3">
      <c r="A237">
        <v>89.45</v>
      </c>
      <c r="B237">
        <v>9.9</v>
      </c>
      <c r="C237">
        <v>85.23</v>
      </c>
    </row>
    <row r="238" spans="1:3" x14ac:dyDescent="0.3">
      <c r="A238">
        <v>62.48</v>
      </c>
      <c r="B238">
        <v>6.5</v>
      </c>
      <c r="C238">
        <v>82.58</v>
      </c>
    </row>
    <row r="239" spans="1:3" x14ac:dyDescent="0.3">
      <c r="A239">
        <v>89.07</v>
      </c>
      <c r="B239">
        <v>6.07</v>
      </c>
      <c r="C239">
        <v>70.540000000000006</v>
      </c>
    </row>
    <row r="240" spans="1:3" x14ac:dyDescent="0.3">
      <c r="A240">
        <v>75.760000000000005</v>
      </c>
      <c r="B240">
        <v>9.08</v>
      </c>
      <c r="C240">
        <v>93.78</v>
      </c>
    </row>
    <row r="241" spans="1:3" x14ac:dyDescent="0.3">
      <c r="A241">
        <v>82.95</v>
      </c>
      <c r="B241">
        <v>9.23</v>
      </c>
      <c r="C241">
        <v>72.069999999999993</v>
      </c>
    </row>
    <row r="242" spans="1:3" x14ac:dyDescent="0.3">
      <c r="A242">
        <v>50.15</v>
      </c>
      <c r="B242">
        <v>6.48</v>
      </c>
      <c r="C242">
        <v>84.23</v>
      </c>
    </row>
    <row r="243" spans="1:3" x14ac:dyDescent="0.3">
      <c r="A243">
        <v>88.9</v>
      </c>
      <c r="B243">
        <v>7.06</v>
      </c>
      <c r="C243">
        <v>86.82</v>
      </c>
    </row>
    <row r="244" spans="1:3" x14ac:dyDescent="0.3">
      <c r="A244">
        <v>75.709999999999994</v>
      </c>
      <c r="B244">
        <v>6.07</v>
      </c>
      <c r="C244">
        <v>88.85</v>
      </c>
    </row>
    <row r="245" spans="1:3" x14ac:dyDescent="0.3">
      <c r="A245">
        <v>62.28</v>
      </c>
      <c r="B245">
        <v>7.17</v>
      </c>
      <c r="C245">
        <v>90.66</v>
      </c>
    </row>
    <row r="246" spans="1:3" x14ac:dyDescent="0.3">
      <c r="A246">
        <v>62.23</v>
      </c>
      <c r="B246">
        <v>9.09</v>
      </c>
      <c r="C246">
        <v>77.599999999999994</v>
      </c>
    </row>
    <row r="247" spans="1:3" x14ac:dyDescent="0.3">
      <c r="A247">
        <v>50.11</v>
      </c>
      <c r="B247">
        <v>8.07</v>
      </c>
      <c r="C247">
        <v>70.3</v>
      </c>
    </row>
    <row r="248" spans="1:3" x14ac:dyDescent="0.3">
      <c r="A248">
        <v>70.69</v>
      </c>
      <c r="B248">
        <v>7.39</v>
      </c>
      <c r="C248">
        <v>91.7</v>
      </c>
    </row>
    <row r="249" spans="1:3" x14ac:dyDescent="0.3">
      <c r="A249">
        <v>88.75</v>
      </c>
      <c r="B249">
        <v>7.49</v>
      </c>
      <c r="C249">
        <v>86.07</v>
      </c>
    </row>
    <row r="250" spans="1:3" x14ac:dyDescent="0.3">
      <c r="A250">
        <v>55.42</v>
      </c>
      <c r="B250">
        <v>6.01</v>
      </c>
      <c r="C250">
        <v>95.08</v>
      </c>
    </row>
    <row r="251" spans="1:3" x14ac:dyDescent="0.3">
      <c r="A251">
        <v>62.15</v>
      </c>
      <c r="B251">
        <v>7.2</v>
      </c>
      <c r="C251">
        <v>94.64</v>
      </c>
    </row>
    <row r="252" spans="1:3" x14ac:dyDescent="0.3">
      <c r="A252">
        <v>82.9</v>
      </c>
      <c r="B252">
        <v>8.59</v>
      </c>
      <c r="C252">
        <v>95.3</v>
      </c>
    </row>
    <row r="253" spans="1:3" x14ac:dyDescent="0.3">
      <c r="A253">
        <v>82.58</v>
      </c>
      <c r="B253">
        <v>9.9</v>
      </c>
      <c r="C253">
        <v>84.55</v>
      </c>
    </row>
    <row r="254" spans="1:3" x14ac:dyDescent="0.3">
      <c r="A254">
        <v>61.99</v>
      </c>
      <c r="B254">
        <v>9.39</v>
      </c>
      <c r="C254">
        <v>80.010000000000005</v>
      </c>
    </row>
    <row r="255" spans="1:3" x14ac:dyDescent="0.3">
      <c r="A255">
        <v>70.58</v>
      </c>
      <c r="B255">
        <v>6.09</v>
      </c>
      <c r="C255">
        <v>93.75</v>
      </c>
    </row>
    <row r="256" spans="1:3" x14ac:dyDescent="0.3">
      <c r="A256">
        <v>70.48</v>
      </c>
      <c r="B256">
        <v>9.59</v>
      </c>
      <c r="C256">
        <v>83.54</v>
      </c>
    </row>
    <row r="257" spans="1:3" x14ac:dyDescent="0.3">
      <c r="A257">
        <v>75.459999999999994</v>
      </c>
      <c r="B257">
        <v>9.1300000000000008</v>
      </c>
      <c r="C257">
        <v>75.5</v>
      </c>
    </row>
    <row r="258" spans="1:3" x14ac:dyDescent="0.3">
      <c r="A258">
        <v>82.47</v>
      </c>
      <c r="B258">
        <v>9.1199999999999992</v>
      </c>
      <c r="C258">
        <v>95.65</v>
      </c>
    </row>
    <row r="259" spans="1:3" x14ac:dyDescent="0.3">
      <c r="A259">
        <v>75.23</v>
      </c>
      <c r="B259">
        <v>7.83</v>
      </c>
      <c r="C259">
        <v>96.48</v>
      </c>
    </row>
    <row r="260" spans="1:3" x14ac:dyDescent="0.3">
      <c r="A260">
        <v>82.41</v>
      </c>
      <c r="B260">
        <v>7.59</v>
      </c>
      <c r="C260">
        <v>83.99</v>
      </c>
    </row>
    <row r="261" spans="1:3" x14ac:dyDescent="0.3">
      <c r="A261">
        <v>88.71</v>
      </c>
      <c r="B261">
        <v>7.21</v>
      </c>
      <c r="C261">
        <v>72.27</v>
      </c>
    </row>
    <row r="262" spans="1:3" x14ac:dyDescent="0.3">
      <c r="A262">
        <v>88.38</v>
      </c>
      <c r="B262">
        <v>6.26</v>
      </c>
      <c r="C262">
        <v>81.63</v>
      </c>
    </row>
    <row r="263" spans="1:3" x14ac:dyDescent="0.3">
      <c r="A263">
        <v>55.21</v>
      </c>
      <c r="B263">
        <v>6.91</v>
      </c>
      <c r="C263">
        <v>94.11</v>
      </c>
    </row>
    <row r="264" spans="1:3" x14ac:dyDescent="0.3">
      <c r="A264">
        <v>88.35</v>
      </c>
      <c r="B264">
        <v>6.99</v>
      </c>
      <c r="C264">
        <v>97.05</v>
      </c>
    </row>
    <row r="265" spans="1:3" x14ac:dyDescent="0.3">
      <c r="A265">
        <v>55.19</v>
      </c>
      <c r="B265">
        <v>7.94</v>
      </c>
      <c r="C265">
        <v>76.099999999999994</v>
      </c>
    </row>
    <row r="266" spans="1:3" x14ac:dyDescent="0.3">
      <c r="A266">
        <v>88.09</v>
      </c>
      <c r="B266">
        <v>8.99</v>
      </c>
      <c r="C266">
        <v>72.010000000000005</v>
      </c>
    </row>
    <row r="267" spans="1:3" x14ac:dyDescent="0.3">
      <c r="A267">
        <v>50.05</v>
      </c>
      <c r="B267">
        <v>7.9</v>
      </c>
      <c r="C267">
        <v>96.32</v>
      </c>
    </row>
    <row r="268" spans="1:3" x14ac:dyDescent="0.3">
      <c r="A268">
        <v>87.87</v>
      </c>
      <c r="B268">
        <v>6.23</v>
      </c>
      <c r="C268">
        <v>81.680000000000007</v>
      </c>
    </row>
    <row r="269" spans="1:3" x14ac:dyDescent="0.3">
      <c r="A269">
        <v>75.19</v>
      </c>
      <c r="B269">
        <v>9.83</v>
      </c>
      <c r="C269">
        <v>86.25</v>
      </c>
    </row>
    <row r="270" spans="1:3" x14ac:dyDescent="0.3">
      <c r="A270">
        <v>61.87</v>
      </c>
      <c r="B270">
        <v>9.77</v>
      </c>
      <c r="C270">
        <v>99.04</v>
      </c>
    </row>
    <row r="271" spans="1:3" x14ac:dyDescent="0.3">
      <c r="A271">
        <v>75.03</v>
      </c>
      <c r="B271">
        <v>9.14</v>
      </c>
      <c r="C271">
        <v>72</v>
      </c>
    </row>
    <row r="272" spans="1:3" x14ac:dyDescent="0.3">
      <c r="A272">
        <v>61.71</v>
      </c>
      <c r="B272">
        <v>9.9700000000000006</v>
      </c>
      <c r="C272">
        <v>89.45</v>
      </c>
    </row>
    <row r="273" spans="1:3" x14ac:dyDescent="0.3">
      <c r="A273">
        <v>69.849999999999994</v>
      </c>
      <c r="B273">
        <v>8.18</v>
      </c>
      <c r="C273">
        <v>72.22</v>
      </c>
    </row>
    <row r="274" spans="1:3" x14ac:dyDescent="0.3">
      <c r="A274">
        <v>75.010000000000005</v>
      </c>
      <c r="B274">
        <v>9.85</v>
      </c>
      <c r="C274">
        <v>81.260000000000005</v>
      </c>
    </row>
    <row r="275" spans="1:3" x14ac:dyDescent="0.3">
      <c r="A275">
        <v>69.67</v>
      </c>
      <c r="B275">
        <v>6.3</v>
      </c>
      <c r="C275">
        <v>94.11</v>
      </c>
    </row>
    <row r="276" spans="1:3" x14ac:dyDescent="0.3">
      <c r="A276">
        <v>55.14</v>
      </c>
      <c r="B276">
        <v>7.46</v>
      </c>
      <c r="C276">
        <v>83</v>
      </c>
    </row>
    <row r="277" spans="1:3" x14ac:dyDescent="0.3">
      <c r="A277">
        <v>54.93</v>
      </c>
      <c r="B277">
        <v>6.9</v>
      </c>
      <c r="C277">
        <v>99.92</v>
      </c>
    </row>
    <row r="278" spans="1:3" x14ac:dyDescent="0.3">
      <c r="A278">
        <v>50.01</v>
      </c>
      <c r="B278">
        <v>6.78</v>
      </c>
      <c r="C278">
        <v>86.77</v>
      </c>
    </row>
    <row r="279" spans="1:3" x14ac:dyDescent="0.3">
      <c r="A279">
        <v>87.81</v>
      </c>
      <c r="B279">
        <v>6.56</v>
      </c>
      <c r="C279">
        <v>79.63</v>
      </c>
    </row>
    <row r="280" spans="1:3" x14ac:dyDescent="0.3">
      <c r="A280">
        <v>74.47</v>
      </c>
      <c r="B280">
        <v>8.49</v>
      </c>
      <c r="C280">
        <v>76.599999999999994</v>
      </c>
    </row>
    <row r="281" spans="1:3" x14ac:dyDescent="0.3">
      <c r="A281">
        <v>69.45</v>
      </c>
      <c r="B281">
        <v>9.1300000000000008</v>
      </c>
      <c r="C281">
        <v>80.52</v>
      </c>
    </row>
  </sheetData>
  <mergeCells count="4">
    <mergeCell ref="E2:F2"/>
    <mergeCell ref="G2:H2"/>
    <mergeCell ref="I2:J2"/>
    <mergeCell ref="E19:J3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DAEED-E226-4563-BF3D-262E106F1380}">
  <dimension ref="A1:P281"/>
  <sheetViews>
    <sheetView workbookViewId="0">
      <selection activeCell="AF42" sqref="AF42"/>
    </sheetView>
  </sheetViews>
  <sheetFormatPr defaultRowHeight="14.4" x14ac:dyDescent="0.3"/>
  <sheetData>
    <row r="1" spans="1:3" ht="43.2" x14ac:dyDescent="0.3">
      <c r="A1" s="2" t="s">
        <v>1</v>
      </c>
      <c r="B1" s="2" t="s">
        <v>19</v>
      </c>
      <c r="C1" s="2" t="s">
        <v>24</v>
      </c>
    </row>
    <row r="2" spans="1:3" x14ac:dyDescent="0.3">
      <c r="A2" t="s">
        <v>28</v>
      </c>
      <c r="B2">
        <v>29</v>
      </c>
      <c r="C2">
        <v>7.58</v>
      </c>
    </row>
    <row r="3" spans="1:3" x14ac:dyDescent="0.3">
      <c r="A3" t="s">
        <v>37</v>
      </c>
      <c r="B3">
        <v>27</v>
      </c>
      <c r="C3">
        <v>6.16</v>
      </c>
    </row>
    <row r="4" spans="1:3" x14ac:dyDescent="0.3">
      <c r="A4" t="s">
        <v>37</v>
      </c>
      <c r="B4">
        <v>24</v>
      </c>
      <c r="C4">
        <v>7.9</v>
      </c>
    </row>
    <row r="5" spans="1:3" x14ac:dyDescent="0.3">
      <c r="A5" t="s">
        <v>28</v>
      </c>
      <c r="B5">
        <v>30</v>
      </c>
      <c r="C5">
        <v>8.17</v>
      </c>
    </row>
    <row r="6" spans="1:3" x14ac:dyDescent="0.3">
      <c r="A6" t="s">
        <v>28</v>
      </c>
      <c r="B6">
        <v>24</v>
      </c>
      <c r="C6">
        <v>6.91</v>
      </c>
    </row>
    <row r="7" spans="1:3" x14ac:dyDescent="0.3">
      <c r="A7" t="s">
        <v>37</v>
      </c>
      <c r="B7">
        <v>34</v>
      </c>
      <c r="C7">
        <v>9.86</v>
      </c>
    </row>
    <row r="8" spans="1:3" x14ac:dyDescent="0.3">
      <c r="A8" t="s">
        <v>28</v>
      </c>
      <c r="B8">
        <v>27</v>
      </c>
      <c r="C8">
        <v>9.64</v>
      </c>
    </row>
    <row r="9" spans="1:3" x14ac:dyDescent="0.3">
      <c r="A9" t="s">
        <v>64</v>
      </c>
      <c r="B9">
        <v>27</v>
      </c>
      <c r="C9">
        <v>8.89</v>
      </c>
    </row>
    <row r="10" spans="1:3" x14ac:dyDescent="0.3">
      <c r="A10" t="s">
        <v>68</v>
      </c>
      <c r="B10">
        <v>21</v>
      </c>
      <c r="C10">
        <v>8.1300000000000008</v>
      </c>
    </row>
    <row r="11" spans="1:3" x14ac:dyDescent="0.3">
      <c r="A11" t="s">
        <v>37</v>
      </c>
      <c r="B11">
        <v>37</v>
      </c>
      <c r="C11">
        <v>9.48</v>
      </c>
    </row>
    <row r="12" spans="1:3" x14ac:dyDescent="0.3">
      <c r="A12" t="s">
        <v>37</v>
      </c>
      <c r="B12">
        <v>21</v>
      </c>
      <c r="C12">
        <v>6.52</v>
      </c>
    </row>
    <row r="13" spans="1:3" x14ac:dyDescent="0.3">
      <c r="A13" t="s">
        <v>64</v>
      </c>
      <c r="B13">
        <v>39</v>
      </c>
      <c r="C13">
        <v>9.16</v>
      </c>
    </row>
    <row r="14" spans="1:3" x14ac:dyDescent="0.3">
      <c r="A14" t="s">
        <v>37</v>
      </c>
      <c r="B14">
        <v>24</v>
      </c>
      <c r="C14">
        <v>6.5</v>
      </c>
    </row>
    <row r="15" spans="1:3" x14ac:dyDescent="0.3">
      <c r="A15" t="s">
        <v>64</v>
      </c>
      <c r="B15">
        <v>39</v>
      </c>
      <c r="C15">
        <v>9.18</v>
      </c>
    </row>
    <row r="16" spans="1:3" x14ac:dyDescent="0.3">
      <c r="A16" t="s">
        <v>37</v>
      </c>
      <c r="B16">
        <v>18</v>
      </c>
      <c r="C16">
        <v>7.1</v>
      </c>
    </row>
    <row r="17" spans="1:16" x14ac:dyDescent="0.3">
      <c r="A17" t="s">
        <v>28</v>
      </c>
      <c r="B17">
        <v>29</v>
      </c>
      <c r="C17">
        <v>9.51</v>
      </c>
    </row>
    <row r="18" spans="1:16" x14ac:dyDescent="0.3">
      <c r="A18" t="s">
        <v>68</v>
      </c>
      <c r="B18">
        <v>30</v>
      </c>
      <c r="C18">
        <v>9.7799999999999994</v>
      </c>
    </row>
    <row r="19" spans="1:16" x14ac:dyDescent="0.3">
      <c r="A19" t="s">
        <v>68</v>
      </c>
      <c r="B19">
        <v>27</v>
      </c>
      <c r="C19">
        <v>6.6</v>
      </c>
    </row>
    <row r="20" spans="1:16" x14ac:dyDescent="0.3">
      <c r="A20" t="s">
        <v>64</v>
      </c>
      <c r="B20">
        <v>32</v>
      </c>
      <c r="C20">
        <v>7.85</v>
      </c>
    </row>
    <row r="21" spans="1:16" x14ac:dyDescent="0.3">
      <c r="A21" t="s">
        <v>28</v>
      </c>
      <c r="B21">
        <v>30</v>
      </c>
      <c r="C21">
        <v>9.92</v>
      </c>
    </row>
    <row r="22" spans="1:16" x14ac:dyDescent="0.3">
      <c r="A22" t="s">
        <v>64</v>
      </c>
      <c r="B22">
        <v>39</v>
      </c>
      <c r="C22">
        <v>7.93</v>
      </c>
      <c r="G22" s="75" t="s">
        <v>764</v>
      </c>
      <c r="H22" s="75"/>
      <c r="I22" s="75"/>
      <c r="J22" s="75"/>
      <c r="K22" s="75"/>
      <c r="L22" s="75"/>
      <c r="M22" s="75"/>
      <c r="N22" s="75"/>
      <c r="O22" s="75"/>
      <c r="P22" s="75"/>
    </row>
    <row r="23" spans="1:16" x14ac:dyDescent="0.3">
      <c r="A23" t="s">
        <v>68</v>
      </c>
      <c r="B23">
        <v>39</v>
      </c>
      <c r="C23">
        <v>9.4499999999999993</v>
      </c>
      <c r="G23" s="75" t="s">
        <v>765</v>
      </c>
      <c r="H23" s="75"/>
      <c r="I23" s="75"/>
      <c r="J23" s="75"/>
      <c r="K23" s="75"/>
      <c r="L23" s="75"/>
      <c r="M23" s="75"/>
      <c r="N23" s="75"/>
      <c r="O23" s="75"/>
      <c r="P23" s="75"/>
    </row>
    <row r="24" spans="1:16" x14ac:dyDescent="0.3">
      <c r="A24" t="s">
        <v>64</v>
      </c>
      <c r="B24">
        <v>38</v>
      </c>
      <c r="C24">
        <v>8.35</v>
      </c>
      <c r="G24" s="75" t="s">
        <v>766</v>
      </c>
      <c r="H24" s="75"/>
      <c r="I24" s="75"/>
      <c r="J24" s="75"/>
      <c r="K24" s="75"/>
      <c r="L24" s="75"/>
      <c r="M24" s="75"/>
      <c r="N24" s="75"/>
      <c r="O24" s="75"/>
      <c r="P24" s="75"/>
    </row>
    <row r="25" spans="1:16" x14ac:dyDescent="0.3">
      <c r="A25" t="s">
        <v>64</v>
      </c>
      <c r="B25">
        <v>39</v>
      </c>
      <c r="C25">
        <v>7.5</v>
      </c>
      <c r="G25" s="75" t="s">
        <v>767</v>
      </c>
      <c r="H25" s="75"/>
      <c r="I25" s="75"/>
      <c r="J25" s="75"/>
      <c r="K25" s="75"/>
      <c r="L25" s="75"/>
      <c r="M25" s="75"/>
      <c r="N25" s="75"/>
      <c r="O25" s="75"/>
      <c r="P25" s="75"/>
    </row>
    <row r="26" spans="1:16" x14ac:dyDescent="0.3">
      <c r="A26" t="s">
        <v>28</v>
      </c>
      <c r="B26">
        <v>26</v>
      </c>
      <c r="C26">
        <v>7.14</v>
      </c>
    </row>
    <row r="27" spans="1:16" x14ac:dyDescent="0.3">
      <c r="A27" t="s">
        <v>37</v>
      </c>
      <c r="B27">
        <v>26</v>
      </c>
      <c r="C27">
        <v>6.81</v>
      </c>
    </row>
    <row r="28" spans="1:16" x14ac:dyDescent="0.3">
      <c r="A28" t="s">
        <v>37</v>
      </c>
      <c r="B28">
        <v>32</v>
      </c>
      <c r="C28">
        <v>9.0500000000000007</v>
      </c>
    </row>
    <row r="29" spans="1:16" x14ac:dyDescent="0.3">
      <c r="A29" t="s">
        <v>64</v>
      </c>
      <c r="B29">
        <v>27</v>
      </c>
      <c r="C29">
        <v>7.55</v>
      </c>
    </row>
    <row r="30" spans="1:16" x14ac:dyDescent="0.3">
      <c r="A30" t="s">
        <v>68</v>
      </c>
      <c r="B30">
        <v>27</v>
      </c>
      <c r="C30">
        <v>8.0500000000000007</v>
      </c>
    </row>
    <row r="31" spans="1:16" x14ac:dyDescent="0.3">
      <c r="A31" t="s">
        <v>68</v>
      </c>
      <c r="B31">
        <v>25</v>
      </c>
      <c r="C31">
        <v>7.97</v>
      </c>
    </row>
    <row r="32" spans="1:16" x14ac:dyDescent="0.3">
      <c r="A32" t="s">
        <v>68</v>
      </c>
      <c r="B32">
        <v>33</v>
      </c>
      <c r="C32">
        <v>8.31</v>
      </c>
    </row>
    <row r="33" spans="1:3" x14ac:dyDescent="0.3">
      <c r="A33" t="s">
        <v>28</v>
      </c>
      <c r="B33">
        <v>34</v>
      </c>
      <c r="C33">
        <v>9.4600000000000009</v>
      </c>
    </row>
    <row r="34" spans="1:3" x14ac:dyDescent="0.3">
      <c r="A34" t="s">
        <v>28</v>
      </c>
      <c r="B34">
        <v>22</v>
      </c>
      <c r="C34">
        <v>9.92</v>
      </c>
    </row>
    <row r="35" spans="1:3" x14ac:dyDescent="0.3">
      <c r="A35" t="s">
        <v>68</v>
      </c>
      <c r="B35">
        <v>21</v>
      </c>
      <c r="C35">
        <v>7.63</v>
      </c>
    </row>
    <row r="36" spans="1:3" x14ac:dyDescent="0.3">
      <c r="A36" t="s">
        <v>64</v>
      </c>
      <c r="B36">
        <v>35</v>
      </c>
      <c r="C36">
        <v>9.31</v>
      </c>
    </row>
    <row r="37" spans="1:3" x14ac:dyDescent="0.3">
      <c r="A37" t="s">
        <v>64</v>
      </c>
      <c r="B37">
        <v>36</v>
      </c>
      <c r="C37">
        <v>9.06</v>
      </c>
    </row>
    <row r="38" spans="1:3" x14ac:dyDescent="0.3">
      <c r="A38" t="s">
        <v>28</v>
      </c>
      <c r="B38">
        <v>21</v>
      </c>
      <c r="C38">
        <v>8.2899999999999991</v>
      </c>
    </row>
    <row r="39" spans="1:3" x14ac:dyDescent="0.3">
      <c r="A39" t="s">
        <v>64</v>
      </c>
      <c r="B39">
        <v>24</v>
      </c>
      <c r="C39">
        <v>9.82</v>
      </c>
    </row>
    <row r="40" spans="1:3" x14ac:dyDescent="0.3">
      <c r="A40" t="s">
        <v>68</v>
      </c>
      <c r="B40">
        <v>27</v>
      </c>
      <c r="C40">
        <v>6.8</v>
      </c>
    </row>
    <row r="41" spans="1:3" x14ac:dyDescent="0.3">
      <c r="A41" t="s">
        <v>28</v>
      </c>
      <c r="B41">
        <v>35</v>
      </c>
      <c r="C41">
        <v>6.44</v>
      </c>
    </row>
    <row r="42" spans="1:3" x14ac:dyDescent="0.3">
      <c r="A42" t="s">
        <v>64</v>
      </c>
      <c r="B42">
        <v>36</v>
      </c>
      <c r="C42">
        <v>9.42</v>
      </c>
    </row>
    <row r="43" spans="1:3" x14ac:dyDescent="0.3">
      <c r="A43" t="s">
        <v>28</v>
      </c>
      <c r="B43">
        <v>21</v>
      </c>
      <c r="C43">
        <v>7.76</v>
      </c>
    </row>
    <row r="44" spans="1:3" x14ac:dyDescent="0.3">
      <c r="A44" t="s">
        <v>64</v>
      </c>
      <c r="B44">
        <v>27</v>
      </c>
      <c r="C44">
        <v>9.39</v>
      </c>
    </row>
    <row r="45" spans="1:3" x14ac:dyDescent="0.3">
      <c r="A45" t="s">
        <v>28</v>
      </c>
      <c r="B45">
        <v>18</v>
      </c>
      <c r="C45">
        <v>9.57</v>
      </c>
    </row>
    <row r="46" spans="1:3" x14ac:dyDescent="0.3">
      <c r="A46" t="s">
        <v>64</v>
      </c>
      <c r="B46">
        <v>35</v>
      </c>
      <c r="C46">
        <v>6.25</v>
      </c>
    </row>
    <row r="47" spans="1:3" x14ac:dyDescent="0.3">
      <c r="A47" t="s">
        <v>28</v>
      </c>
      <c r="B47">
        <v>22</v>
      </c>
      <c r="C47">
        <v>9.5299999999999994</v>
      </c>
    </row>
    <row r="48" spans="1:3" x14ac:dyDescent="0.3">
      <c r="A48" t="s">
        <v>68</v>
      </c>
      <c r="B48">
        <v>32</v>
      </c>
      <c r="C48">
        <v>7.79</v>
      </c>
    </row>
    <row r="49" spans="1:3" x14ac:dyDescent="0.3">
      <c r="A49" t="s">
        <v>37</v>
      </c>
      <c r="B49">
        <v>34</v>
      </c>
      <c r="C49">
        <v>8.0399999999999991</v>
      </c>
    </row>
    <row r="50" spans="1:3" x14ac:dyDescent="0.3">
      <c r="A50" t="s">
        <v>64</v>
      </c>
      <c r="B50">
        <v>20</v>
      </c>
      <c r="C50">
        <v>8.51</v>
      </c>
    </row>
    <row r="51" spans="1:3" x14ac:dyDescent="0.3">
      <c r="A51" t="s">
        <v>68</v>
      </c>
      <c r="B51">
        <v>29</v>
      </c>
      <c r="C51">
        <v>9.7100000000000009</v>
      </c>
    </row>
    <row r="52" spans="1:3" x14ac:dyDescent="0.3">
      <c r="A52" t="s">
        <v>64</v>
      </c>
      <c r="B52">
        <v>19</v>
      </c>
      <c r="C52">
        <v>6.08</v>
      </c>
    </row>
    <row r="53" spans="1:3" x14ac:dyDescent="0.3">
      <c r="A53" t="s">
        <v>37</v>
      </c>
      <c r="B53">
        <v>18</v>
      </c>
      <c r="C53">
        <v>7.91</v>
      </c>
    </row>
    <row r="54" spans="1:3" x14ac:dyDescent="0.3">
      <c r="A54" t="s">
        <v>68</v>
      </c>
      <c r="B54">
        <v>38</v>
      </c>
      <c r="C54">
        <v>8.75</v>
      </c>
    </row>
    <row r="55" spans="1:3" x14ac:dyDescent="0.3">
      <c r="A55" t="s">
        <v>64</v>
      </c>
      <c r="B55">
        <v>34</v>
      </c>
      <c r="C55">
        <v>8.89</v>
      </c>
    </row>
    <row r="56" spans="1:3" x14ac:dyDescent="0.3">
      <c r="A56" t="s">
        <v>28</v>
      </c>
      <c r="B56">
        <v>39</v>
      </c>
      <c r="C56">
        <v>8.77</v>
      </c>
    </row>
    <row r="57" spans="1:3" x14ac:dyDescent="0.3">
      <c r="A57" t="s">
        <v>68</v>
      </c>
      <c r="B57">
        <v>33</v>
      </c>
      <c r="C57">
        <v>6.54</v>
      </c>
    </row>
    <row r="58" spans="1:3" x14ac:dyDescent="0.3">
      <c r="A58" t="s">
        <v>28</v>
      </c>
      <c r="B58">
        <v>22</v>
      </c>
      <c r="C58">
        <v>7.2</v>
      </c>
    </row>
    <row r="59" spans="1:3" x14ac:dyDescent="0.3">
      <c r="A59" t="s">
        <v>37</v>
      </c>
      <c r="B59">
        <v>32</v>
      </c>
      <c r="C59">
        <v>7.43</v>
      </c>
    </row>
    <row r="60" spans="1:3" x14ac:dyDescent="0.3">
      <c r="A60" t="s">
        <v>37</v>
      </c>
      <c r="B60">
        <v>20</v>
      </c>
      <c r="C60">
        <v>9.2200000000000006</v>
      </c>
    </row>
    <row r="61" spans="1:3" x14ac:dyDescent="0.3">
      <c r="A61" t="s">
        <v>28</v>
      </c>
      <c r="B61">
        <v>24</v>
      </c>
      <c r="C61">
        <v>7.12</v>
      </c>
    </row>
    <row r="62" spans="1:3" x14ac:dyDescent="0.3">
      <c r="A62" t="s">
        <v>68</v>
      </c>
      <c r="B62">
        <v>28</v>
      </c>
      <c r="C62">
        <v>6.84</v>
      </c>
    </row>
    <row r="63" spans="1:3" x14ac:dyDescent="0.3">
      <c r="A63" t="s">
        <v>68</v>
      </c>
      <c r="B63">
        <v>27</v>
      </c>
      <c r="C63">
        <v>9.83</v>
      </c>
    </row>
    <row r="64" spans="1:3" x14ac:dyDescent="0.3">
      <c r="A64" t="s">
        <v>68</v>
      </c>
      <c r="B64">
        <v>26</v>
      </c>
      <c r="C64">
        <v>6.04</v>
      </c>
    </row>
    <row r="65" spans="1:3" x14ac:dyDescent="0.3">
      <c r="A65" t="s">
        <v>68</v>
      </c>
      <c r="B65">
        <v>31</v>
      </c>
      <c r="C65">
        <v>9.99</v>
      </c>
    </row>
    <row r="66" spans="1:3" x14ac:dyDescent="0.3">
      <c r="A66" t="s">
        <v>37</v>
      </c>
      <c r="B66">
        <v>30</v>
      </c>
      <c r="C66">
        <v>8.7100000000000009</v>
      </c>
    </row>
    <row r="67" spans="1:3" x14ac:dyDescent="0.3">
      <c r="A67" t="s">
        <v>28</v>
      </c>
      <c r="B67">
        <v>19</v>
      </c>
      <c r="C67">
        <v>9.31</v>
      </c>
    </row>
    <row r="68" spans="1:3" x14ac:dyDescent="0.3">
      <c r="A68" t="s">
        <v>37</v>
      </c>
      <c r="B68">
        <v>20</v>
      </c>
      <c r="C68">
        <v>7.18</v>
      </c>
    </row>
    <row r="69" spans="1:3" x14ac:dyDescent="0.3">
      <c r="A69" t="s">
        <v>64</v>
      </c>
      <c r="B69">
        <v>24</v>
      </c>
      <c r="C69">
        <v>6.06</v>
      </c>
    </row>
    <row r="70" spans="1:3" x14ac:dyDescent="0.3">
      <c r="A70" t="s">
        <v>37</v>
      </c>
      <c r="B70">
        <v>38</v>
      </c>
      <c r="C70">
        <v>8.9499999999999993</v>
      </c>
    </row>
    <row r="71" spans="1:3" x14ac:dyDescent="0.3">
      <c r="A71" t="s">
        <v>28</v>
      </c>
      <c r="B71">
        <v>35</v>
      </c>
      <c r="C71">
        <v>9.34</v>
      </c>
    </row>
    <row r="72" spans="1:3" x14ac:dyDescent="0.3">
      <c r="A72" t="s">
        <v>64</v>
      </c>
      <c r="B72">
        <v>20</v>
      </c>
      <c r="C72">
        <v>8.9600000000000009</v>
      </c>
    </row>
    <row r="73" spans="1:3" x14ac:dyDescent="0.3">
      <c r="A73" t="s">
        <v>28</v>
      </c>
      <c r="B73">
        <v>27</v>
      </c>
      <c r="C73">
        <v>6.57</v>
      </c>
    </row>
    <row r="74" spans="1:3" x14ac:dyDescent="0.3">
      <c r="A74" t="s">
        <v>28</v>
      </c>
      <c r="B74">
        <v>39</v>
      </c>
      <c r="C74">
        <v>9.01</v>
      </c>
    </row>
    <row r="75" spans="1:3" x14ac:dyDescent="0.3">
      <c r="A75" t="s">
        <v>28</v>
      </c>
      <c r="B75">
        <v>24</v>
      </c>
      <c r="C75">
        <v>9.08</v>
      </c>
    </row>
    <row r="76" spans="1:3" x14ac:dyDescent="0.3">
      <c r="A76" t="s">
        <v>28</v>
      </c>
      <c r="B76">
        <v>26</v>
      </c>
      <c r="C76">
        <v>8.6300000000000008</v>
      </c>
    </row>
    <row r="77" spans="1:3" x14ac:dyDescent="0.3">
      <c r="A77" t="s">
        <v>37</v>
      </c>
      <c r="B77">
        <v>34</v>
      </c>
      <c r="C77">
        <v>9.06</v>
      </c>
    </row>
    <row r="78" spans="1:3" x14ac:dyDescent="0.3">
      <c r="A78" t="s">
        <v>68</v>
      </c>
      <c r="B78">
        <v>28</v>
      </c>
      <c r="C78">
        <v>9.3800000000000008</v>
      </c>
    </row>
    <row r="79" spans="1:3" x14ac:dyDescent="0.3">
      <c r="A79" t="s">
        <v>37</v>
      </c>
      <c r="B79">
        <v>24</v>
      </c>
      <c r="C79">
        <v>8.4499999999999993</v>
      </c>
    </row>
    <row r="80" spans="1:3" x14ac:dyDescent="0.3">
      <c r="A80" t="s">
        <v>37</v>
      </c>
      <c r="B80">
        <v>31</v>
      </c>
      <c r="C80">
        <v>6.35</v>
      </c>
    </row>
    <row r="81" spans="1:3" x14ac:dyDescent="0.3">
      <c r="A81" t="s">
        <v>68</v>
      </c>
      <c r="B81">
        <v>36</v>
      </c>
      <c r="C81">
        <v>7.95</v>
      </c>
    </row>
    <row r="82" spans="1:3" x14ac:dyDescent="0.3">
      <c r="A82" t="s">
        <v>68</v>
      </c>
      <c r="B82">
        <v>21</v>
      </c>
      <c r="C82">
        <v>6.31</v>
      </c>
    </row>
    <row r="83" spans="1:3" x14ac:dyDescent="0.3">
      <c r="A83" t="s">
        <v>64</v>
      </c>
      <c r="B83">
        <v>23</v>
      </c>
      <c r="C83">
        <v>7.63</v>
      </c>
    </row>
    <row r="84" spans="1:3" x14ac:dyDescent="0.3">
      <c r="A84" t="s">
        <v>37</v>
      </c>
      <c r="B84">
        <v>27</v>
      </c>
      <c r="C84">
        <v>7.63</v>
      </c>
    </row>
    <row r="85" spans="1:3" x14ac:dyDescent="0.3">
      <c r="A85" t="s">
        <v>64</v>
      </c>
      <c r="B85">
        <v>24</v>
      </c>
      <c r="C85">
        <v>6.26</v>
      </c>
    </row>
    <row r="86" spans="1:3" x14ac:dyDescent="0.3">
      <c r="A86" t="s">
        <v>28</v>
      </c>
      <c r="B86">
        <v>30</v>
      </c>
      <c r="C86">
        <v>7.4</v>
      </c>
    </row>
    <row r="87" spans="1:3" x14ac:dyDescent="0.3">
      <c r="A87" t="s">
        <v>28</v>
      </c>
      <c r="B87">
        <v>31</v>
      </c>
      <c r="C87">
        <v>6.44</v>
      </c>
    </row>
    <row r="88" spans="1:3" x14ac:dyDescent="0.3">
      <c r="A88" t="s">
        <v>37</v>
      </c>
      <c r="B88">
        <v>21</v>
      </c>
      <c r="C88">
        <v>9.23</v>
      </c>
    </row>
    <row r="89" spans="1:3" x14ac:dyDescent="0.3">
      <c r="A89" t="s">
        <v>68</v>
      </c>
      <c r="B89">
        <v>25</v>
      </c>
      <c r="C89">
        <v>9.7899999999999991</v>
      </c>
    </row>
    <row r="90" spans="1:3" x14ac:dyDescent="0.3">
      <c r="A90" t="s">
        <v>68</v>
      </c>
      <c r="B90">
        <v>22</v>
      </c>
      <c r="C90">
        <v>6.29</v>
      </c>
    </row>
    <row r="91" spans="1:3" x14ac:dyDescent="0.3">
      <c r="A91" t="s">
        <v>37</v>
      </c>
      <c r="B91">
        <v>18</v>
      </c>
      <c r="C91">
        <v>9.82</v>
      </c>
    </row>
    <row r="92" spans="1:3" x14ac:dyDescent="0.3">
      <c r="A92" t="s">
        <v>28</v>
      </c>
      <c r="B92">
        <v>21</v>
      </c>
      <c r="C92">
        <v>8.09</v>
      </c>
    </row>
    <row r="93" spans="1:3" x14ac:dyDescent="0.3">
      <c r="A93" t="s">
        <v>28</v>
      </c>
      <c r="B93">
        <v>20</v>
      </c>
      <c r="C93">
        <v>7.2</v>
      </c>
    </row>
    <row r="94" spans="1:3" x14ac:dyDescent="0.3">
      <c r="A94" t="s">
        <v>64</v>
      </c>
      <c r="B94">
        <v>26</v>
      </c>
      <c r="C94">
        <v>6.31</v>
      </c>
    </row>
    <row r="95" spans="1:3" x14ac:dyDescent="0.3">
      <c r="A95" t="s">
        <v>37</v>
      </c>
      <c r="B95">
        <v>25</v>
      </c>
      <c r="C95">
        <v>8</v>
      </c>
    </row>
    <row r="96" spans="1:3" x14ac:dyDescent="0.3">
      <c r="A96" t="s">
        <v>28</v>
      </c>
      <c r="B96">
        <v>18</v>
      </c>
      <c r="C96">
        <v>9.18</v>
      </c>
    </row>
    <row r="97" spans="1:3" x14ac:dyDescent="0.3">
      <c r="A97" t="s">
        <v>37</v>
      </c>
      <c r="B97">
        <v>23</v>
      </c>
      <c r="C97">
        <v>8.83</v>
      </c>
    </row>
    <row r="98" spans="1:3" x14ac:dyDescent="0.3">
      <c r="A98" t="s">
        <v>68</v>
      </c>
      <c r="B98">
        <v>26</v>
      </c>
      <c r="C98">
        <v>6.2</v>
      </c>
    </row>
    <row r="99" spans="1:3" x14ac:dyDescent="0.3">
      <c r="A99" t="s">
        <v>28</v>
      </c>
      <c r="B99">
        <v>24</v>
      </c>
      <c r="C99">
        <v>6.29</v>
      </c>
    </row>
    <row r="100" spans="1:3" x14ac:dyDescent="0.3">
      <c r="A100" t="s">
        <v>68</v>
      </c>
      <c r="B100">
        <v>21</v>
      </c>
      <c r="C100">
        <v>7.61</v>
      </c>
    </row>
    <row r="101" spans="1:3" x14ac:dyDescent="0.3">
      <c r="A101" t="s">
        <v>68</v>
      </c>
      <c r="B101">
        <v>30</v>
      </c>
      <c r="C101">
        <v>7.18</v>
      </c>
    </row>
    <row r="102" spans="1:3" x14ac:dyDescent="0.3">
      <c r="A102" t="s">
        <v>68</v>
      </c>
      <c r="B102">
        <v>34</v>
      </c>
      <c r="C102">
        <v>6.93</v>
      </c>
    </row>
    <row r="103" spans="1:3" x14ac:dyDescent="0.3">
      <c r="A103" t="s">
        <v>68</v>
      </c>
      <c r="B103">
        <v>19</v>
      </c>
      <c r="C103">
        <v>7.12</v>
      </c>
    </row>
    <row r="104" spans="1:3" x14ac:dyDescent="0.3">
      <c r="A104" t="s">
        <v>64</v>
      </c>
      <c r="B104">
        <v>22</v>
      </c>
      <c r="C104">
        <v>9.2100000000000009</v>
      </c>
    </row>
    <row r="105" spans="1:3" x14ac:dyDescent="0.3">
      <c r="A105" t="s">
        <v>64</v>
      </c>
      <c r="B105">
        <v>29</v>
      </c>
      <c r="C105">
        <v>9.7200000000000006</v>
      </c>
    </row>
    <row r="106" spans="1:3" x14ac:dyDescent="0.3">
      <c r="A106" t="s">
        <v>68</v>
      </c>
      <c r="B106">
        <v>38</v>
      </c>
      <c r="C106">
        <v>7.62</v>
      </c>
    </row>
    <row r="107" spans="1:3" x14ac:dyDescent="0.3">
      <c r="A107" t="s">
        <v>64</v>
      </c>
      <c r="B107">
        <v>25</v>
      </c>
      <c r="C107">
        <v>9.6199999999999992</v>
      </c>
    </row>
    <row r="108" spans="1:3" x14ac:dyDescent="0.3">
      <c r="A108" t="s">
        <v>68</v>
      </c>
      <c r="B108">
        <v>23</v>
      </c>
      <c r="C108">
        <v>7.29</v>
      </c>
    </row>
    <row r="109" spans="1:3" x14ac:dyDescent="0.3">
      <c r="A109" t="s">
        <v>37</v>
      </c>
      <c r="B109">
        <v>25</v>
      </c>
      <c r="C109">
        <v>7.91</v>
      </c>
    </row>
    <row r="110" spans="1:3" x14ac:dyDescent="0.3">
      <c r="A110" t="s">
        <v>64</v>
      </c>
      <c r="B110">
        <v>35</v>
      </c>
      <c r="C110">
        <v>6.9</v>
      </c>
    </row>
    <row r="111" spans="1:3" x14ac:dyDescent="0.3">
      <c r="A111" t="s">
        <v>28</v>
      </c>
      <c r="B111">
        <v>20</v>
      </c>
      <c r="C111">
        <v>8.56</v>
      </c>
    </row>
    <row r="112" spans="1:3" x14ac:dyDescent="0.3">
      <c r="A112" t="s">
        <v>68</v>
      </c>
      <c r="B112">
        <v>39</v>
      </c>
      <c r="C112">
        <v>9.92</v>
      </c>
    </row>
    <row r="113" spans="1:3" x14ac:dyDescent="0.3">
      <c r="A113" t="s">
        <v>28</v>
      </c>
      <c r="B113">
        <v>29</v>
      </c>
      <c r="C113">
        <v>8.41</v>
      </c>
    </row>
    <row r="114" spans="1:3" x14ac:dyDescent="0.3">
      <c r="A114" t="s">
        <v>37</v>
      </c>
      <c r="B114">
        <v>20</v>
      </c>
      <c r="C114">
        <v>7.43</v>
      </c>
    </row>
    <row r="115" spans="1:3" x14ac:dyDescent="0.3">
      <c r="A115" t="s">
        <v>37</v>
      </c>
      <c r="B115">
        <v>39</v>
      </c>
      <c r="C115">
        <v>8.59</v>
      </c>
    </row>
    <row r="116" spans="1:3" x14ac:dyDescent="0.3">
      <c r="A116" t="s">
        <v>64</v>
      </c>
      <c r="B116">
        <v>23</v>
      </c>
      <c r="C116">
        <v>6.49</v>
      </c>
    </row>
    <row r="117" spans="1:3" x14ac:dyDescent="0.3">
      <c r="A117" t="s">
        <v>68</v>
      </c>
      <c r="B117">
        <v>19</v>
      </c>
      <c r="C117">
        <v>9.5500000000000007</v>
      </c>
    </row>
    <row r="118" spans="1:3" x14ac:dyDescent="0.3">
      <c r="A118" t="s">
        <v>37</v>
      </c>
      <c r="B118">
        <v>29</v>
      </c>
      <c r="C118">
        <v>8.01</v>
      </c>
    </row>
    <row r="119" spans="1:3" x14ac:dyDescent="0.3">
      <c r="A119" t="s">
        <v>68</v>
      </c>
      <c r="B119">
        <v>19</v>
      </c>
      <c r="C119">
        <v>7.8</v>
      </c>
    </row>
    <row r="120" spans="1:3" x14ac:dyDescent="0.3">
      <c r="A120" t="s">
        <v>64</v>
      </c>
      <c r="B120">
        <v>23</v>
      </c>
      <c r="C120">
        <v>8.34</v>
      </c>
    </row>
    <row r="121" spans="1:3" x14ac:dyDescent="0.3">
      <c r="A121" t="s">
        <v>64</v>
      </c>
      <c r="B121">
        <v>34</v>
      </c>
      <c r="C121">
        <v>8.5</v>
      </c>
    </row>
    <row r="122" spans="1:3" x14ac:dyDescent="0.3">
      <c r="A122" t="s">
        <v>64</v>
      </c>
      <c r="B122">
        <v>20</v>
      </c>
      <c r="C122">
        <v>6.29</v>
      </c>
    </row>
    <row r="123" spans="1:3" x14ac:dyDescent="0.3">
      <c r="A123" t="s">
        <v>64</v>
      </c>
      <c r="B123">
        <v>19</v>
      </c>
      <c r="C123">
        <v>8.73</v>
      </c>
    </row>
    <row r="124" spans="1:3" x14ac:dyDescent="0.3">
      <c r="A124" t="s">
        <v>37</v>
      </c>
      <c r="B124">
        <v>37</v>
      </c>
      <c r="C124">
        <v>6.97</v>
      </c>
    </row>
    <row r="125" spans="1:3" x14ac:dyDescent="0.3">
      <c r="A125" t="s">
        <v>28</v>
      </c>
      <c r="B125">
        <v>25</v>
      </c>
      <c r="C125">
        <v>8.86</v>
      </c>
    </row>
    <row r="126" spans="1:3" x14ac:dyDescent="0.3">
      <c r="A126" t="s">
        <v>64</v>
      </c>
      <c r="B126">
        <v>39</v>
      </c>
      <c r="C126">
        <v>9.2899999999999991</v>
      </c>
    </row>
    <row r="127" spans="1:3" x14ac:dyDescent="0.3">
      <c r="A127" t="s">
        <v>64</v>
      </c>
      <c r="B127">
        <v>29</v>
      </c>
      <c r="C127">
        <v>9.2200000000000006</v>
      </c>
    </row>
    <row r="128" spans="1:3" x14ac:dyDescent="0.3">
      <c r="A128" t="s">
        <v>68</v>
      </c>
      <c r="B128">
        <v>21</v>
      </c>
      <c r="C128">
        <v>8.2100000000000009</v>
      </c>
    </row>
    <row r="129" spans="1:3" x14ac:dyDescent="0.3">
      <c r="A129" t="s">
        <v>28</v>
      </c>
      <c r="B129">
        <v>22</v>
      </c>
      <c r="C129">
        <v>8.08</v>
      </c>
    </row>
    <row r="130" spans="1:3" x14ac:dyDescent="0.3">
      <c r="A130" t="s">
        <v>68</v>
      </c>
      <c r="B130">
        <v>30</v>
      </c>
      <c r="C130">
        <v>6.57</v>
      </c>
    </row>
    <row r="131" spans="1:3" x14ac:dyDescent="0.3">
      <c r="A131" t="s">
        <v>64</v>
      </c>
      <c r="B131">
        <v>32</v>
      </c>
      <c r="C131">
        <v>9.1</v>
      </c>
    </row>
    <row r="132" spans="1:3" x14ac:dyDescent="0.3">
      <c r="A132" t="s">
        <v>28</v>
      </c>
      <c r="B132">
        <v>33</v>
      </c>
      <c r="C132">
        <v>7.09</v>
      </c>
    </row>
    <row r="133" spans="1:3" x14ac:dyDescent="0.3">
      <c r="A133" t="s">
        <v>68</v>
      </c>
      <c r="B133">
        <v>27</v>
      </c>
      <c r="C133">
        <v>7.99</v>
      </c>
    </row>
    <row r="134" spans="1:3" x14ac:dyDescent="0.3">
      <c r="A134" t="s">
        <v>28</v>
      </c>
      <c r="B134">
        <v>33</v>
      </c>
      <c r="C134">
        <v>7.14</v>
      </c>
    </row>
    <row r="135" spans="1:3" x14ac:dyDescent="0.3">
      <c r="A135" t="s">
        <v>64</v>
      </c>
      <c r="B135">
        <v>29</v>
      </c>
      <c r="C135">
        <v>6.54</v>
      </c>
    </row>
    <row r="136" spans="1:3" x14ac:dyDescent="0.3">
      <c r="A136" t="s">
        <v>37</v>
      </c>
      <c r="B136">
        <v>34</v>
      </c>
      <c r="C136">
        <v>8.52</v>
      </c>
    </row>
    <row r="137" spans="1:3" x14ac:dyDescent="0.3">
      <c r="A137" t="s">
        <v>28</v>
      </c>
      <c r="B137">
        <v>33</v>
      </c>
      <c r="C137">
        <v>6.22</v>
      </c>
    </row>
    <row r="138" spans="1:3" x14ac:dyDescent="0.3">
      <c r="A138" t="s">
        <v>28</v>
      </c>
      <c r="B138">
        <v>29</v>
      </c>
      <c r="C138">
        <v>8.99</v>
      </c>
    </row>
    <row r="139" spans="1:3" x14ac:dyDescent="0.3">
      <c r="A139" t="s">
        <v>37</v>
      </c>
      <c r="B139">
        <v>25</v>
      </c>
      <c r="C139">
        <v>7.27</v>
      </c>
    </row>
    <row r="140" spans="1:3" x14ac:dyDescent="0.3">
      <c r="A140" t="s">
        <v>37</v>
      </c>
      <c r="B140">
        <v>37</v>
      </c>
      <c r="C140">
        <v>6</v>
      </c>
    </row>
    <row r="141" spans="1:3" x14ac:dyDescent="0.3">
      <c r="A141" t="s">
        <v>68</v>
      </c>
      <c r="B141">
        <v>20</v>
      </c>
      <c r="C141">
        <v>8.0399999999999991</v>
      </c>
    </row>
    <row r="142" spans="1:3" x14ac:dyDescent="0.3">
      <c r="A142" t="s">
        <v>64</v>
      </c>
      <c r="B142">
        <v>33</v>
      </c>
      <c r="C142">
        <v>6.19</v>
      </c>
    </row>
    <row r="143" spans="1:3" x14ac:dyDescent="0.3">
      <c r="A143" t="s">
        <v>68</v>
      </c>
      <c r="B143">
        <v>30</v>
      </c>
      <c r="C143">
        <v>7.1</v>
      </c>
    </row>
    <row r="144" spans="1:3" x14ac:dyDescent="0.3">
      <c r="A144" t="s">
        <v>64</v>
      </c>
      <c r="B144">
        <v>36</v>
      </c>
      <c r="C144">
        <v>8.83</v>
      </c>
    </row>
    <row r="145" spans="1:3" x14ac:dyDescent="0.3">
      <c r="A145" t="s">
        <v>68</v>
      </c>
      <c r="B145">
        <v>25</v>
      </c>
      <c r="C145">
        <v>6.25</v>
      </c>
    </row>
    <row r="146" spans="1:3" x14ac:dyDescent="0.3">
      <c r="A146" t="s">
        <v>37</v>
      </c>
      <c r="B146">
        <v>39</v>
      </c>
      <c r="C146">
        <v>9.36</v>
      </c>
    </row>
    <row r="147" spans="1:3" x14ac:dyDescent="0.3">
      <c r="A147" t="s">
        <v>64</v>
      </c>
      <c r="B147">
        <v>22</v>
      </c>
      <c r="C147">
        <v>6.02</v>
      </c>
    </row>
    <row r="148" spans="1:3" x14ac:dyDescent="0.3">
      <c r="A148" t="s">
        <v>28</v>
      </c>
      <c r="B148">
        <v>37</v>
      </c>
      <c r="C148">
        <v>6.99</v>
      </c>
    </row>
    <row r="149" spans="1:3" x14ac:dyDescent="0.3">
      <c r="A149" t="s">
        <v>68</v>
      </c>
      <c r="B149">
        <v>25</v>
      </c>
      <c r="C149">
        <v>8.9600000000000009</v>
      </c>
    </row>
    <row r="150" spans="1:3" x14ac:dyDescent="0.3">
      <c r="A150" t="s">
        <v>64</v>
      </c>
      <c r="B150">
        <v>29</v>
      </c>
      <c r="C150">
        <v>7.27</v>
      </c>
    </row>
    <row r="151" spans="1:3" x14ac:dyDescent="0.3">
      <c r="A151" t="s">
        <v>64</v>
      </c>
      <c r="B151">
        <v>18</v>
      </c>
      <c r="C151">
        <v>6.41</v>
      </c>
    </row>
    <row r="152" spans="1:3" x14ac:dyDescent="0.3">
      <c r="A152" t="s">
        <v>64</v>
      </c>
      <c r="B152">
        <v>38</v>
      </c>
      <c r="C152">
        <v>7.44</v>
      </c>
    </row>
    <row r="153" spans="1:3" x14ac:dyDescent="0.3">
      <c r="A153" t="s">
        <v>37</v>
      </c>
      <c r="B153">
        <v>37</v>
      </c>
      <c r="C153">
        <v>7.08</v>
      </c>
    </row>
    <row r="154" spans="1:3" x14ac:dyDescent="0.3">
      <c r="A154" t="s">
        <v>28</v>
      </c>
      <c r="B154">
        <v>23</v>
      </c>
      <c r="C154">
        <v>9.3699999999999992</v>
      </c>
    </row>
    <row r="155" spans="1:3" x14ac:dyDescent="0.3">
      <c r="A155" t="s">
        <v>37</v>
      </c>
      <c r="B155">
        <v>39</v>
      </c>
      <c r="C155">
        <v>7.25</v>
      </c>
    </row>
    <row r="156" spans="1:3" x14ac:dyDescent="0.3">
      <c r="A156" t="s">
        <v>64</v>
      </c>
      <c r="B156">
        <v>35</v>
      </c>
      <c r="C156">
        <v>9.16</v>
      </c>
    </row>
    <row r="157" spans="1:3" x14ac:dyDescent="0.3">
      <c r="A157" t="s">
        <v>64</v>
      </c>
      <c r="B157">
        <v>25</v>
      </c>
      <c r="C157">
        <v>9.57</v>
      </c>
    </row>
    <row r="158" spans="1:3" x14ac:dyDescent="0.3">
      <c r="A158" t="s">
        <v>37</v>
      </c>
      <c r="B158">
        <v>24</v>
      </c>
      <c r="C158">
        <v>7.74</v>
      </c>
    </row>
    <row r="159" spans="1:3" x14ac:dyDescent="0.3">
      <c r="A159" t="s">
        <v>28</v>
      </c>
      <c r="B159">
        <v>18</v>
      </c>
      <c r="C159">
        <v>9.64</v>
      </c>
    </row>
    <row r="160" spans="1:3" x14ac:dyDescent="0.3">
      <c r="A160" t="s">
        <v>28</v>
      </c>
      <c r="B160">
        <v>38</v>
      </c>
      <c r="C160">
        <v>7.51</v>
      </c>
    </row>
    <row r="161" spans="1:3" x14ac:dyDescent="0.3">
      <c r="A161" t="s">
        <v>64</v>
      </c>
      <c r="B161">
        <v>33</v>
      </c>
      <c r="C161">
        <v>9.86</v>
      </c>
    </row>
    <row r="162" spans="1:3" x14ac:dyDescent="0.3">
      <c r="A162" t="s">
        <v>37</v>
      </c>
      <c r="B162">
        <v>29</v>
      </c>
      <c r="C162">
        <v>6.36</v>
      </c>
    </row>
    <row r="163" spans="1:3" x14ac:dyDescent="0.3">
      <c r="A163" t="s">
        <v>64</v>
      </c>
      <c r="B163">
        <v>23</v>
      </c>
      <c r="C163">
        <v>8.75</v>
      </c>
    </row>
    <row r="164" spans="1:3" x14ac:dyDescent="0.3">
      <c r="A164" t="s">
        <v>64</v>
      </c>
      <c r="B164">
        <v>37</v>
      </c>
      <c r="C164">
        <v>7.98</v>
      </c>
    </row>
    <row r="165" spans="1:3" x14ac:dyDescent="0.3">
      <c r="A165" t="s">
        <v>37</v>
      </c>
      <c r="B165">
        <v>19</v>
      </c>
      <c r="C165">
        <v>7.55</v>
      </c>
    </row>
    <row r="166" spans="1:3" x14ac:dyDescent="0.3">
      <c r="A166" t="s">
        <v>64</v>
      </c>
      <c r="B166">
        <v>31</v>
      </c>
      <c r="C166">
        <v>8.5299999999999994</v>
      </c>
    </row>
    <row r="167" spans="1:3" x14ac:dyDescent="0.3">
      <c r="A167" t="s">
        <v>68</v>
      </c>
      <c r="B167">
        <v>21</v>
      </c>
      <c r="C167">
        <v>8.82</v>
      </c>
    </row>
    <row r="168" spans="1:3" x14ac:dyDescent="0.3">
      <c r="A168" t="s">
        <v>68</v>
      </c>
      <c r="B168">
        <v>18</v>
      </c>
      <c r="C168">
        <v>6.02</v>
      </c>
    </row>
    <row r="169" spans="1:3" x14ac:dyDescent="0.3">
      <c r="A169" t="s">
        <v>64</v>
      </c>
      <c r="B169">
        <v>35</v>
      </c>
      <c r="C169">
        <v>6.67</v>
      </c>
    </row>
    <row r="170" spans="1:3" x14ac:dyDescent="0.3">
      <c r="A170" t="s">
        <v>37</v>
      </c>
      <c r="B170">
        <v>30</v>
      </c>
      <c r="C170">
        <v>8.85</v>
      </c>
    </row>
    <row r="171" spans="1:3" x14ac:dyDescent="0.3">
      <c r="A171" t="s">
        <v>28</v>
      </c>
      <c r="B171">
        <v>19</v>
      </c>
      <c r="C171">
        <v>8.67</v>
      </c>
    </row>
    <row r="172" spans="1:3" x14ac:dyDescent="0.3">
      <c r="A172" t="s">
        <v>28</v>
      </c>
      <c r="B172">
        <v>26</v>
      </c>
      <c r="C172">
        <v>9.86</v>
      </c>
    </row>
    <row r="173" spans="1:3" x14ac:dyDescent="0.3">
      <c r="A173" t="s">
        <v>37</v>
      </c>
      <c r="B173">
        <v>38</v>
      </c>
      <c r="C173">
        <v>9.0399999999999991</v>
      </c>
    </row>
    <row r="174" spans="1:3" x14ac:dyDescent="0.3">
      <c r="A174" t="s">
        <v>28</v>
      </c>
      <c r="B174">
        <v>19</v>
      </c>
      <c r="C174">
        <v>9.8000000000000007</v>
      </c>
    </row>
    <row r="175" spans="1:3" x14ac:dyDescent="0.3">
      <c r="A175" t="s">
        <v>37</v>
      </c>
      <c r="B175">
        <v>26</v>
      </c>
      <c r="C175">
        <v>8.81</v>
      </c>
    </row>
    <row r="176" spans="1:3" x14ac:dyDescent="0.3">
      <c r="A176" t="s">
        <v>68</v>
      </c>
      <c r="B176">
        <v>18</v>
      </c>
      <c r="C176">
        <v>7.19</v>
      </c>
    </row>
    <row r="177" spans="1:3" x14ac:dyDescent="0.3">
      <c r="A177" t="s">
        <v>68</v>
      </c>
      <c r="B177">
        <v>28</v>
      </c>
      <c r="C177">
        <v>6.42</v>
      </c>
    </row>
    <row r="178" spans="1:3" x14ac:dyDescent="0.3">
      <c r="A178" t="s">
        <v>28</v>
      </c>
      <c r="B178">
        <v>20</v>
      </c>
      <c r="C178">
        <v>9.1300000000000008</v>
      </c>
    </row>
    <row r="179" spans="1:3" x14ac:dyDescent="0.3">
      <c r="A179" t="s">
        <v>37</v>
      </c>
      <c r="B179">
        <v>37</v>
      </c>
      <c r="C179">
        <v>8.58</v>
      </c>
    </row>
    <row r="180" spans="1:3" x14ac:dyDescent="0.3">
      <c r="A180" t="s">
        <v>37</v>
      </c>
      <c r="B180">
        <v>21</v>
      </c>
      <c r="C180">
        <v>6.19</v>
      </c>
    </row>
    <row r="181" spans="1:3" x14ac:dyDescent="0.3">
      <c r="A181" t="s">
        <v>28</v>
      </c>
      <c r="B181">
        <v>35</v>
      </c>
      <c r="C181">
        <v>7.44</v>
      </c>
    </row>
    <row r="182" spans="1:3" x14ac:dyDescent="0.3">
      <c r="A182" t="s">
        <v>68</v>
      </c>
      <c r="B182">
        <v>23</v>
      </c>
      <c r="C182">
        <v>9.83</v>
      </c>
    </row>
    <row r="183" spans="1:3" x14ac:dyDescent="0.3">
      <c r="A183" t="s">
        <v>68</v>
      </c>
      <c r="B183">
        <v>20</v>
      </c>
      <c r="C183">
        <v>8</v>
      </c>
    </row>
    <row r="184" spans="1:3" x14ac:dyDescent="0.3">
      <c r="A184" t="s">
        <v>28</v>
      </c>
      <c r="B184">
        <v>39</v>
      </c>
      <c r="C184">
        <v>7.73</v>
      </c>
    </row>
    <row r="185" spans="1:3" x14ac:dyDescent="0.3">
      <c r="A185" t="s">
        <v>28</v>
      </c>
      <c r="B185">
        <v>28</v>
      </c>
      <c r="C185">
        <v>7.83</v>
      </c>
    </row>
    <row r="186" spans="1:3" x14ac:dyDescent="0.3">
      <c r="A186" t="s">
        <v>28</v>
      </c>
      <c r="B186">
        <v>32</v>
      </c>
      <c r="C186">
        <v>6.84</v>
      </c>
    </row>
    <row r="187" spans="1:3" x14ac:dyDescent="0.3">
      <c r="A187" t="s">
        <v>64</v>
      </c>
      <c r="B187">
        <v>39</v>
      </c>
      <c r="C187">
        <v>7.47</v>
      </c>
    </row>
    <row r="188" spans="1:3" x14ac:dyDescent="0.3">
      <c r="A188" t="s">
        <v>28</v>
      </c>
      <c r="B188">
        <v>22</v>
      </c>
      <c r="C188">
        <v>7.48</v>
      </c>
    </row>
    <row r="189" spans="1:3" x14ac:dyDescent="0.3">
      <c r="A189" t="s">
        <v>68</v>
      </c>
      <c r="B189">
        <v>37</v>
      </c>
      <c r="C189">
        <v>6.21</v>
      </c>
    </row>
    <row r="190" spans="1:3" x14ac:dyDescent="0.3">
      <c r="A190" t="s">
        <v>37</v>
      </c>
      <c r="B190">
        <v>27</v>
      </c>
      <c r="C190">
        <v>9.07</v>
      </c>
    </row>
    <row r="191" spans="1:3" x14ac:dyDescent="0.3">
      <c r="A191" t="s">
        <v>68</v>
      </c>
      <c r="B191">
        <v>29</v>
      </c>
      <c r="C191">
        <v>7.67</v>
      </c>
    </row>
    <row r="192" spans="1:3" x14ac:dyDescent="0.3">
      <c r="A192" t="s">
        <v>28</v>
      </c>
      <c r="B192">
        <v>32</v>
      </c>
      <c r="C192">
        <v>9.2899999999999991</v>
      </c>
    </row>
    <row r="193" spans="1:3" x14ac:dyDescent="0.3">
      <c r="A193" t="s">
        <v>37</v>
      </c>
      <c r="B193">
        <v>34</v>
      </c>
      <c r="C193">
        <v>9.4</v>
      </c>
    </row>
    <row r="194" spans="1:3" x14ac:dyDescent="0.3">
      <c r="A194" t="s">
        <v>28</v>
      </c>
      <c r="B194">
        <v>27</v>
      </c>
      <c r="C194">
        <v>6.85</v>
      </c>
    </row>
    <row r="195" spans="1:3" x14ac:dyDescent="0.3">
      <c r="A195" t="s">
        <v>28</v>
      </c>
      <c r="B195">
        <v>23</v>
      </c>
      <c r="C195">
        <v>8.6300000000000008</v>
      </c>
    </row>
    <row r="196" spans="1:3" x14ac:dyDescent="0.3">
      <c r="A196" t="s">
        <v>68</v>
      </c>
      <c r="B196">
        <v>35</v>
      </c>
      <c r="C196">
        <v>7.89</v>
      </c>
    </row>
    <row r="197" spans="1:3" x14ac:dyDescent="0.3">
      <c r="A197" t="s">
        <v>64</v>
      </c>
      <c r="B197">
        <v>30</v>
      </c>
      <c r="C197">
        <v>9.52</v>
      </c>
    </row>
    <row r="198" spans="1:3" x14ac:dyDescent="0.3">
      <c r="A198" t="s">
        <v>28</v>
      </c>
      <c r="B198">
        <v>20</v>
      </c>
      <c r="C198">
        <v>6.86</v>
      </c>
    </row>
    <row r="199" spans="1:3" x14ac:dyDescent="0.3">
      <c r="A199" t="s">
        <v>28</v>
      </c>
      <c r="B199">
        <v>27</v>
      </c>
      <c r="C199">
        <v>8.7100000000000009</v>
      </c>
    </row>
    <row r="200" spans="1:3" x14ac:dyDescent="0.3">
      <c r="A200" t="s">
        <v>68</v>
      </c>
      <c r="B200">
        <v>31</v>
      </c>
      <c r="C200">
        <v>8.43</v>
      </c>
    </row>
    <row r="201" spans="1:3" x14ac:dyDescent="0.3">
      <c r="A201" t="s">
        <v>68</v>
      </c>
      <c r="B201">
        <v>23</v>
      </c>
      <c r="C201">
        <v>7.18</v>
      </c>
    </row>
    <row r="202" spans="1:3" x14ac:dyDescent="0.3">
      <c r="A202" t="s">
        <v>37</v>
      </c>
      <c r="B202">
        <v>20</v>
      </c>
      <c r="C202">
        <v>6.55</v>
      </c>
    </row>
    <row r="203" spans="1:3" x14ac:dyDescent="0.3">
      <c r="A203" t="s">
        <v>37</v>
      </c>
      <c r="B203">
        <v>33</v>
      </c>
      <c r="C203">
        <v>8.61</v>
      </c>
    </row>
    <row r="204" spans="1:3" x14ac:dyDescent="0.3">
      <c r="A204" t="s">
        <v>28</v>
      </c>
      <c r="B204">
        <v>24</v>
      </c>
      <c r="C204">
        <v>8.9499999999999993</v>
      </c>
    </row>
    <row r="205" spans="1:3" x14ac:dyDescent="0.3">
      <c r="A205" t="s">
        <v>64</v>
      </c>
      <c r="B205">
        <v>37</v>
      </c>
      <c r="C205">
        <v>7.26</v>
      </c>
    </row>
    <row r="206" spans="1:3" x14ac:dyDescent="0.3">
      <c r="A206" t="s">
        <v>68</v>
      </c>
      <c r="B206">
        <v>31</v>
      </c>
      <c r="C206">
        <v>8.58</v>
      </c>
    </row>
    <row r="207" spans="1:3" x14ac:dyDescent="0.3">
      <c r="A207" t="s">
        <v>37</v>
      </c>
      <c r="B207">
        <v>26</v>
      </c>
      <c r="C207">
        <v>7.58</v>
      </c>
    </row>
    <row r="208" spans="1:3" x14ac:dyDescent="0.3">
      <c r="A208" t="s">
        <v>68</v>
      </c>
      <c r="B208">
        <v>32</v>
      </c>
      <c r="C208">
        <v>8.85</v>
      </c>
    </row>
    <row r="209" spans="1:3" x14ac:dyDescent="0.3">
      <c r="A209" t="s">
        <v>68</v>
      </c>
      <c r="B209">
        <v>38</v>
      </c>
      <c r="C209">
        <v>6.8</v>
      </c>
    </row>
    <row r="210" spans="1:3" x14ac:dyDescent="0.3">
      <c r="A210" t="s">
        <v>37</v>
      </c>
      <c r="B210">
        <v>20</v>
      </c>
      <c r="C210">
        <v>9.56</v>
      </c>
    </row>
    <row r="211" spans="1:3" x14ac:dyDescent="0.3">
      <c r="A211" t="s">
        <v>68</v>
      </c>
      <c r="B211">
        <v>19</v>
      </c>
      <c r="C211">
        <v>7.15</v>
      </c>
    </row>
    <row r="212" spans="1:3" x14ac:dyDescent="0.3">
      <c r="A212" t="s">
        <v>37</v>
      </c>
      <c r="B212">
        <v>19</v>
      </c>
      <c r="C212">
        <v>7.47</v>
      </c>
    </row>
    <row r="213" spans="1:3" x14ac:dyDescent="0.3">
      <c r="A213" t="s">
        <v>68</v>
      </c>
      <c r="B213">
        <v>20</v>
      </c>
      <c r="C213">
        <v>6.23</v>
      </c>
    </row>
    <row r="214" spans="1:3" x14ac:dyDescent="0.3">
      <c r="A214" t="s">
        <v>64</v>
      </c>
      <c r="B214">
        <v>35</v>
      </c>
      <c r="C214">
        <v>6.45</v>
      </c>
    </row>
    <row r="215" spans="1:3" x14ac:dyDescent="0.3">
      <c r="A215" t="s">
        <v>37</v>
      </c>
      <c r="B215">
        <v>31</v>
      </c>
      <c r="C215">
        <v>8.06</v>
      </c>
    </row>
    <row r="216" spans="1:3" x14ac:dyDescent="0.3">
      <c r="A216" t="s">
        <v>64</v>
      </c>
      <c r="B216">
        <v>37</v>
      </c>
      <c r="C216">
        <v>7.07</v>
      </c>
    </row>
    <row r="217" spans="1:3" x14ac:dyDescent="0.3">
      <c r="A217" t="s">
        <v>68</v>
      </c>
      <c r="B217">
        <v>35</v>
      </c>
      <c r="C217">
        <v>9.34</v>
      </c>
    </row>
    <row r="218" spans="1:3" x14ac:dyDescent="0.3">
      <c r="A218" t="s">
        <v>37</v>
      </c>
      <c r="B218">
        <v>27</v>
      </c>
      <c r="C218">
        <v>6.06</v>
      </c>
    </row>
    <row r="219" spans="1:3" x14ac:dyDescent="0.3">
      <c r="A219" t="s">
        <v>28</v>
      </c>
      <c r="B219">
        <v>19</v>
      </c>
      <c r="C219">
        <v>7.52</v>
      </c>
    </row>
    <row r="220" spans="1:3" x14ac:dyDescent="0.3">
      <c r="A220" t="s">
        <v>28</v>
      </c>
      <c r="B220">
        <v>39</v>
      </c>
      <c r="C220">
        <v>7.35</v>
      </c>
    </row>
    <row r="221" spans="1:3" x14ac:dyDescent="0.3">
      <c r="A221" t="s">
        <v>28</v>
      </c>
      <c r="B221">
        <v>18</v>
      </c>
      <c r="C221">
        <v>6.08</v>
      </c>
    </row>
    <row r="222" spans="1:3" x14ac:dyDescent="0.3">
      <c r="A222" t="s">
        <v>64</v>
      </c>
      <c r="B222">
        <v>21</v>
      </c>
      <c r="C222">
        <v>6.5</v>
      </c>
    </row>
    <row r="223" spans="1:3" x14ac:dyDescent="0.3">
      <c r="A223" t="s">
        <v>37</v>
      </c>
      <c r="B223">
        <v>31</v>
      </c>
      <c r="C223">
        <v>7.65</v>
      </c>
    </row>
    <row r="224" spans="1:3" x14ac:dyDescent="0.3">
      <c r="A224" t="s">
        <v>64</v>
      </c>
      <c r="B224">
        <v>18</v>
      </c>
      <c r="C224">
        <v>7.97</v>
      </c>
    </row>
    <row r="225" spans="1:3" x14ac:dyDescent="0.3">
      <c r="A225" t="s">
        <v>64</v>
      </c>
      <c r="B225">
        <v>31</v>
      </c>
      <c r="C225">
        <v>7.62</v>
      </c>
    </row>
    <row r="226" spans="1:3" x14ac:dyDescent="0.3">
      <c r="A226" t="s">
        <v>37</v>
      </c>
      <c r="B226">
        <v>33</v>
      </c>
      <c r="C226">
        <v>8.1199999999999992</v>
      </c>
    </row>
    <row r="227" spans="1:3" x14ac:dyDescent="0.3">
      <c r="A227" t="s">
        <v>68</v>
      </c>
      <c r="B227">
        <v>39</v>
      </c>
      <c r="C227">
        <v>8.3800000000000008</v>
      </c>
    </row>
    <row r="228" spans="1:3" x14ac:dyDescent="0.3">
      <c r="A228" t="s">
        <v>68</v>
      </c>
      <c r="B228">
        <v>31</v>
      </c>
      <c r="C228">
        <v>6.04</v>
      </c>
    </row>
    <row r="229" spans="1:3" x14ac:dyDescent="0.3">
      <c r="A229" t="s">
        <v>64</v>
      </c>
      <c r="B229">
        <v>37</v>
      </c>
      <c r="C229">
        <v>7.86</v>
      </c>
    </row>
    <row r="230" spans="1:3" x14ac:dyDescent="0.3">
      <c r="A230" t="s">
        <v>68</v>
      </c>
      <c r="B230">
        <v>20</v>
      </c>
      <c r="C230">
        <v>9.85</v>
      </c>
    </row>
    <row r="231" spans="1:3" x14ac:dyDescent="0.3">
      <c r="A231" t="s">
        <v>37</v>
      </c>
      <c r="B231">
        <v>20</v>
      </c>
      <c r="C231">
        <v>8.08</v>
      </c>
    </row>
    <row r="232" spans="1:3" x14ac:dyDescent="0.3">
      <c r="A232" t="s">
        <v>64</v>
      </c>
      <c r="B232">
        <v>26</v>
      </c>
      <c r="C232">
        <v>8.7100000000000009</v>
      </c>
    </row>
    <row r="233" spans="1:3" x14ac:dyDescent="0.3">
      <c r="A233" t="s">
        <v>68</v>
      </c>
      <c r="B233">
        <v>23</v>
      </c>
      <c r="C233">
        <v>7.25</v>
      </c>
    </row>
    <row r="234" spans="1:3" x14ac:dyDescent="0.3">
      <c r="A234" t="s">
        <v>28</v>
      </c>
      <c r="B234">
        <v>30</v>
      </c>
      <c r="C234">
        <v>9.1</v>
      </c>
    </row>
    <row r="235" spans="1:3" x14ac:dyDescent="0.3">
      <c r="A235" t="s">
        <v>64</v>
      </c>
      <c r="B235">
        <v>38</v>
      </c>
      <c r="C235">
        <v>9.09</v>
      </c>
    </row>
    <row r="236" spans="1:3" x14ac:dyDescent="0.3">
      <c r="A236" t="s">
        <v>28</v>
      </c>
      <c r="B236">
        <v>19</v>
      </c>
      <c r="C236">
        <v>8.09</v>
      </c>
    </row>
    <row r="237" spans="1:3" x14ac:dyDescent="0.3">
      <c r="A237" t="s">
        <v>37</v>
      </c>
      <c r="B237">
        <v>25</v>
      </c>
      <c r="C237">
        <v>9.9</v>
      </c>
    </row>
    <row r="238" spans="1:3" x14ac:dyDescent="0.3">
      <c r="A238" t="s">
        <v>37</v>
      </c>
      <c r="B238">
        <v>38</v>
      </c>
      <c r="C238">
        <v>6.5</v>
      </c>
    </row>
    <row r="239" spans="1:3" x14ac:dyDescent="0.3">
      <c r="A239" t="s">
        <v>68</v>
      </c>
      <c r="B239">
        <v>19</v>
      </c>
      <c r="C239">
        <v>6.07</v>
      </c>
    </row>
    <row r="240" spans="1:3" x14ac:dyDescent="0.3">
      <c r="A240" t="s">
        <v>28</v>
      </c>
      <c r="B240">
        <v>21</v>
      </c>
      <c r="C240">
        <v>9.08</v>
      </c>
    </row>
    <row r="241" spans="1:3" x14ac:dyDescent="0.3">
      <c r="A241" t="s">
        <v>64</v>
      </c>
      <c r="B241">
        <v>32</v>
      </c>
      <c r="C241">
        <v>9.23</v>
      </c>
    </row>
    <row r="242" spans="1:3" x14ac:dyDescent="0.3">
      <c r="A242" t="s">
        <v>28</v>
      </c>
      <c r="B242">
        <v>21</v>
      </c>
      <c r="C242">
        <v>6.48</v>
      </c>
    </row>
    <row r="243" spans="1:3" x14ac:dyDescent="0.3">
      <c r="A243" t="s">
        <v>28</v>
      </c>
      <c r="B243">
        <v>30</v>
      </c>
      <c r="C243">
        <v>7.06</v>
      </c>
    </row>
    <row r="244" spans="1:3" x14ac:dyDescent="0.3">
      <c r="A244" t="s">
        <v>28</v>
      </c>
      <c r="B244">
        <v>29</v>
      </c>
      <c r="C244">
        <v>6.07</v>
      </c>
    </row>
    <row r="245" spans="1:3" x14ac:dyDescent="0.3">
      <c r="A245" t="s">
        <v>37</v>
      </c>
      <c r="B245">
        <v>30</v>
      </c>
      <c r="C245">
        <v>7.17</v>
      </c>
    </row>
    <row r="246" spans="1:3" x14ac:dyDescent="0.3">
      <c r="A246" t="s">
        <v>37</v>
      </c>
      <c r="B246">
        <v>31</v>
      </c>
      <c r="C246">
        <v>9.09</v>
      </c>
    </row>
    <row r="247" spans="1:3" x14ac:dyDescent="0.3">
      <c r="A247" t="s">
        <v>68</v>
      </c>
      <c r="B247">
        <v>37</v>
      </c>
      <c r="C247">
        <v>8.07</v>
      </c>
    </row>
    <row r="248" spans="1:3" x14ac:dyDescent="0.3">
      <c r="A248" t="s">
        <v>68</v>
      </c>
      <c r="B248">
        <v>35</v>
      </c>
      <c r="C248">
        <v>7.39</v>
      </c>
    </row>
    <row r="249" spans="1:3" x14ac:dyDescent="0.3">
      <c r="A249" t="s">
        <v>37</v>
      </c>
      <c r="B249">
        <v>23</v>
      </c>
      <c r="C249">
        <v>7.49</v>
      </c>
    </row>
    <row r="250" spans="1:3" x14ac:dyDescent="0.3">
      <c r="A250" t="s">
        <v>37</v>
      </c>
      <c r="B250">
        <v>28</v>
      </c>
      <c r="C250">
        <v>6.01</v>
      </c>
    </row>
    <row r="251" spans="1:3" x14ac:dyDescent="0.3">
      <c r="A251" t="s">
        <v>37</v>
      </c>
      <c r="B251">
        <v>19</v>
      </c>
      <c r="C251">
        <v>7.2</v>
      </c>
    </row>
    <row r="252" spans="1:3" x14ac:dyDescent="0.3">
      <c r="A252" t="s">
        <v>37</v>
      </c>
      <c r="B252">
        <v>36</v>
      </c>
      <c r="C252">
        <v>8.59</v>
      </c>
    </row>
    <row r="253" spans="1:3" x14ac:dyDescent="0.3">
      <c r="A253" t="s">
        <v>64</v>
      </c>
      <c r="B253">
        <v>36</v>
      </c>
      <c r="C253">
        <v>9.9</v>
      </c>
    </row>
    <row r="254" spans="1:3" x14ac:dyDescent="0.3">
      <c r="A254" t="s">
        <v>64</v>
      </c>
      <c r="B254">
        <v>22</v>
      </c>
      <c r="C254">
        <v>9.39</v>
      </c>
    </row>
    <row r="255" spans="1:3" x14ac:dyDescent="0.3">
      <c r="A255" t="s">
        <v>37</v>
      </c>
      <c r="B255">
        <v>36</v>
      </c>
      <c r="C255">
        <v>6.09</v>
      </c>
    </row>
    <row r="256" spans="1:3" x14ac:dyDescent="0.3">
      <c r="A256" t="s">
        <v>37</v>
      </c>
      <c r="B256">
        <v>19</v>
      </c>
      <c r="C256">
        <v>9.59</v>
      </c>
    </row>
    <row r="257" spans="1:3" x14ac:dyDescent="0.3">
      <c r="A257" t="s">
        <v>68</v>
      </c>
      <c r="B257">
        <v>27</v>
      </c>
      <c r="C257">
        <v>9.1300000000000008</v>
      </c>
    </row>
    <row r="258" spans="1:3" x14ac:dyDescent="0.3">
      <c r="A258" t="s">
        <v>28</v>
      </c>
      <c r="B258">
        <v>19</v>
      </c>
      <c r="C258">
        <v>9.1199999999999992</v>
      </c>
    </row>
    <row r="259" spans="1:3" x14ac:dyDescent="0.3">
      <c r="A259" t="s">
        <v>37</v>
      </c>
      <c r="B259">
        <v>28</v>
      </c>
      <c r="C259">
        <v>7.83</v>
      </c>
    </row>
    <row r="260" spans="1:3" x14ac:dyDescent="0.3">
      <c r="A260" t="s">
        <v>68</v>
      </c>
      <c r="B260">
        <v>35</v>
      </c>
      <c r="C260">
        <v>7.59</v>
      </c>
    </row>
    <row r="261" spans="1:3" x14ac:dyDescent="0.3">
      <c r="A261" t="s">
        <v>68</v>
      </c>
      <c r="B261">
        <v>32</v>
      </c>
      <c r="C261">
        <v>7.21</v>
      </c>
    </row>
    <row r="262" spans="1:3" x14ac:dyDescent="0.3">
      <c r="A262" t="s">
        <v>64</v>
      </c>
      <c r="B262">
        <v>26</v>
      </c>
      <c r="C262">
        <v>6.26</v>
      </c>
    </row>
    <row r="263" spans="1:3" x14ac:dyDescent="0.3">
      <c r="A263" t="s">
        <v>28</v>
      </c>
      <c r="B263">
        <v>36</v>
      </c>
      <c r="C263">
        <v>6.91</v>
      </c>
    </row>
    <row r="264" spans="1:3" x14ac:dyDescent="0.3">
      <c r="A264" t="s">
        <v>28</v>
      </c>
      <c r="B264">
        <v>26</v>
      </c>
      <c r="C264">
        <v>6.99</v>
      </c>
    </row>
    <row r="265" spans="1:3" x14ac:dyDescent="0.3">
      <c r="A265" t="s">
        <v>28</v>
      </c>
      <c r="B265">
        <v>20</v>
      </c>
      <c r="C265">
        <v>7.94</v>
      </c>
    </row>
    <row r="266" spans="1:3" x14ac:dyDescent="0.3">
      <c r="A266" t="s">
        <v>37</v>
      </c>
      <c r="B266">
        <v>38</v>
      </c>
      <c r="C266">
        <v>8.99</v>
      </c>
    </row>
    <row r="267" spans="1:3" x14ac:dyDescent="0.3">
      <c r="A267" t="s">
        <v>37</v>
      </c>
      <c r="B267">
        <v>26</v>
      </c>
      <c r="C267">
        <v>7.9</v>
      </c>
    </row>
    <row r="268" spans="1:3" x14ac:dyDescent="0.3">
      <c r="A268" t="s">
        <v>28</v>
      </c>
      <c r="B268">
        <v>31</v>
      </c>
      <c r="C268">
        <v>6.23</v>
      </c>
    </row>
    <row r="269" spans="1:3" x14ac:dyDescent="0.3">
      <c r="A269" t="s">
        <v>68</v>
      </c>
      <c r="B269">
        <v>36</v>
      </c>
      <c r="C269">
        <v>9.83</v>
      </c>
    </row>
    <row r="270" spans="1:3" x14ac:dyDescent="0.3">
      <c r="A270" t="s">
        <v>64</v>
      </c>
      <c r="B270">
        <v>24</v>
      </c>
      <c r="C270">
        <v>9.77</v>
      </c>
    </row>
    <row r="271" spans="1:3" x14ac:dyDescent="0.3">
      <c r="A271" t="s">
        <v>64</v>
      </c>
      <c r="B271">
        <v>33</v>
      </c>
      <c r="C271">
        <v>9.14</v>
      </c>
    </row>
    <row r="272" spans="1:3" x14ac:dyDescent="0.3">
      <c r="A272" t="s">
        <v>37</v>
      </c>
      <c r="B272">
        <v>33</v>
      </c>
      <c r="C272">
        <v>9.9700000000000006</v>
      </c>
    </row>
    <row r="273" spans="1:3" x14ac:dyDescent="0.3">
      <c r="A273" t="s">
        <v>68</v>
      </c>
      <c r="B273">
        <v>18</v>
      </c>
      <c r="C273">
        <v>8.18</v>
      </c>
    </row>
    <row r="274" spans="1:3" x14ac:dyDescent="0.3">
      <c r="A274" t="s">
        <v>37</v>
      </c>
      <c r="B274">
        <v>21</v>
      </c>
      <c r="C274">
        <v>9.85</v>
      </c>
    </row>
    <row r="275" spans="1:3" x14ac:dyDescent="0.3">
      <c r="A275" t="s">
        <v>28</v>
      </c>
      <c r="B275">
        <v>21</v>
      </c>
      <c r="C275">
        <v>6.3</v>
      </c>
    </row>
    <row r="276" spans="1:3" x14ac:dyDescent="0.3">
      <c r="A276" t="s">
        <v>37</v>
      </c>
      <c r="B276">
        <v>24</v>
      </c>
      <c r="C276">
        <v>7.46</v>
      </c>
    </row>
    <row r="277" spans="1:3" x14ac:dyDescent="0.3">
      <c r="A277" t="s">
        <v>37</v>
      </c>
      <c r="B277">
        <v>25</v>
      </c>
      <c r="C277">
        <v>6.9</v>
      </c>
    </row>
    <row r="278" spans="1:3" x14ac:dyDescent="0.3">
      <c r="A278" t="s">
        <v>37</v>
      </c>
      <c r="B278">
        <v>34</v>
      </c>
      <c r="C278">
        <v>6.78</v>
      </c>
    </row>
    <row r="279" spans="1:3" x14ac:dyDescent="0.3">
      <c r="A279" t="s">
        <v>37</v>
      </c>
      <c r="B279">
        <v>22</v>
      </c>
      <c r="C279">
        <v>6.56</v>
      </c>
    </row>
    <row r="280" spans="1:3" x14ac:dyDescent="0.3">
      <c r="A280" t="s">
        <v>64</v>
      </c>
      <c r="B280">
        <v>24</v>
      </c>
      <c r="C280">
        <v>8.49</v>
      </c>
    </row>
    <row r="281" spans="1:3" x14ac:dyDescent="0.3">
      <c r="A281" t="s">
        <v>68</v>
      </c>
      <c r="B281">
        <v>37</v>
      </c>
      <c r="C281">
        <v>9.1300000000000008</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1D35A-D7CD-4301-ADB8-91233C440C3D}">
  <dimension ref="A1:V287"/>
  <sheetViews>
    <sheetView workbookViewId="0">
      <selection activeCell="Y18" sqref="Y18"/>
    </sheetView>
  </sheetViews>
  <sheetFormatPr defaultRowHeight="14.4" x14ac:dyDescent="0.3"/>
  <cols>
    <col min="1" max="1" width="7.33203125" bestFit="1" customWidth="1"/>
    <col min="2" max="2" width="7.88671875" customWidth="1"/>
    <col min="3" max="3" width="10.33203125" bestFit="1" customWidth="1"/>
    <col min="5" max="5" width="7.33203125" bestFit="1" customWidth="1"/>
    <col min="6" max="6" width="7.5546875" customWidth="1"/>
    <col min="7" max="8" width="8.5546875" bestFit="1" customWidth="1"/>
    <col min="9" max="9" width="7.33203125" bestFit="1" customWidth="1"/>
    <col min="10" max="10" width="8.109375" customWidth="1"/>
    <col min="11" max="11" width="9.33203125" bestFit="1" customWidth="1"/>
    <col min="12" max="12" width="8.109375" customWidth="1"/>
    <col min="13" max="13" width="7.33203125" bestFit="1" customWidth="1"/>
    <col min="14" max="14" width="8.109375" customWidth="1"/>
    <col min="15" max="16" width="7.6640625" bestFit="1" customWidth="1"/>
    <col min="17" max="17" width="7.33203125" bestFit="1" customWidth="1"/>
    <col min="18" max="18" width="7.88671875" customWidth="1"/>
    <col min="19" max="22" width="10.33203125" bestFit="1" customWidth="1"/>
  </cols>
  <sheetData>
    <row r="1" spans="1:22" ht="43.2" x14ac:dyDescent="0.3">
      <c r="E1" s="2" t="s">
        <v>1</v>
      </c>
      <c r="F1" s="2" t="s">
        <v>7</v>
      </c>
      <c r="G1" s="2" t="s">
        <v>2</v>
      </c>
      <c r="I1" s="2" t="s">
        <v>1</v>
      </c>
      <c r="J1" s="2" t="s">
        <v>7</v>
      </c>
      <c r="K1" s="2" t="s">
        <v>2</v>
      </c>
      <c r="M1" s="2" t="s">
        <v>1</v>
      </c>
      <c r="N1" s="2" t="s">
        <v>7</v>
      </c>
      <c r="O1" s="2" t="s">
        <v>2</v>
      </c>
      <c r="Q1" s="2" t="s">
        <v>1</v>
      </c>
      <c r="R1" s="2" t="s">
        <v>7</v>
      </c>
      <c r="S1" s="2" t="s">
        <v>2</v>
      </c>
    </row>
    <row r="2" spans="1:22" x14ac:dyDescent="0.3">
      <c r="G2" t="s">
        <v>29</v>
      </c>
      <c r="K2" t="s">
        <v>38</v>
      </c>
      <c r="O2" t="s">
        <v>65</v>
      </c>
      <c r="S2" t="s">
        <v>82</v>
      </c>
    </row>
    <row r="7" spans="1:22" ht="43.2" x14ac:dyDescent="0.3">
      <c r="A7" s="2" t="s">
        <v>1</v>
      </c>
      <c r="B7" s="2" t="s">
        <v>7</v>
      </c>
      <c r="C7" s="2" t="s">
        <v>2</v>
      </c>
      <c r="E7" s="2" t="s">
        <v>1</v>
      </c>
      <c r="F7" s="2" t="s">
        <v>7</v>
      </c>
      <c r="G7" s="2" t="s">
        <v>2</v>
      </c>
      <c r="I7" s="2" t="s">
        <v>1</v>
      </c>
      <c r="J7" s="2" t="s">
        <v>7</v>
      </c>
      <c r="K7" s="2" t="s">
        <v>2</v>
      </c>
      <c r="M7" s="2" t="s">
        <v>1</v>
      </c>
      <c r="N7" s="2" t="s">
        <v>7</v>
      </c>
      <c r="O7" s="2" t="s">
        <v>2</v>
      </c>
      <c r="Q7" s="2" t="s">
        <v>1</v>
      </c>
      <c r="R7" s="2" t="s">
        <v>7</v>
      </c>
      <c r="S7" s="2" t="s">
        <v>2</v>
      </c>
      <c r="U7" s="2" t="s">
        <v>2</v>
      </c>
      <c r="V7" s="2" t="s">
        <v>763</v>
      </c>
    </row>
    <row r="8" spans="1:22" x14ac:dyDescent="0.3">
      <c r="A8" t="s">
        <v>28</v>
      </c>
      <c r="B8">
        <v>0</v>
      </c>
      <c r="C8" t="s">
        <v>29</v>
      </c>
      <c r="E8" t="s">
        <v>28</v>
      </c>
      <c r="F8">
        <v>0</v>
      </c>
      <c r="G8" t="s">
        <v>29</v>
      </c>
      <c r="I8" t="s">
        <v>37</v>
      </c>
      <c r="J8">
        <v>2</v>
      </c>
      <c r="K8" t="s">
        <v>38</v>
      </c>
      <c r="M8" t="s">
        <v>64</v>
      </c>
      <c r="N8">
        <v>0</v>
      </c>
      <c r="O8" t="s">
        <v>65</v>
      </c>
      <c r="Q8" t="s">
        <v>64</v>
      </c>
      <c r="R8">
        <v>0</v>
      </c>
      <c r="S8" t="s">
        <v>82</v>
      </c>
      <c r="U8" s="20" t="s">
        <v>29</v>
      </c>
      <c r="V8" s="20">
        <f>SUM(F8:F108)</f>
        <v>171</v>
      </c>
    </row>
    <row r="9" spans="1:22" x14ac:dyDescent="0.3">
      <c r="A9" t="s">
        <v>37</v>
      </c>
      <c r="B9">
        <v>2</v>
      </c>
      <c r="C9" t="s">
        <v>38</v>
      </c>
      <c r="E9" t="s">
        <v>37</v>
      </c>
      <c r="F9">
        <v>2</v>
      </c>
      <c r="G9" t="s">
        <v>29</v>
      </c>
      <c r="I9" t="s">
        <v>28</v>
      </c>
      <c r="J9">
        <v>4</v>
      </c>
      <c r="K9" t="s">
        <v>38</v>
      </c>
      <c r="M9" t="s">
        <v>68</v>
      </c>
      <c r="N9">
        <v>4</v>
      </c>
      <c r="O9" t="s">
        <v>65</v>
      </c>
      <c r="Q9" t="s">
        <v>68</v>
      </c>
      <c r="R9">
        <v>0</v>
      </c>
      <c r="S9" t="s">
        <v>82</v>
      </c>
      <c r="U9" s="20" t="s">
        <v>38</v>
      </c>
      <c r="V9" s="20">
        <f>SUM(J8:J130)</f>
        <v>249</v>
      </c>
    </row>
    <row r="10" spans="1:22" x14ac:dyDescent="0.3">
      <c r="A10" t="s">
        <v>37</v>
      </c>
      <c r="B10">
        <v>2</v>
      </c>
      <c r="C10" t="s">
        <v>29</v>
      </c>
      <c r="E10" t="s">
        <v>28</v>
      </c>
      <c r="F10">
        <v>0</v>
      </c>
      <c r="G10" t="s">
        <v>29</v>
      </c>
      <c r="I10" t="s">
        <v>37</v>
      </c>
      <c r="J10">
        <v>0</v>
      </c>
      <c r="K10" t="s">
        <v>38</v>
      </c>
      <c r="M10" t="s">
        <v>64</v>
      </c>
      <c r="N10">
        <v>4</v>
      </c>
      <c r="O10" t="s">
        <v>65</v>
      </c>
      <c r="Q10" t="s">
        <v>64</v>
      </c>
      <c r="R10">
        <v>1</v>
      </c>
      <c r="S10" t="s">
        <v>82</v>
      </c>
      <c r="U10" s="20" t="s">
        <v>65</v>
      </c>
      <c r="V10" s="20">
        <f>SUM(N8:N55)</f>
        <v>92</v>
      </c>
    </row>
    <row r="11" spans="1:22" x14ac:dyDescent="0.3">
      <c r="A11" t="s">
        <v>28</v>
      </c>
      <c r="B11">
        <v>0</v>
      </c>
      <c r="C11" t="s">
        <v>29</v>
      </c>
      <c r="E11" t="s">
        <v>68</v>
      </c>
      <c r="F11">
        <v>2</v>
      </c>
      <c r="G11" t="s">
        <v>29</v>
      </c>
      <c r="I11" t="s">
        <v>28</v>
      </c>
      <c r="J11">
        <v>1</v>
      </c>
      <c r="K11" t="s">
        <v>38</v>
      </c>
      <c r="M11" t="s">
        <v>28</v>
      </c>
      <c r="N11">
        <v>4</v>
      </c>
      <c r="O11" t="s">
        <v>65</v>
      </c>
      <c r="Q11" t="s">
        <v>37</v>
      </c>
      <c r="R11">
        <v>0</v>
      </c>
      <c r="S11" t="s">
        <v>82</v>
      </c>
      <c r="U11" s="20" t="s">
        <v>82</v>
      </c>
      <c r="V11" s="20">
        <f>SUM(R8:R15)</f>
        <v>2</v>
      </c>
    </row>
    <row r="12" spans="1:22" x14ac:dyDescent="0.3">
      <c r="A12" t="s">
        <v>28</v>
      </c>
      <c r="B12">
        <v>4</v>
      </c>
      <c r="C12" t="s">
        <v>38</v>
      </c>
      <c r="E12" t="s">
        <v>37</v>
      </c>
      <c r="F12">
        <v>0</v>
      </c>
      <c r="G12" t="s">
        <v>29</v>
      </c>
      <c r="I12" t="s">
        <v>37</v>
      </c>
      <c r="J12">
        <v>4</v>
      </c>
      <c r="K12" t="s">
        <v>38</v>
      </c>
      <c r="M12" t="s">
        <v>37</v>
      </c>
      <c r="N12">
        <v>0</v>
      </c>
      <c r="O12" t="s">
        <v>65</v>
      </c>
      <c r="Q12" t="s">
        <v>37</v>
      </c>
      <c r="R12">
        <v>0</v>
      </c>
      <c r="S12" t="s">
        <v>82</v>
      </c>
    </row>
    <row r="13" spans="1:22" x14ac:dyDescent="0.3">
      <c r="A13" t="s">
        <v>37</v>
      </c>
      <c r="B13">
        <v>0</v>
      </c>
      <c r="C13" t="s">
        <v>38</v>
      </c>
      <c r="E13" t="s">
        <v>64</v>
      </c>
      <c r="F13">
        <v>3</v>
      </c>
      <c r="G13" t="s">
        <v>29</v>
      </c>
      <c r="I13" t="s">
        <v>37</v>
      </c>
      <c r="J13">
        <v>4</v>
      </c>
      <c r="K13" t="s">
        <v>38</v>
      </c>
      <c r="M13" t="s">
        <v>28</v>
      </c>
      <c r="N13">
        <v>0</v>
      </c>
      <c r="O13" t="s">
        <v>65</v>
      </c>
      <c r="Q13" t="s">
        <v>37</v>
      </c>
      <c r="R13">
        <v>0</v>
      </c>
      <c r="S13" t="s">
        <v>82</v>
      </c>
    </row>
    <row r="14" spans="1:22" x14ac:dyDescent="0.3">
      <c r="A14" t="s">
        <v>28</v>
      </c>
      <c r="B14">
        <v>1</v>
      </c>
      <c r="C14" t="s">
        <v>38</v>
      </c>
      <c r="E14" t="s">
        <v>37</v>
      </c>
      <c r="F14">
        <v>0</v>
      </c>
      <c r="G14" t="s">
        <v>29</v>
      </c>
      <c r="I14" t="s">
        <v>68</v>
      </c>
      <c r="J14">
        <v>4</v>
      </c>
      <c r="K14" t="s">
        <v>38</v>
      </c>
      <c r="M14" t="s">
        <v>64</v>
      </c>
      <c r="N14">
        <v>1</v>
      </c>
      <c r="O14" t="s">
        <v>65</v>
      </c>
      <c r="Q14" t="s">
        <v>28</v>
      </c>
      <c r="R14">
        <v>1</v>
      </c>
      <c r="S14" t="s">
        <v>82</v>
      </c>
    </row>
    <row r="15" spans="1:22" x14ac:dyDescent="0.3">
      <c r="A15" t="s">
        <v>64</v>
      </c>
      <c r="B15">
        <v>0</v>
      </c>
      <c r="C15" t="s">
        <v>65</v>
      </c>
      <c r="E15" t="s">
        <v>28</v>
      </c>
      <c r="F15">
        <v>2</v>
      </c>
      <c r="G15" t="s">
        <v>29</v>
      </c>
      <c r="I15" t="s">
        <v>64</v>
      </c>
      <c r="J15">
        <v>2</v>
      </c>
      <c r="K15" t="s">
        <v>38</v>
      </c>
      <c r="M15" t="s">
        <v>28</v>
      </c>
      <c r="N15">
        <v>1</v>
      </c>
      <c r="O15" t="s">
        <v>65</v>
      </c>
      <c r="Q15" t="s">
        <v>37</v>
      </c>
      <c r="R15">
        <v>0</v>
      </c>
      <c r="S15" t="s">
        <v>82</v>
      </c>
    </row>
    <row r="16" spans="1:22" x14ac:dyDescent="0.3">
      <c r="A16" t="s">
        <v>68</v>
      </c>
      <c r="B16">
        <v>2</v>
      </c>
      <c r="C16" t="s">
        <v>29</v>
      </c>
      <c r="E16" t="s">
        <v>28</v>
      </c>
      <c r="F16">
        <v>4</v>
      </c>
      <c r="G16" t="s">
        <v>29</v>
      </c>
      <c r="I16" t="s">
        <v>37</v>
      </c>
      <c r="J16">
        <v>0</v>
      </c>
      <c r="K16" t="s">
        <v>38</v>
      </c>
      <c r="M16" t="s">
        <v>28</v>
      </c>
      <c r="N16">
        <v>2</v>
      </c>
      <c r="O16" t="s">
        <v>65</v>
      </c>
    </row>
    <row r="17" spans="1:15" x14ac:dyDescent="0.3">
      <c r="A17" t="s">
        <v>37</v>
      </c>
      <c r="B17">
        <v>0</v>
      </c>
      <c r="C17" t="s">
        <v>29</v>
      </c>
      <c r="E17" t="s">
        <v>64</v>
      </c>
      <c r="F17">
        <v>1</v>
      </c>
      <c r="G17" t="s">
        <v>29</v>
      </c>
      <c r="I17" t="s">
        <v>64</v>
      </c>
      <c r="J17">
        <v>2</v>
      </c>
      <c r="K17" t="s">
        <v>38</v>
      </c>
      <c r="M17" t="s">
        <v>28</v>
      </c>
      <c r="N17">
        <v>3</v>
      </c>
      <c r="O17" t="s">
        <v>65</v>
      </c>
    </row>
    <row r="18" spans="1:15" x14ac:dyDescent="0.3">
      <c r="A18" t="s">
        <v>37</v>
      </c>
      <c r="B18">
        <v>4</v>
      </c>
      <c r="C18" t="s">
        <v>38</v>
      </c>
      <c r="E18" t="s">
        <v>68</v>
      </c>
      <c r="F18">
        <v>1</v>
      </c>
      <c r="G18" t="s">
        <v>29</v>
      </c>
      <c r="I18" t="s">
        <v>68</v>
      </c>
      <c r="J18">
        <v>4</v>
      </c>
      <c r="K18" t="s">
        <v>38</v>
      </c>
      <c r="M18" t="s">
        <v>64</v>
      </c>
      <c r="N18">
        <v>4</v>
      </c>
      <c r="O18" t="s">
        <v>65</v>
      </c>
    </row>
    <row r="19" spans="1:15" x14ac:dyDescent="0.3">
      <c r="A19" t="s">
        <v>64</v>
      </c>
      <c r="B19">
        <v>3</v>
      </c>
      <c r="C19" t="s">
        <v>29</v>
      </c>
      <c r="E19" t="s">
        <v>64</v>
      </c>
      <c r="F19">
        <v>0</v>
      </c>
      <c r="G19" t="s">
        <v>29</v>
      </c>
      <c r="I19" t="s">
        <v>68</v>
      </c>
      <c r="J19">
        <v>1</v>
      </c>
      <c r="K19" t="s">
        <v>38</v>
      </c>
      <c r="M19" t="s">
        <v>37</v>
      </c>
      <c r="N19">
        <v>1</v>
      </c>
      <c r="O19" t="s">
        <v>65</v>
      </c>
    </row>
    <row r="20" spans="1:15" x14ac:dyDescent="0.3">
      <c r="A20" t="s">
        <v>37</v>
      </c>
      <c r="B20">
        <v>0</v>
      </c>
      <c r="C20" t="s">
        <v>29</v>
      </c>
      <c r="E20" t="s">
        <v>68</v>
      </c>
      <c r="F20">
        <v>4</v>
      </c>
      <c r="G20" t="s">
        <v>29</v>
      </c>
      <c r="I20" t="s">
        <v>64</v>
      </c>
      <c r="J20">
        <v>3</v>
      </c>
      <c r="K20" t="s">
        <v>38</v>
      </c>
      <c r="M20" t="s">
        <v>68</v>
      </c>
      <c r="N20">
        <v>3</v>
      </c>
      <c r="O20" t="s">
        <v>65</v>
      </c>
    </row>
    <row r="21" spans="1:15" x14ac:dyDescent="0.3">
      <c r="A21" t="s">
        <v>64</v>
      </c>
      <c r="B21">
        <v>0</v>
      </c>
      <c r="C21" t="s">
        <v>82</v>
      </c>
      <c r="E21" t="s">
        <v>68</v>
      </c>
      <c r="F21">
        <v>3</v>
      </c>
      <c r="G21" t="s">
        <v>29</v>
      </c>
      <c r="I21" t="s">
        <v>64</v>
      </c>
      <c r="J21">
        <v>1</v>
      </c>
      <c r="K21" t="s">
        <v>38</v>
      </c>
      <c r="M21" t="s">
        <v>68</v>
      </c>
      <c r="N21">
        <v>0</v>
      </c>
      <c r="O21" t="s">
        <v>65</v>
      </c>
    </row>
    <row r="22" spans="1:15" x14ac:dyDescent="0.3">
      <c r="A22" t="s">
        <v>37</v>
      </c>
      <c r="B22">
        <v>4</v>
      </c>
      <c r="C22" t="s">
        <v>38</v>
      </c>
      <c r="E22" t="s">
        <v>28</v>
      </c>
      <c r="F22">
        <v>0</v>
      </c>
      <c r="G22" t="s">
        <v>29</v>
      </c>
      <c r="I22" t="s">
        <v>28</v>
      </c>
      <c r="J22">
        <v>3</v>
      </c>
      <c r="K22" t="s">
        <v>38</v>
      </c>
      <c r="M22" t="s">
        <v>68</v>
      </c>
      <c r="N22">
        <v>3</v>
      </c>
      <c r="O22" t="s">
        <v>65</v>
      </c>
    </row>
    <row r="23" spans="1:15" x14ac:dyDescent="0.3">
      <c r="A23" t="s">
        <v>28</v>
      </c>
      <c r="B23">
        <v>2</v>
      </c>
      <c r="C23" t="s">
        <v>29</v>
      </c>
      <c r="E23" t="s">
        <v>64</v>
      </c>
      <c r="F23">
        <v>1</v>
      </c>
      <c r="G23" t="s">
        <v>29</v>
      </c>
      <c r="I23" t="s">
        <v>64</v>
      </c>
      <c r="J23">
        <v>0</v>
      </c>
      <c r="K23" t="s">
        <v>38</v>
      </c>
      <c r="M23" t="s">
        <v>37</v>
      </c>
      <c r="N23">
        <v>4</v>
      </c>
      <c r="O23" t="s">
        <v>65</v>
      </c>
    </row>
    <row r="24" spans="1:15" x14ac:dyDescent="0.3">
      <c r="A24" t="s">
        <v>68</v>
      </c>
      <c r="B24">
        <v>4</v>
      </c>
      <c r="C24" t="s">
        <v>38</v>
      </c>
      <c r="E24" t="s">
        <v>68</v>
      </c>
      <c r="F24">
        <v>2</v>
      </c>
      <c r="G24" t="s">
        <v>29</v>
      </c>
      <c r="I24" t="s">
        <v>28</v>
      </c>
      <c r="J24">
        <v>2</v>
      </c>
      <c r="K24" t="s">
        <v>38</v>
      </c>
      <c r="M24" t="s">
        <v>64</v>
      </c>
      <c r="N24">
        <v>4</v>
      </c>
      <c r="O24" t="s">
        <v>65</v>
      </c>
    </row>
    <row r="25" spans="1:15" x14ac:dyDescent="0.3">
      <c r="A25" t="s">
        <v>68</v>
      </c>
      <c r="B25">
        <v>4</v>
      </c>
      <c r="C25" t="s">
        <v>65</v>
      </c>
      <c r="E25" t="s">
        <v>68</v>
      </c>
      <c r="F25">
        <v>0</v>
      </c>
      <c r="G25" t="s">
        <v>29</v>
      </c>
      <c r="I25" t="s">
        <v>68</v>
      </c>
      <c r="J25">
        <v>4</v>
      </c>
      <c r="K25" t="s">
        <v>38</v>
      </c>
      <c r="M25" t="s">
        <v>64</v>
      </c>
      <c r="N25">
        <v>2</v>
      </c>
      <c r="O25" t="s">
        <v>65</v>
      </c>
    </row>
    <row r="26" spans="1:15" x14ac:dyDescent="0.3">
      <c r="A26" t="s">
        <v>64</v>
      </c>
      <c r="B26">
        <v>4</v>
      </c>
      <c r="C26" t="s">
        <v>65</v>
      </c>
      <c r="E26" t="s">
        <v>37</v>
      </c>
      <c r="F26">
        <v>0</v>
      </c>
      <c r="G26" t="s">
        <v>29</v>
      </c>
      <c r="I26" t="s">
        <v>64</v>
      </c>
      <c r="J26">
        <v>1</v>
      </c>
      <c r="K26" t="s">
        <v>38</v>
      </c>
      <c r="M26" t="s">
        <v>68</v>
      </c>
      <c r="N26">
        <v>4</v>
      </c>
      <c r="O26" t="s">
        <v>65</v>
      </c>
    </row>
    <row r="27" spans="1:15" x14ac:dyDescent="0.3">
      <c r="A27" t="s">
        <v>28</v>
      </c>
      <c r="B27">
        <v>4</v>
      </c>
      <c r="C27" t="s">
        <v>29</v>
      </c>
      <c r="E27" t="s">
        <v>64</v>
      </c>
      <c r="F27">
        <v>4</v>
      </c>
      <c r="G27" t="s">
        <v>29</v>
      </c>
      <c r="I27" t="s">
        <v>37</v>
      </c>
      <c r="J27">
        <v>2</v>
      </c>
      <c r="K27" t="s">
        <v>38</v>
      </c>
      <c r="M27" t="s">
        <v>64</v>
      </c>
      <c r="N27">
        <v>1</v>
      </c>
      <c r="O27" t="s">
        <v>65</v>
      </c>
    </row>
    <row r="28" spans="1:15" x14ac:dyDescent="0.3">
      <c r="A28" t="s">
        <v>64</v>
      </c>
      <c r="B28">
        <v>1</v>
      </c>
      <c r="C28" t="s">
        <v>29</v>
      </c>
      <c r="E28" t="s">
        <v>68</v>
      </c>
      <c r="F28">
        <v>2</v>
      </c>
      <c r="G28" t="s">
        <v>29</v>
      </c>
      <c r="I28" t="s">
        <v>64</v>
      </c>
      <c r="J28">
        <v>3</v>
      </c>
      <c r="K28" t="s">
        <v>38</v>
      </c>
      <c r="M28" t="s">
        <v>28</v>
      </c>
      <c r="N28">
        <v>0</v>
      </c>
      <c r="O28" t="s">
        <v>65</v>
      </c>
    </row>
    <row r="29" spans="1:15" x14ac:dyDescent="0.3">
      <c r="A29" t="s">
        <v>68</v>
      </c>
      <c r="B29">
        <v>1</v>
      </c>
      <c r="C29" t="s">
        <v>29</v>
      </c>
      <c r="E29" t="s">
        <v>28</v>
      </c>
      <c r="F29">
        <v>1</v>
      </c>
      <c r="G29" t="s">
        <v>29</v>
      </c>
      <c r="I29" t="s">
        <v>28</v>
      </c>
      <c r="J29">
        <v>1</v>
      </c>
      <c r="K29" t="s">
        <v>38</v>
      </c>
      <c r="M29" t="s">
        <v>37</v>
      </c>
      <c r="N29">
        <v>2</v>
      </c>
      <c r="O29" t="s">
        <v>65</v>
      </c>
    </row>
    <row r="30" spans="1:15" x14ac:dyDescent="0.3">
      <c r="A30" t="s">
        <v>64</v>
      </c>
      <c r="B30">
        <v>2</v>
      </c>
      <c r="C30" t="s">
        <v>38</v>
      </c>
      <c r="E30" t="s">
        <v>37</v>
      </c>
      <c r="F30">
        <v>2</v>
      </c>
      <c r="G30" t="s">
        <v>29</v>
      </c>
      <c r="I30" t="s">
        <v>68</v>
      </c>
      <c r="J30">
        <v>1</v>
      </c>
      <c r="K30" t="s">
        <v>38</v>
      </c>
      <c r="M30" t="s">
        <v>64</v>
      </c>
      <c r="N30">
        <v>4</v>
      </c>
      <c r="O30" t="s">
        <v>65</v>
      </c>
    </row>
    <row r="31" spans="1:15" x14ac:dyDescent="0.3">
      <c r="A31" t="s">
        <v>64</v>
      </c>
      <c r="B31">
        <v>0</v>
      </c>
      <c r="C31" t="s">
        <v>29</v>
      </c>
      <c r="E31" t="s">
        <v>28</v>
      </c>
      <c r="F31">
        <v>2</v>
      </c>
      <c r="G31" t="s">
        <v>29</v>
      </c>
      <c r="I31" t="s">
        <v>37</v>
      </c>
      <c r="J31">
        <v>4</v>
      </c>
      <c r="K31" t="s">
        <v>38</v>
      </c>
      <c r="M31" t="s">
        <v>28</v>
      </c>
      <c r="N31">
        <v>3</v>
      </c>
      <c r="O31" t="s">
        <v>65</v>
      </c>
    </row>
    <row r="32" spans="1:15" x14ac:dyDescent="0.3">
      <c r="A32" t="s">
        <v>28</v>
      </c>
      <c r="B32">
        <v>4</v>
      </c>
      <c r="C32" t="s">
        <v>65</v>
      </c>
      <c r="E32" t="s">
        <v>68</v>
      </c>
      <c r="F32">
        <v>1</v>
      </c>
      <c r="G32" t="s">
        <v>29</v>
      </c>
      <c r="I32" t="s">
        <v>28</v>
      </c>
      <c r="J32">
        <v>1</v>
      </c>
      <c r="K32" t="s">
        <v>38</v>
      </c>
      <c r="M32" t="s">
        <v>64</v>
      </c>
      <c r="N32">
        <v>1</v>
      </c>
      <c r="O32" t="s">
        <v>65</v>
      </c>
    </row>
    <row r="33" spans="1:15" x14ac:dyDescent="0.3">
      <c r="A33" t="s">
        <v>37</v>
      </c>
      <c r="B33">
        <v>0</v>
      </c>
      <c r="C33" t="s">
        <v>65</v>
      </c>
      <c r="E33" t="s">
        <v>68</v>
      </c>
      <c r="F33">
        <v>0</v>
      </c>
      <c r="G33" t="s">
        <v>29</v>
      </c>
      <c r="I33" t="s">
        <v>37</v>
      </c>
      <c r="J33">
        <v>3</v>
      </c>
      <c r="K33" t="s">
        <v>38</v>
      </c>
      <c r="M33" t="s">
        <v>28</v>
      </c>
      <c r="N33">
        <v>1</v>
      </c>
      <c r="O33" t="s">
        <v>65</v>
      </c>
    </row>
    <row r="34" spans="1:15" x14ac:dyDescent="0.3">
      <c r="A34" t="s">
        <v>37</v>
      </c>
      <c r="B34">
        <v>0</v>
      </c>
      <c r="C34" t="s">
        <v>38</v>
      </c>
      <c r="E34" t="s">
        <v>37</v>
      </c>
      <c r="F34">
        <v>3</v>
      </c>
      <c r="G34" t="s">
        <v>29</v>
      </c>
      <c r="I34" t="s">
        <v>37</v>
      </c>
      <c r="J34">
        <v>1</v>
      </c>
      <c r="K34" t="s">
        <v>38</v>
      </c>
      <c r="M34" t="s">
        <v>64</v>
      </c>
      <c r="N34">
        <v>1</v>
      </c>
      <c r="O34" t="s">
        <v>65</v>
      </c>
    </row>
    <row r="35" spans="1:15" x14ac:dyDescent="0.3">
      <c r="A35" t="s">
        <v>64</v>
      </c>
      <c r="B35">
        <v>2</v>
      </c>
      <c r="C35" t="s">
        <v>38</v>
      </c>
      <c r="E35" t="s">
        <v>28</v>
      </c>
      <c r="F35">
        <v>1</v>
      </c>
      <c r="G35" t="s">
        <v>29</v>
      </c>
      <c r="I35" t="s">
        <v>68</v>
      </c>
      <c r="J35">
        <v>4</v>
      </c>
      <c r="K35" t="s">
        <v>38</v>
      </c>
      <c r="M35" t="s">
        <v>37</v>
      </c>
      <c r="N35">
        <v>2</v>
      </c>
      <c r="O35" t="s">
        <v>65</v>
      </c>
    </row>
    <row r="36" spans="1:15" x14ac:dyDescent="0.3">
      <c r="A36" t="s">
        <v>68</v>
      </c>
      <c r="B36">
        <v>4</v>
      </c>
      <c r="C36" t="s">
        <v>29</v>
      </c>
      <c r="E36" t="s">
        <v>37</v>
      </c>
      <c r="F36">
        <v>2</v>
      </c>
      <c r="G36" t="s">
        <v>29</v>
      </c>
      <c r="I36" t="s">
        <v>68</v>
      </c>
      <c r="J36">
        <v>1</v>
      </c>
      <c r="K36" t="s">
        <v>38</v>
      </c>
      <c r="M36" t="s">
        <v>64</v>
      </c>
      <c r="N36">
        <v>0</v>
      </c>
      <c r="O36" t="s">
        <v>65</v>
      </c>
    </row>
    <row r="37" spans="1:15" x14ac:dyDescent="0.3">
      <c r="A37" t="s">
        <v>68</v>
      </c>
      <c r="B37">
        <v>4</v>
      </c>
      <c r="C37" t="s">
        <v>38</v>
      </c>
      <c r="E37" t="s">
        <v>64</v>
      </c>
      <c r="F37">
        <v>0</v>
      </c>
      <c r="G37" t="s">
        <v>29</v>
      </c>
      <c r="I37" t="s">
        <v>64</v>
      </c>
      <c r="J37">
        <v>2</v>
      </c>
      <c r="K37" t="s">
        <v>38</v>
      </c>
      <c r="M37" t="s">
        <v>68</v>
      </c>
      <c r="N37">
        <v>1</v>
      </c>
      <c r="O37" t="s">
        <v>65</v>
      </c>
    </row>
    <row r="38" spans="1:15" x14ac:dyDescent="0.3">
      <c r="A38" t="s">
        <v>68</v>
      </c>
      <c r="B38">
        <v>3</v>
      </c>
      <c r="C38" t="s">
        <v>29</v>
      </c>
      <c r="E38" t="s">
        <v>28</v>
      </c>
      <c r="F38">
        <v>4</v>
      </c>
      <c r="G38" t="s">
        <v>29</v>
      </c>
      <c r="I38" t="s">
        <v>28</v>
      </c>
      <c r="J38">
        <v>2</v>
      </c>
      <c r="K38" t="s">
        <v>38</v>
      </c>
      <c r="M38" t="s">
        <v>37</v>
      </c>
      <c r="N38">
        <v>2</v>
      </c>
      <c r="O38" t="s">
        <v>65</v>
      </c>
    </row>
    <row r="39" spans="1:15" x14ac:dyDescent="0.3">
      <c r="A39" t="s">
        <v>28</v>
      </c>
      <c r="B39">
        <v>0</v>
      </c>
      <c r="C39" t="s">
        <v>29</v>
      </c>
      <c r="E39" t="s">
        <v>64</v>
      </c>
      <c r="F39">
        <v>3</v>
      </c>
      <c r="G39" t="s">
        <v>29</v>
      </c>
      <c r="I39" t="s">
        <v>37</v>
      </c>
      <c r="J39">
        <v>0</v>
      </c>
      <c r="K39" t="s">
        <v>38</v>
      </c>
      <c r="M39" t="s">
        <v>68</v>
      </c>
      <c r="N39">
        <v>0</v>
      </c>
      <c r="O39" t="s">
        <v>65</v>
      </c>
    </row>
    <row r="40" spans="1:15" x14ac:dyDescent="0.3">
      <c r="A40" t="s">
        <v>28</v>
      </c>
      <c r="B40">
        <v>0</v>
      </c>
      <c r="C40" t="s">
        <v>65</v>
      </c>
      <c r="E40" t="s">
        <v>28</v>
      </c>
      <c r="F40">
        <v>1</v>
      </c>
      <c r="G40" t="s">
        <v>29</v>
      </c>
      <c r="I40" t="s">
        <v>68</v>
      </c>
      <c r="J40">
        <v>2</v>
      </c>
      <c r="K40" t="s">
        <v>38</v>
      </c>
      <c r="M40" t="s">
        <v>28</v>
      </c>
      <c r="N40">
        <v>2</v>
      </c>
      <c r="O40" t="s">
        <v>65</v>
      </c>
    </row>
    <row r="41" spans="1:15" x14ac:dyDescent="0.3">
      <c r="A41" t="s">
        <v>68</v>
      </c>
      <c r="B41">
        <v>1</v>
      </c>
      <c r="C41" t="s">
        <v>38</v>
      </c>
      <c r="E41" t="s">
        <v>28</v>
      </c>
      <c r="F41">
        <v>0</v>
      </c>
      <c r="G41" t="s">
        <v>29</v>
      </c>
      <c r="I41" t="s">
        <v>68</v>
      </c>
      <c r="J41">
        <v>3</v>
      </c>
      <c r="K41" t="s">
        <v>38</v>
      </c>
      <c r="M41" t="s">
        <v>64</v>
      </c>
      <c r="N41">
        <v>4</v>
      </c>
      <c r="O41" t="s">
        <v>65</v>
      </c>
    </row>
    <row r="42" spans="1:15" x14ac:dyDescent="0.3">
      <c r="A42" t="s">
        <v>64</v>
      </c>
      <c r="B42">
        <v>3</v>
      </c>
      <c r="C42" t="s">
        <v>38</v>
      </c>
      <c r="E42" t="s">
        <v>28</v>
      </c>
      <c r="F42">
        <v>0</v>
      </c>
      <c r="G42" t="s">
        <v>29</v>
      </c>
      <c r="I42" t="s">
        <v>37</v>
      </c>
      <c r="J42">
        <v>3</v>
      </c>
      <c r="K42" t="s">
        <v>38</v>
      </c>
      <c r="M42" t="s">
        <v>37</v>
      </c>
      <c r="N42">
        <v>4</v>
      </c>
      <c r="O42" t="s">
        <v>65</v>
      </c>
    </row>
    <row r="43" spans="1:15" x14ac:dyDescent="0.3">
      <c r="A43" t="s">
        <v>64</v>
      </c>
      <c r="B43">
        <v>1</v>
      </c>
      <c r="C43" t="s">
        <v>65</v>
      </c>
      <c r="E43" t="s">
        <v>37</v>
      </c>
      <c r="F43">
        <v>2</v>
      </c>
      <c r="G43" t="s">
        <v>29</v>
      </c>
      <c r="I43" t="s">
        <v>28</v>
      </c>
      <c r="J43">
        <v>0</v>
      </c>
      <c r="K43" t="s">
        <v>38</v>
      </c>
      <c r="M43" t="s">
        <v>37</v>
      </c>
      <c r="N43">
        <v>0</v>
      </c>
      <c r="O43" t="s">
        <v>65</v>
      </c>
    </row>
    <row r="44" spans="1:15" x14ac:dyDescent="0.3">
      <c r="A44" t="s">
        <v>28</v>
      </c>
      <c r="B44">
        <v>1</v>
      </c>
      <c r="C44" t="s">
        <v>65</v>
      </c>
      <c r="E44" t="s">
        <v>28</v>
      </c>
      <c r="F44">
        <v>2</v>
      </c>
      <c r="G44" t="s">
        <v>29</v>
      </c>
      <c r="I44" t="s">
        <v>28</v>
      </c>
      <c r="J44">
        <v>2</v>
      </c>
      <c r="K44" t="s">
        <v>38</v>
      </c>
      <c r="M44" t="s">
        <v>64</v>
      </c>
      <c r="N44">
        <v>0</v>
      </c>
      <c r="O44" t="s">
        <v>65</v>
      </c>
    </row>
    <row r="45" spans="1:15" x14ac:dyDescent="0.3">
      <c r="A45" t="s">
        <v>64</v>
      </c>
      <c r="B45">
        <v>1</v>
      </c>
      <c r="C45" t="s">
        <v>29</v>
      </c>
      <c r="E45" t="s">
        <v>68</v>
      </c>
      <c r="F45">
        <v>2</v>
      </c>
      <c r="G45" t="s">
        <v>29</v>
      </c>
      <c r="I45" t="s">
        <v>37</v>
      </c>
      <c r="J45">
        <v>2</v>
      </c>
      <c r="K45" t="s">
        <v>38</v>
      </c>
      <c r="M45" t="s">
        <v>28</v>
      </c>
      <c r="N45">
        <v>2</v>
      </c>
      <c r="O45" t="s">
        <v>65</v>
      </c>
    </row>
    <row r="46" spans="1:15" x14ac:dyDescent="0.3">
      <c r="A46" t="s">
        <v>68</v>
      </c>
      <c r="B46">
        <v>2</v>
      </c>
      <c r="C46" t="s">
        <v>29</v>
      </c>
      <c r="E46" t="s">
        <v>68</v>
      </c>
      <c r="F46">
        <v>2</v>
      </c>
      <c r="G46" t="s">
        <v>29</v>
      </c>
      <c r="I46" t="s">
        <v>28</v>
      </c>
      <c r="J46">
        <v>4</v>
      </c>
      <c r="K46" t="s">
        <v>38</v>
      </c>
      <c r="M46" t="s">
        <v>28</v>
      </c>
      <c r="N46">
        <v>4</v>
      </c>
      <c r="O46" t="s">
        <v>65</v>
      </c>
    </row>
    <row r="47" spans="1:15" x14ac:dyDescent="0.3">
      <c r="A47" t="s">
        <v>28</v>
      </c>
      <c r="B47">
        <v>2</v>
      </c>
      <c r="C47" t="s">
        <v>65</v>
      </c>
      <c r="E47" t="s">
        <v>68</v>
      </c>
      <c r="F47">
        <v>1</v>
      </c>
      <c r="G47" t="s">
        <v>29</v>
      </c>
      <c r="I47" t="s">
        <v>37</v>
      </c>
      <c r="J47">
        <v>1</v>
      </c>
      <c r="K47" t="s">
        <v>38</v>
      </c>
      <c r="M47" t="s">
        <v>64</v>
      </c>
      <c r="N47">
        <v>2</v>
      </c>
      <c r="O47" t="s">
        <v>65</v>
      </c>
    </row>
    <row r="48" spans="1:15" x14ac:dyDescent="0.3">
      <c r="A48" t="s">
        <v>64</v>
      </c>
      <c r="B48">
        <v>1</v>
      </c>
      <c r="C48" t="s">
        <v>38</v>
      </c>
      <c r="E48" t="s">
        <v>37</v>
      </c>
      <c r="F48">
        <v>0</v>
      </c>
      <c r="G48" t="s">
        <v>29</v>
      </c>
      <c r="I48" t="s">
        <v>28</v>
      </c>
      <c r="J48">
        <v>1</v>
      </c>
      <c r="K48" t="s">
        <v>38</v>
      </c>
      <c r="M48" t="s">
        <v>64</v>
      </c>
      <c r="N48">
        <v>1</v>
      </c>
      <c r="O48" t="s">
        <v>65</v>
      </c>
    </row>
    <row r="49" spans="1:15" x14ac:dyDescent="0.3">
      <c r="A49" t="s">
        <v>28</v>
      </c>
      <c r="B49">
        <v>3</v>
      </c>
      <c r="C49" t="s">
        <v>38</v>
      </c>
      <c r="E49" t="s">
        <v>68</v>
      </c>
      <c r="F49">
        <v>3</v>
      </c>
      <c r="G49" t="s">
        <v>29</v>
      </c>
      <c r="I49" t="s">
        <v>68</v>
      </c>
      <c r="J49">
        <v>4</v>
      </c>
      <c r="K49" t="s">
        <v>38</v>
      </c>
      <c r="M49" t="s">
        <v>37</v>
      </c>
      <c r="N49">
        <v>1</v>
      </c>
      <c r="O49" t="s">
        <v>65</v>
      </c>
    </row>
    <row r="50" spans="1:15" x14ac:dyDescent="0.3">
      <c r="A50" t="s">
        <v>64</v>
      </c>
      <c r="B50">
        <v>0</v>
      </c>
      <c r="C50" t="s">
        <v>38</v>
      </c>
      <c r="E50" t="s">
        <v>37</v>
      </c>
      <c r="F50">
        <v>0</v>
      </c>
      <c r="G50" t="s">
        <v>29</v>
      </c>
      <c r="I50" t="s">
        <v>68</v>
      </c>
      <c r="J50">
        <v>4</v>
      </c>
      <c r="K50" t="s">
        <v>38</v>
      </c>
      <c r="M50" t="s">
        <v>37</v>
      </c>
      <c r="N50">
        <v>4</v>
      </c>
      <c r="O50" t="s">
        <v>65</v>
      </c>
    </row>
    <row r="51" spans="1:15" x14ac:dyDescent="0.3">
      <c r="A51" t="s">
        <v>28</v>
      </c>
      <c r="B51">
        <v>3</v>
      </c>
      <c r="C51" t="s">
        <v>65</v>
      </c>
      <c r="E51" t="s">
        <v>64</v>
      </c>
      <c r="F51">
        <v>1</v>
      </c>
      <c r="G51" t="s">
        <v>29</v>
      </c>
      <c r="I51" t="s">
        <v>64</v>
      </c>
      <c r="J51">
        <v>3</v>
      </c>
      <c r="K51" t="s">
        <v>38</v>
      </c>
      <c r="M51" t="s">
        <v>68</v>
      </c>
      <c r="N51">
        <v>0</v>
      </c>
      <c r="O51" t="s">
        <v>65</v>
      </c>
    </row>
    <row r="52" spans="1:15" x14ac:dyDescent="0.3">
      <c r="A52" t="s">
        <v>64</v>
      </c>
      <c r="B52">
        <v>4</v>
      </c>
      <c r="C52" t="s">
        <v>65</v>
      </c>
      <c r="E52" t="s">
        <v>28</v>
      </c>
      <c r="F52">
        <v>0</v>
      </c>
      <c r="G52" t="s">
        <v>29</v>
      </c>
      <c r="I52" t="s">
        <v>64</v>
      </c>
      <c r="J52">
        <v>4</v>
      </c>
      <c r="K52" t="s">
        <v>38</v>
      </c>
      <c r="M52" t="s">
        <v>37</v>
      </c>
      <c r="N52">
        <v>2</v>
      </c>
      <c r="O52" t="s">
        <v>65</v>
      </c>
    </row>
    <row r="53" spans="1:15" x14ac:dyDescent="0.3">
      <c r="A53" t="s">
        <v>28</v>
      </c>
      <c r="B53">
        <v>2</v>
      </c>
      <c r="C53" t="s">
        <v>38</v>
      </c>
      <c r="E53" t="s">
        <v>68</v>
      </c>
      <c r="F53">
        <v>1</v>
      </c>
      <c r="G53" t="s">
        <v>29</v>
      </c>
      <c r="I53" t="s">
        <v>64</v>
      </c>
      <c r="J53">
        <v>4</v>
      </c>
      <c r="K53" t="s">
        <v>38</v>
      </c>
      <c r="M53" t="s">
        <v>37</v>
      </c>
      <c r="N53">
        <v>3</v>
      </c>
      <c r="O53" t="s">
        <v>65</v>
      </c>
    </row>
    <row r="54" spans="1:15" x14ac:dyDescent="0.3">
      <c r="A54" t="s">
        <v>68</v>
      </c>
      <c r="B54">
        <v>0</v>
      </c>
      <c r="C54" t="s">
        <v>29</v>
      </c>
      <c r="E54" t="s">
        <v>28</v>
      </c>
      <c r="F54">
        <v>2</v>
      </c>
      <c r="G54" t="s">
        <v>29</v>
      </c>
      <c r="I54" t="s">
        <v>28</v>
      </c>
      <c r="J54">
        <v>1</v>
      </c>
      <c r="K54" t="s">
        <v>38</v>
      </c>
      <c r="M54" t="s">
        <v>37</v>
      </c>
      <c r="N54">
        <v>1</v>
      </c>
      <c r="O54" t="s">
        <v>65</v>
      </c>
    </row>
    <row r="55" spans="1:15" x14ac:dyDescent="0.3">
      <c r="A55" t="s">
        <v>37</v>
      </c>
      <c r="B55">
        <v>0</v>
      </c>
      <c r="C55" t="s">
        <v>29</v>
      </c>
      <c r="E55" t="s">
        <v>37</v>
      </c>
      <c r="F55">
        <v>2</v>
      </c>
      <c r="G55" t="s">
        <v>29</v>
      </c>
      <c r="I55" t="s">
        <v>37</v>
      </c>
      <c r="J55">
        <v>1</v>
      </c>
      <c r="K55" t="s">
        <v>38</v>
      </c>
      <c r="M55" t="s">
        <v>37</v>
      </c>
      <c r="N55">
        <v>0</v>
      </c>
      <c r="O55" t="s">
        <v>65</v>
      </c>
    </row>
    <row r="56" spans="1:15" x14ac:dyDescent="0.3">
      <c r="A56" t="s">
        <v>64</v>
      </c>
      <c r="B56">
        <v>4</v>
      </c>
      <c r="C56" t="s">
        <v>29</v>
      </c>
      <c r="E56" t="s">
        <v>68</v>
      </c>
      <c r="F56">
        <v>2</v>
      </c>
      <c r="G56" t="s">
        <v>29</v>
      </c>
      <c r="I56" t="s">
        <v>64</v>
      </c>
      <c r="J56">
        <v>1</v>
      </c>
      <c r="K56" t="s">
        <v>38</v>
      </c>
    </row>
    <row r="57" spans="1:15" x14ac:dyDescent="0.3">
      <c r="A57" t="s">
        <v>68</v>
      </c>
      <c r="B57">
        <v>4</v>
      </c>
      <c r="C57" t="s">
        <v>38</v>
      </c>
      <c r="E57" t="s">
        <v>64</v>
      </c>
      <c r="F57">
        <v>2</v>
      </c>
      <c r="G57" t="s">
        <v>29</v>
      </c>
      <c r="I57" t="s">
        <v>68</v>
      </c>
      <c r="J57">
        <v>4</v>
      </c>
      <c r="K57" t="s">
        <v>38</v>
      </c>
    </row>
    <row r="58" spans="1:15" x14ac:dyDescent="0.3">
      <c r="A58" t="s">
        <v>64</v>
      </c>
      <c r="B58">
        <v>1</v>
      </c>
      <c r="C58" t="s">
        <v>38</v>
      </c>
      <c r="E58" t="s">
        <v>64</v>
      </c>
      <c r="F58">
        <v>0</v>
      </c>
      <c r="G58" t="s">
        <v>29</v>
      </c>
      <c r="I58" t="s">
        <v>68</v>
      </c>
      <c r="J58">
        <v>0</v>
      </c>
      <c r="K58" t="s">
        <v>38</v>
      </c>
    </row>
    <row r="59" spans="1:15" x14ac:dyDescent="0.3">
      <c r="A59" t="s">
        <v>37</v>
      </c>
      <c r="B59">
        <v>2</v>
      </c>
      <c r="C59" t="s">
        <v>38</v>
      </c>
      <c r="E59" t="s">
        <v>28</v>
      </c>
      <c r="F59">
        <v>3</v>
      </c>
      <c r="G59" t="s">
        <v>29</v>
      </c>
      <c r="I59" t="s">
        <v>64</v>
      </c>
      <c r="J59">
        <v>0</v>
      </c>
      <c r="K59" t="s">
        <v>38</v>
      </c>
    </row>
    <row r="60" spans="1:15" x14ac:dyDescent="0.3">
      <c r="A60" t="s">
        <v>68</v>
      </c>
      <c r="B60">
        <v>2</v>
      </c>
      <c r="C60" t="s">
        <v>29</v>
      </c>
      <c r="E60" t="s">
        <v>28</v>
      </c>
      <c r="F60">
        <v>0</v>
      </c>
      <c r="G60" t="s">
        <v>29</v>
      </c>
      <c r="I60" t="s">
        <v>64</v>
      </c>
      <c r="J60">
        <v>0</v>
      </c>
      <c r="K60" t="s">
        <v>38</v>
      </c>
    </row>
    <row r="61" spans="1:15" x14ac:dyDescent="0.3">
      <c r="A61" t="s">
        <v>64</v>
      </c>
      <c r="B61">
        <v>3</v>
      </c>
      <c r="C61" t="s">
        <v>38</v>
      </c>
      <c r="E61" t="s">
        <v>64</v>
      </c>
      <c r="F61">
        <v>0</v>
      </c>
      <c r="G61" t="s">
        <v>29</v>
      </c>
      <c r="I61" t="s">
        <v>64</v>
      </c>
      <c r="J61">
        <v>2</v>
      </c>
      <c r="K61" t="s">
        <v>38</v>
      </c>
    </row>
    <row r="62" spans="1:15" x14ac:dyDescent="0.3">
      <c r="A62" t="s">
        <v>28</v>
      </c>
      <c r="B62">
        <v>1</v>
      </c>
      <c r="C62" t="s">
        <v>38</v>
      </c>
      <c r="E62" t="s">
        <v>37</v>
      </c>
      <c r="F62">
        <v>4</v>
      </c>
      <c r="G62" t="s">
        <v>29</v>
      </c>
      <c r="I62" t="s">
        <v>37</v>
      </c>
      <c r="J62">
        <v>4</v>
      </c>
      <c r="K62" t="s">
        <v>38</v>
      </c>
    </row>
    <row r="63" spans="1:15" x14ac:dyDescent="0.3">
      <c r="A63" t="s">
        <v>68</v>
      </c>
      <c r="B63">
        <v>1</v>
      </c>
      <c r="C63" t="s">
        <v>38</v>
      </c>
      <c r="E63" t="s">
        <v>64</v>
      </c>
      <c r="F63">
        <v>1</v>
      </c>
      <c r="G63" t="s">
        <v>29</v>
      </c>
      <c r="I63" t="s">
        <v>28</v>
      </c>
      <c r="J63">
        <v>0</v>
      </c>
      <c r="K63" t="s">
        <v>38</v>
      </c>
    </row>
    <row r="64" spans="1:15" x14ac:dyDescent="0.3">
      <c r="A64" t="s">
        <v>28</v>
      </c>
      <c r="B64">
        <v>1</v>
      </c>
      <c r="C64" t="s">
        <v>29</v>
      </c>
      <c r="E64" t="s">
        <v>68</v>
      </c>
      <c r="F64">
        <v>1</v>
      </c>
      <c r="G64" t="s">
        <v>29</v>
      </c>
      <c r="I64" t="s">
        <v>64</v>
      </c>
      <c r="J64">
        <v>1</v>
      </c>
      <c r="K64" t="s">
        <v>38</v>
      </c>
    </row>
    <row r="65" spans="1:11" x14ac:dyDescent="0.3">
      <c r="A65" t="s">
        <v>37</v>
      </c>
      <c r="B65">
        <v>1</v>
      </c>
      <c r="C65" t="s">
        <v>65</v>
      </c>
      <c r="E65" t="s">
        <v>28</v>
      </c>
      <c r="F65">
        <v>1</v>
      </c>
      <c r="G65" t="s">
        <v>29</v>
      </c>
      <c r="I65" t="s">
        <v>64</v>
      </c>
      <c r="J65">
        <v>3</v>
      </c>
      <c r="K65" t="s">
        <v>38</v>
      </c>
    </row>
    <row r="66" spans="1:11" x14ac:dyDescent="0.3">
      <c r="A66" t="s">
        <v>37</v>
      </c>
      <c r="B66">
        <v>2</v>
      </c>
      <c r="C66" t="s">
        <v>29</v>
      </c>
      <c r="E66" t="s">
        <v>28</v>
      </c>
      <c r="F66">
        <v>4</v>
      </c>
      <c r="G66" t="s">
        <v>29</v>
      </c>
      <c r="I66" t="s">
        <v>68</v>
      </c>
      <c r="J66">
        <v>0</v>
      </c>
      <c r="K66" t="s">
        <v>38</v>
      </c>
    </row>
    <row r="67" spans="1:11" x14ac:dyDescent="0.3">
      <c r="A67" t="s">
        <v>28</v>
      </c>
      <c r="B67">
        <v>2</v>
      </c>
      <c r="C67" t="s">
        <v>29</v>
      </c>
      <c r="E67" t="s">
        <v>68</v>
      </c>
      <c r="F67">
        <v>1</v>
      </c>
      <c r="G67" t="s">
        <v>29</v>
      </c>
      <c r="I67" t="s">
        <v>68</v>
      </c>
      <c r="J67">
        <v>2</v>
      </c>
      <c r="K67" t="s">
        <v>38</v>
      </c>
    </row>
    <row r="68" spans="1:11" x14ac:dyDescent="0.3">
      <c r="A68" t="s">
        <v>68</v>
      </c>
      <c r="B68">
        <v>1</v>
      </c>
      <c r="C68" t="s">
        <v>29</v>
      </c>
      <c r="E68" t="s">
        <v>28</v>
      </c>
      <c r="F68">
        <v>2</v>
      </c>
      <c r="G68" t="s">
        <v>29</v>
      </c>
      <c r="I68" t="s">
        <v>28</v>
      </c>
      <c r="J68">
        <v>3</v>
      </c>
      <c r="K68" t="s">
        <v>38</v>
      </c>
    </row>
    <row r="69" spans="1:11" x14ac:dyDescent="0.3">
      <c r="A69" t="s">
        <v>68</v>
      </c>
      <c r="B69">
        <v>3</v>
      </c>
      <c r="C69" t="s">
        <v>65</v>
      </c>
      <c r="E69" t="s">
        <v>28</v>
      </c>
      <c r="F69">
        <v>4</v>
      </c>
      <c r="G69" t="s">
        <v>29</v>
      </c>
      <c r="I69" t="s">
        <v>37</v>
      </c>
      <c r="J69">
        <v>4</v>
      </c>
      <c r="K69" t="s">
        <v>38</v>
      </c>
    </row>
    <row r="70" spans="1:11" x14ac:dyDescent="0.3">
      <c r="A70" t="s">
        <v>68</v>
      </c>
      <c r="B70">
        <v>0</v>
      </c>
      <c r="C70" t="s">
        <v>65</v>
      </c>
      <c r="E70" t="s">
        <v>28</v>
      </c>
      <c r="F70">
        <v>3</v>
      </c>
      <c r="G70" t="s">
        <v>29</v>
      </c>
      <c r="I70" t="s">
        <v>37</v>
      </c>
      <c r="J70">
        <v>2</v>
      </c>
      <c r="K70" t="s">
        <v>38</v>
      </c>
    </row>
    <row r="71" spans="1:11" x14ac:dyDescent="0.3">
      <c r="A71" t="s">
        <v>68</v>
      </c>
      <c r="B71">
        <v>0</v>
      </c>
      <c r="C71" t="s">
        <v>29</v>
      </c>
      <c r="E71" t="s">
        <v>28</v>
      </c>
      <c r="F71">
        <v>0</v>
      </c>
      <c r="G71" t="s">
        <v>29</v>
      </c>
      <c r="I71" t="s">
        <v>68</v>
      </c>
      <c r="J71">
        <v>4</v>
      </c>
      <c r="K71" t="s">
        <v>38</v>
      </c>
    </row>
    <row r="72" spans="1:11" x14ac:dyDescent="0.3">
      <c r="A72" t="s">
        <v>37</v>
      </c>
      <c r="B72">
        <v>3</v>
      </c>
      <c r="C72" t="s">
        <v>29</v>
      </c>
      <c r="E72" t="s">
        <v>68</v>
      </c>
      <c r="F72">
        <v>2</v>
      </c>
      <c r="G72" t="s">
        <v>29</v>
      </c>
      <c r="I72" t="s">
        <v>68</v>
      </c>
      <c r="J72">
        <v>1</v>
      </c>
      <c r="K72" t="s">
        <v>38</v>
      </c>
    </row>
    <row r="73" spans="1:11" x14ac:dyDescent="0.3">
      <c r="A73" t="s">
        <v>28</v>
      </c>
      <c r="B73">
        <v>1</v>
      </c>
      <c r="C73" t="s">
        <v>29</v>
      </c>
      <c r="E73" t="s">
        <v>28</v>
      </c>
      <c r="F73">
        <v>3</v>
      </c>
      <c r="G73" t="s">
        <v>29</v>
      </c>
      <c r="I73" t="s">
        <v>28</v>
      </c>
      <c r="J73">
        <v>0</v>
      </c>
      <c r="K73" t="s">
        <v>38</v>
      </c>
    </row>
    <row r="74" spans="1:11" x14ac:dyDescent="0.3">
      <c r="A74" t="s">
        <v>37</v>
      </c>
      <c r="B74">
        <v>2</v>
      </c>
      <c r="C74" t="s">
        <v>29</v>
      </c>
      <c r="E74" t="s">
        <v>28</v>
      </c>
      <c r="F74">
        <v>3</v>
      </c>
      <c r="G74" t="s">
        <v>29</v>
      </c>
      <c r="I74" t="s">
        <v>68</v>
      </c>
      <c r="J74">
        <v>4</v>
      </c>
      <c r="K74" t="s">
        <v>38</v>
      </c>
    </row>
    <row r="75" spans="1:11" x14ac:dyDescent="0.3">
      <c r="A75" t="s">
        <v>64</v>
      </c>
      <c r="B75">
        <v>0</v>
      </c>
      <c r="C75" t="s">
        <v>29</v>
      </c>
      <c r="E75" t="s">
        <v>28</v>
      </c>
      <c r="F75">
        <v>3</v>
      </c>
      <c r="G75" t="s">
        <v>29</v>
      </c>
      <c r="I75" t="s">
        <v>64</v>
      </c>
      <c r="J75">
        <v>3</v>
      </c>
      <c r="K75" t="s">
        <v>38</v>
      </c>
    </row>
    <row r="76" spans="1:11" x14ac:dyDescent="0.3">
      <c r="A76" t="s">
        <v>37</v>
      </c>
      <c r="B76">
        <v>4</v>
      </c>
      <c r="C76" t="s">
        <v>38</v>
      </c>
      <c r="E76" t="s">
        <v>68</v>
      </c>
      <c r="F76">
        <v>2</v>
      </c>
      <c r="G76" t="s">
        <v>29</v>
      </c>
      <c r="I76" t="s">
        <v>64</v>
      </c>
      <c r="J76">
        <v>1</v>
      </c>
      <c r="K76" t="s">
        <v>38</v>
      </c>
    </row>
    <row r="77" spans="1:11" x14ac:dyDescent="0.3">
      <c r="A77" t="s">
        <v>28</v>
      </c>
      <c r="B77">
        <v>4</v>
      </c>
      <c r="C77" t="s">
        <v>29</v>
      </c>
      <c r="E77" t="s">
        <v>64</v>
      </c>
      <c r="F77">
        <v>3</v>
      </c>
      <c r="G77" t="s">
        <v>29</v>
      </c>
      <c r="I77" t="s">
        <v>37</v>
      </c>
      <c r="J77">
        <v>0</v>
      </c>
      <c r="K77" t="s">
        <v>38</v>
      </c>
    </row>
    <row r="78" spans="1:11" x14ac:dyDescent="0.3">
      <c r="A78" t="s">
        <v>64</v>
      </c>
      <c r="B78">
        <v>3</v>
      </c>
      <c r="C78" t="s">
        <v>29</v>
      </c>
      <c r="E78" t="s">
        <v>68</v>
      </c>
      <c r="F78">
        <v>1</v>
      </c>
      <c r="G78" t="s">
        <v>29</v>
      </c>
      <c r="I78" t="s">
        <v>28</v>
      </c>
      <c r="J78">
        <v>1</v>
      </c>
      <c r="K78" t="s">
        <v>38</v>
      </c>
    </row>
    <row r="79" spans="1:11" x14ac:dyDescent="0.3">
      <c r="A79" t="s">
        <v>28</v>
      </c>
      <c r="B79">
        <v>1</v>
      </c>
      <c r="C79" t="s">
        <v>29</v>
      </c>
      <c r="E79" t="s">
        <v>37</v>
      </c>
      <c r="F79">
        <v>2</v>
      </c>
      <c r="G79" t="s">
        <v>29</v>
      </c>
      <c r="I79" t="s">
        <v>64</v>
      </c>
      <c r="J79">
        <v>0</v>
      </c>
      <c r="K79" t="s">
        <v>38</v>
      </c>
    </row>
    <row r="80" spans="1:11" x14ac:dyDescent="0.3">
      <c r="A80" t="s">
        <v>28</v>
      </c>
      <c r="B80">
        <v>0</v>
      </c>
      <c r="C80" t="s">
        <v>29</v>
      </c>
      <c r="E80" t="s">
        <v>68</v>
      </c>
      <c r="F80">
        <v>3</v>
      </c>
      <c r="G80" t="s">
        <v>29</v>
      </c>
      <c r="I80" t="s">
        <v>37</v>
      </c>
      <c r="J80">
        <v>4</v>
      </c>
      <c r="K80" t="s">
        <v>38</v>
      </c>
    </row>
    <row r="81" spans="1:11" x14ac:dyDescent="0.3">
      <c r="A81" t="s">
        <v>28</v>
      </c>
      <c r="B81">
        <v>1</v>
      </c>
      <c r="C81" t="s">
        <v>38</v>
      </c>
      <c r="E81" t="s">
        <v>68</v>
      </c>
      <c r="F81">
        <v>3</v>
      </c>
      <c r="G81" t="s">
        <v>29</v>
      </c>
      <c r="I81" t="s">
        <v>64</v>
      </c>
      <c r="J81">
        <v>3</v>
      </c>
      <c r="K81" t="s">
        <v>38</v>
      </c>
    </row>
    <row r="82" spans="1:11" x14ac:dyDescent="0.3">
      <c r="A82" t="s">
        <v>28</v>
      </c>
      <c r="B82">
        <v>0</v>
      </c>
      <c r="C82" t="s">
        <v>29</v>
      </c>
      <c r="E82" t="s">
        <v>37</v>
      </c>
      <c r="F82">
        <v>2</v>
      </c>
      <c r="G82" t="s">
        <v>29</v>
      </c>
      <c r="I82" t="s">
        <v>37</v>
      </c>
      <c r="J82">
        <v>1</v>
      </c>
      <c r="K82" t="s">
        <v>38</v>
      </c>
    </row>
    <row r="83" spans="1:11" x14ac:dyDescent="0.3">
      <c r="A83" t="s">
        <v>37</v>
      </c>
      <c r="B83">
        <v>3</v>
      </c>
      <c r="C83" t="s">
        <v>38</v>
      </c>
      <c r="E83" t="s">
        <v>68</v>
      </c>
      <c r="F83">
        <v>3</v>
      </c>
      <c r="G83" t="s">
        <v>29</v>
      </c>
      <c r="I83" t="s">
        <v>64</v>
      </c>
      <c r="J83">
        <v>2</v>
      </c>
      <c r="K83" t="s">
        <v>38</v>
      </c>
    </row>
    <row r="84" spans="1:11" x14ac:dyDescent="0.3">
      <c r="A84" t="s">
        <v>68</v>
      </c>
      <c r="B84">
        <v>3</v>
      </c>
      <c r="C84" t="s">
        <v>65</v>
      </c>
      <c r="E84" t="s">
        <v>37</v>
      </c>
      <c r="F84">
        <v>4</v>
      </c>
      <c r="G84" t="s">
        <v>29</v>
      </c>
      <c r="I84" t="s">
        <v>68</v>
      </c>
      <c r="J84">
        <v>3</v>
      </c>
      <c r="K84" t="s">
        <v>38</v>
      </c>
    </row>
    <row r="85" spans="1:11" x14ac:dyDescent="0.3">
      <c r="A85" t="s">
        <v>37</v>
      </c>
      <c r="B85">
        <v>4</v>
      </c>
      <c r="C85" t="s">
        <v>65</v>
      </c>
      <c r="E85" t="s">
        <v>64</v>
      </c>
      <c r="F85">
        <v>0</v>
      </c>
      <c r="G85" t="s">
        <v>29</v>
      </c>
      <c r="I85" t="s">
        <v>64</v>
      </c>
      <c r="J85">
        <v>0</v>
      </c>
      <c r="K85" t="s">
        <v>38</v>
      </c>
    </row>
    <row r="86" spans="1:11" x14ac:dyDescent="0.3">
      <c r="A86" t="s">
        <v>37</v>
      </c>
      <c r="B86">
        <v>1</v>
      </c>
      <c r="C86" t="s">
        <v>38</v>
      </c>
      <c r="E86" t="s">
        <v>68</v>
      </c>
      <c r="F86">
        <v>1</v>
      </c>
      <c r="G86" t="s">
        <v>29</v>
      </c>
      <c r="I86" t="s">
        <v>28</v>
      </c>
      <c r="J86">
        <v>2</v>
      </c>
      <c r="K86" t="s">
        <v>38</v>
      </c>
    </row>
    <row r="87" spans="1:11" x14ac:dyDescent="0.3">
      <c r="A87" t="s">
        <v>68</v>
      </c>
      <c r="B87">
        <v>4</v>
      </c>
      <c r="C87" t="s">
        <v>38</v>
      </c>
      <c r="E87" t="s">
        <v>64</v>
      </c>
      <c r="F87">
        <v>3</v>
      </c>
      <c r="G87" t="s">
        <v>29</v>
      </c>
      <c r="I87" t="s">
        <v>37</v>
      </c>
      <c r="J87">
        <v>0</v>
      </c>
      <c r="K87" t="s">
        <v>38</v>
      </c>
    </row>
    <row r="88" spans="1:11" x14ac:dyDescent="0.3">
      <c r="A88" t="s">
        <v>68</v>
      </c>
      <c r="B88">
        <v>1</v>
      </c>
      <c r="C88" t="s">
        <v>38</v>
      </c>
      <c r="E88" t="s">
        <v>68</v>
      </c>
      <c r="F88">
        <v>1</v>
      </c>
      <c r="G88" t="s">
        <v>29</v>
      </c>
      <c r="I88" t="s">
        <v>37</v>
      </c>
      <c r="J88">
        <v>3</v>
      </c>
      <c r="K88" t="s">
        <v>38</v>
      </c>
    </row>
    <row r="89" spans="1:11" x14ac:dyDescent="0.3">
      <c r="A89" t="s">
        <v>64</v>
      </c>
      <c r="B89">
        <v>4</v>
      </c>
      <c r="C89" t="s">
        <v>65</v>
      </c>
      <c r="E89" t="s">
        <v>68</v>
      </c>
      <c r="F89">
        <v>3</v>
      </c>
      <c r="G89" t="s">
        <v>29</v>
      </c>
      <c r="I89" t="s">
        <v>37</v>
      </c>
      <c r="J89">
        <v>4</v>
      </c>
      <c r="K89" t="s">
        <v>38</v>
      </c>
    </row>
    <row r="90" spans="1:11" x14ac:dyDescent="0.3">
      <c r="A90" t="s">
        <v>37</v>
      </c>
      <c r="B90">
        <v>2</v>
      </c>
      <c r="C90" t="s">
        <v>29</v>
      </c>
      <c r="E90" t="s">
        <v>28</v>
      </c>
      <c r="F90">
        <v>0</v>
      </c>
      <c r="G90" t="s">
        <v>29</v>
      </c>
      <c r="I90" t="s">
        <v>28</v>
      </c>
      <c r="J90">
        <v>4</v>
      </c>
      <c r="K90" t="s">
        <v>38</v>
      </c>
    </row>
    <row r="91" spans="1:11" x14ac:dyDescent="0.3">
      <c r="A91" t="s">
        <v>64</v>
      </c>
      <c r="B91">
        <v>2</v>
      </c>
      <c r="C91" t="s">
        <v>38</v>
      </c>
      <c r="E91" t="s">
        <v>64</v>
      </c>
      <c r="F91">
        <v>4</v>
      </c>
      <c r="G91" t="s">
        <v>29</v>
      </c>
      <c r="I91" t="s">
        <v>68</v>
      </c>
      <c r="J91">
        <v>0</v>
      </c>
      <c r="K91" t="s">
        <v>38</v>
      </c>
    </row>
    <row r="92" spans="1:11" x14ac:dyDescent="0.3">
      <c r="A92" t="s">
        <v>28</v>
      </c>
      <c r="B92">
        <v>2</v>
      </c>
      <c r="C92" t="s">
        <v>29</v>
      </c>
      <c r="E92" t="s">
        <v>37</v>
      </c>
      <c r="F92">
        <v>0</v>
      </c>
      <c r="G92" t="s">
        <v>29</v>
      </c>
      <c r="I92" t="s">
        <v>28</v>
      </c>
      <c r="J92">
        <v>4</v>
      </c>
      <c r="K92" t="s">
        <v>38</v>
      </c>
    </row>
    <row r="93" spans="1:11" x14ac:dyDescent="0.3">
      <c r="A93" t="s">
        <v>28</v>
      </c>
      <c r="B93">
        <v>2</v>
      </c>
      <c r="C93" t="s">
        <v>38</v>
      </c>
      <c r="E93" t="s">
        <v>37</v>
      </c>
      <c r="F93">
        <v>0</v>
      </c>
      <c r="G93" t="s">
        <v>29</v>
      </c>
      <c r="I93" t="s">
        <v>64</v>
      </c>
      <c r="J93">
        <v>2</v>
      </c>
      <c r="K93" t="s">
        <v>38</v>
      </c>
    </row>
    <row r="94" spans="1:11" x14ac:dyDescent="0.3">
      <c r="A94" t="s">
        <v>37</v>
      </c>
      <c r="B94">
        <v>0</v>
      </c>
      <c r="C94" t="s">
        <v>38</v>
      </c>
      <c r="E94" t="s">
        <v>68</v>
      </c>
      <c r="F94">
        <v>2</v>
      </c>
      <c r="G94" t="s">
        <v>29</v>
      </c>
      <c r="I94" t="s">
        <v>37</v>
      </c>
      <c r="J94">
        <v>2</v>
      </c>
      <c r="K94" t="s">
        <v>38</v>
      </c>
    </row>
    <row r="95" spans="1:11" x14ac:dyDescent="0.3">
      <c r="A95" t="s">
        <v>68</v>
      </c>
      <c r="B95">
        <v>2</v>
      </c>
      <c r="C95" t="s">
        <v>38</v>
      </c>
      <c r="E95" t="s">
        <v>64</v>
      </c>
      <c r="F95">
        <v>0</v>
      </c>
      <c r="G95" t="s">
        <v>29</v>
      </c>
      <c r="I95" t="s">
        <v>68</v>
      </c>
      <c r="J95">
        <v>4</v>
      </c>
      <c r="K95" t="s">
        <v>38</v>
      </c>
    </row>
    <row r="96" spans="1:11" x14ac:dyDescent="0.3">
      <c r="A96" t="s">
        <v>68</v>
      </c>
      <c r="B96">
        <v>3</v>
      </c>
      <c r="C96" t="s">
        <v>38</v>
      </c>
      <c r="E96" t="s">
        <v>28</v>
      </c>
      <c r="F96">
        <v>3</v>
      </c>
      <c r="G96" t="s">
        <v>29</v>
      </c>
      <c r="I96" t="s">
        <v>37</v>
      </c>
      <c r="J96">
        <v>1</v>
      </c>
      <c r="K96" t="s">
        <v>38</v>
      </c>
    </row>
    <row r="97" spans="1:11" x14ac:dyDescent="0.3">
      <c r="A97" t="s">
        <v>37</v>
      </c>
      <c r="B97">
        <v>3</v>
      </c>
      <c r="C97" t="s">
        <v>38</v>
      </c>
      <c r="E97" t="s">
        <v>68</v>
      </c>
      <c r="F97">
        <v>2</v>
      </c>
      <c r="G97" t="s">
        <v>29</v>
      </c>
      <c r="I97" t="s">
        <v>28</v>
      </c>
      <c r="J97">
        <v>0</v>
      </c>
      <c r="K97" t="s">
        <v>38</v>
      </c>
    </row>
    <row r="98" spans="1:11" x14ac:dyDescent="0.3">
      <c r="A98" t="s">
        <v>28</v>
      </c>
      <c r="B98">
        <v>0</v>
      </c>
      <c r="C98" t="s">
        <v>38</v>
      </c>
      <c r="E98" t="s">
        <v>37</v>
      </c>
      <c r="F98">
        <v>1</v>
      </c>
      <c r="G98" t="s">
        <v>29</v>
      </c>
      <c r="I98" t="s">
        <v>68</v>
      </c>
      <c r="J98">
        <v>0</v>
      </c>
      <c r="K98" t="s">
        <v>38</v>
      </c>
    </row>
    <row r="99" spans="1:11" x14ac:dyDescent="0.3">
      <c r="A99" t="s">
        <v>28</v>
      </c>
      <c r="B99">
        <v>2</v>
      </c>
      <c r="C99" t="s">
        <v>38</v>
      </c>
      <c r="E99" t="s">
        <v>37</v>
      </c>
      <c r="F99">
        <v>2</v>
      </c>
      <c r="G99" t="s">
        <v>29</v>
      </c>
      <c r="I99" t="s">
        <v>37</v>
      </c>
      <c r="J99">
        <v>1</v>
      </c>
      <c r="K99" t="s">
        <v>38</v>
      </c>
    </row>
    <row r="100" spans="1:11" x14ac:dyDescent="0.3">
      <c r="A100" t="s">
        <v>64</v>
      </c>
      <c r="B100">
        <v>2</v>
      </c>
      <c r="C100" t="s">
        <v>65</v>
      </c>
      <c r="E100" t="s">
        <v>37</v>
      </c>
      <c r="F100">
        <v>2</v>
      </c>
      <c r="G100" t="s">
        <v>29</v>
      </c>
      <c r="I100" t="s">
        <v>28</v>
      </c>
      <c r="J100">
        <v>2</v>
      </c>
      <c r="K100" t="s">
        <v>38</v>
      </c>
    </row>
    <row r="101" spans="1:11" x14ac:dyDescent="0.3">
      <c r="A101" t="s">
        <v>37</v>
      </c>
      <c r="B101">
        <v>2</v>
      </c>
      <c r="C101" t="s">
        <v>38</v>
      </c>
      <c r="E101" t="s">
        <v>64</v>
      </c>
      <c r="F101">
        <v>3</v>
      </c>
      <c r="G101" t="s">
        <v>29</v>
      </c>
      <c r="I101" t="s">
        <v>68</v>
      </c>
      <c r="J101">
        <v>1</v>
      </c>
      <c r="K101" t="s">
        <v>38</v>
      </c>
    </row>
    <row r="102" spans="1:11" x14ac:dyDescent="0.3">
      <c r="A102" t="s">
        <v>28</v>
      </c>
      <c r="B102">
        <v>4</v>
      </c>
      <c r="C102" t="s">
        <v>38</v>
      </c>
      <c r="E102" t="s">
        <v>37</v>
      </c>
      <c r="F102">
        <v>4</v>
      </c>
      <c r="G102" t="s">
        <v>29</v>
      </c>
      <c r="I102" t="s">
        <v>68</v>
      </c>
      <c r="J102">
        <v>3</v>
      </c>
      <c r="K102" t="s">
        <v>38</v>
      </c>
    </row>
    <row r="103" spans="1:11" x14ac:dyDescent="0.3">
      <c r="A103" t="s">
        <v>37</v>
      </c>
      <c r="B103">
        <v>1</v>
      </c>
      <c r="C103" t="s">
        <v>38</v>
      </c>
      <c r="E103" t="s">
        <v>28</v>
      </c>
      <c r="F103">
        <v>2</v>
      </c>
      <c r="G103" t="s">
        <v>29</v>
      </c>
      <c r="I103" t="s">
        <v>64</v>
      </c>
      <c r="J103">
        <v>0</v>
      </c>
      <c r="K103" t="s">
        <v>38</v>
      </c>
    </row>
    <row r="104" spans="1:11" x14ac:dyDescent="0.3">
      <c r="A104" t="s">
        <v>68</v>
      </c>
      <c r="B104">
        <v>4</v>
      </c>
      <c r="C104" t="s">
        <v>65</v>
      </c>
      <c r="E104" t="s">
        <v>64</v>
      </c>
      <c r="F104">
        <v>1</v>
      </c>
      <c r="G104" t="s">
        <v>29</v>
      </c>
      <c r="I104" t="s">
        <v>68</v>
      </c>
      <c r="J104">
        <v>1</v>
      </c>
      <c r="K104" t="s">
        <v>38</v>
      </c>
    </row>
    <row r="105" spans="1:11" x14ac:dyDescent="0.3">
      <c r="A105" t="s">
        <v>28</v>
      </c>
      <c r="B105">
        <v>1</v>
      </c>
      <c r="C105" t="s">
        <v>38</v>
      </c>
      <c r="E105" t="s">
        <v>68</v>
      </c>
      <c r="F105">
        <v>2</v>
      </c>
      <c r="G105" t="s">
        <v>29</v>
      </c>
      <c r="I105" t="s">
        <v>28</v>
      </c>
      <c r="J105">
        <v>3</v>
      </c>
      <c r="K105" t="s">
        <v>38</v>
      </c>
    </row>
    <row r="106" spans="1:11" x14ac:dyDescent="0.3">
      <c r="A106" t="s">
        <v>68</v>
      </c>
      <c r="B106">
        <v>2</v>
      </c>
      <c r="C106" t="s">
        <v>29</v>
      </c>
      <c r="E106" t="s">
        <v>28</v>
      </c>
      <c r="F106">
        <v>0</v>
      </c>
      <c r="G106" t="s">
        <v>29</v>
      </c>
      <c r="I106" t="s">
        <v>37</v>
      </c>
      <c r="J106">
        <v>2</v>
      </c>
      <c r="K106" t="s">
        <v>38</v>
      </c>
    </row>
    <row r="107" spans="1:11" x14ac:dyDescent="0.3">
      <c r="A107" t="s">
        <v>68</v>
      </c>
      <c r="B107">
        <v>2</v>
      </c>
      <c r="C107" t="s">
        <v>29</v>
      </c>
      <c r="E107" t="s">
        <v>37</v>
      </c>
      <c r="F107">
        <v>0</v>
      </c>
      <c r="G107" t="s">
        <v>29</v>
      </c>
      <c r="I107" t="s">
        <v>37</v>
      </c>
      <c r="J107">
        <v>1</v>
      </c>
      <c r="K107" t="s">
        <v>38</v>
      </c>
    </row>
    <row r="108" spans="1:11" x14ac:dyDescent="0.3">
      <c r="A108" t="s">
        <v>68</v>
      </c>
      <c r="B108">
        <v>4</v>
      </c>
      <c r="C108" t="s">
        <v>38</v>
      </c>
      <c r="E108" t="s">
        <v>68</v>
      </c>
      <c r="F108">
        <v>4</v>
      </c>
      <c r="G108" t="s">
        <v>29</v>
      </c>
      <c r="I108" t="s">
        <v>68</v>
      </c>
      <c r="J108">
        <v>4</v>
      </c>
      <c r="K108" t="s">
        <v>38</v>
      </c>
    </row>
    <row r="109" spans="1:11" x14ac:dyDescent="0.3">
      <c r="A109" t="s">
        <v>68</v>
      </c>
      <c r="B109">
        <v>4</v>
      </c>
      <c r="C109" t="s">
        <v>38</v>
      </c>
      <c r="I109" t="s">
        <v>37</v>
      </c>
      <c r="J109">
        <v>4</v>
      </c>
      <c r="K109" t="s">
        <v>38</v>
      </c>
    </row>
    <row r="110" spans="1:11" x14ac:dyDescent="0.3">
      <c r="A110" t="s">
        <v>64</v>
      </c>
      <c r="B110">
        <v>1</v>
      </c>
      <c r="C110" t="s">
        <v>65</v>
      </c>
      <c r="I110" t="s">
        <v>64</v>
      </c>
      <c r="J110">
        <v>1</v>
      </c>
      <c r="K110" t="s">
        <v>38</v>
      </c>
    </row>
    <row r="111" spans="1:11" x14ac:dyDescent="0.3">
      <c r="A111" t="s">
        <v>64</v>
      </c>
      <c r="B111">
        <v>3</v>
      </c>
      <c r="C111" t="s">
        <v>38</v>
      </c>
      <c r="I111" t="s">
        <v>28</v>
      </c>
      <c r="J111">
        <v>0</v>
      </c>
      <c r="K111" t="s">
        <v>38</v>
      </c>
    </row>
    <row r="112" spans="1:11" x14ac:dyDescent="0.3">
      <c r="A112" t="s">
        <v>68</v>
      </c>
      <c r="B112">
        <v>1</v>
      </c>
      <c r="C112" t="s">
        <v>29</v>
      </c>
      <c r="I112" t="s">
        <v>28</v>
      </c>
      <c r="J112">
        <v>2</v>
      </c>
      <c r="K112" t="s">
        <v>38</v>
      </c>
    </row>
    <row r="113" spans="1:11" x14ac:dyDescent="0.3">
      <c r="A113" t="s">
        <v>64</v>
      </c>
      <c r="B113">
        <v>4</v>
      </c>
      <c r="C113" t="s">
        <v>38</v>
      </c>
      <c r="I113" t="s">
        <v>28</v>
      </c>
      <c r="J113">
        <v>4</v>
      </c>
      <c r="K113" t="s">
        <v>38</v>
      </c>
    </row>
    <row r="114" spans="1:11" x14ac:dyDescent="0.3">
      <c r="A114" t="s">
        <v>68</v>
      </c>
      <c r="B114">
        <v>0</v>
      </c>
      <c r="C114" t="s">
        <v>82</v>
      </c>
      <c r="I114" t="s">
        <v>28</v>
      </c>
      <c r="J114">
        <v>3</v>
      </c>
      <c r="K114" t="s">
        <v>38</v>
      </c>
    </row>
    <row r="115" spans="1:11" x14ac:dyDescent="0.3">
      <c r="A115" t="s">
        <v>37</v>
      </c>
      <c r="B115">
        <v>0</v>
      </c>
      <c r="C115" t="s">
        <v>29</v>
      </c>
      <c r="I115" t="s">
        <v>37</v>
      </c>
      <c r="J115">
        <v>3</v>
      </c>
      <c r="K115" t="s">
        <v>38</v>
      </c>
    </row>
    <row r="116" spans="1:11" x14ac:dyDescent="0.3">
      <c r="A116" t="s">
        <v>64</v>
      </c>
      <c r="B116">
        <v>4</v>
      </c>
      <c r="C116" t="s">
        <v>38</v>
      </c>
      <c r="I116" t="s">
        <v>64</v>
      </c>
      <c r="J116">
        <v>0</v>
      </c>
      <c r="K116" t="s">
        <v>38</v>
      </c>
    </row>
    <row r="117" spans="1:11" x14ac:dyDescent="0.3">
      <c r="A117" t="s">
        <v>28</v>
      </c>
      <c r="B117">
        <v>0</v>
      </c>
      <c r="C117" t="s">
        <v>65</v>
      </c>
      <c r="I117" t="s">
        <v>68</v>
      </c>
      <c r="J117">
        <v>0</v>
      </c>
      <c r="K117" t="s">
        <v>38</v>
      </c>
    </row>
    <row r="118" spans="1:11" x14ac:dyDescent="0.3">
      <c r="A118" t="s">
        <v>68</v>
      </c>
      <c r="B118">
        <v>3</v>
      </c>
      <c r="C118" t="s">
        <v>29</v>
      </c>
      <c r="I118" t="s">
        <v>28</v>
      </c>
      <c r="J118">
        <v>4</v>
      </c>
      <c r="K118" t="s">
        <v>38</v>
      </c>
    </row>
    <row r="119" spans="1:11" x14ac:dyDescent="0.3">
      <c r="A119" t="s">
        <v>28</v>
      </c>
      <c r="B119">
        <v>1</v>
      </c>
      <c r="C119" t="s">
        <v>38</v>
      </c>
      <c r="I119" t="s">
        <v>37</v>
      </c>
      <c r="J119">
        <v>3</v>
      </c>
      <c r="K119" t="s">
        <v>38</v>
      </c>
    </row>
    <row r="120" spans="1:11" x14ac:dyDescent="0.3">
      <c r="A120" t="s">
        <v>37</v>
      </c>
      <c r="B120">
        <v>1</v>
      </c>
      <c r="C120" t="s">
        <v>38</v>
      </c>
      <c r="I120" t="s">
        <v>68</v>
      </c>
      <c r="J120">
        <v>2</v>
      </c>
      <c r="K120" t="s">
        <v>38</v>
      </c>
    </row>
    <row r="121" spans="1:11" x14ac:dyDescent="0.3">
      <c r="A121" t="s">
        <v>37</v>
      </c>
      <c r="B121">
        <v>0</v>
      </c>
      <c r="C121" t="s">
        <v>29</v>
      </c>
      <c r="I121" t="s">
        <v>68</v>
      </c>
      <c r="J121">
        <v>4</v>
      </c>
      <c r="K121" t="s">
        <v>38</v>
      </c>
    </row>
    <row r="122" spans="1:11" x14ac:dyDescent="0.3">
      <c r="A122" t="s">
        <v>64</v>
      </c>
      <c r="B122">
        <v>1</v>
      </c>
      <c r="C122" t="s">
        <v>38</v>
      </c>
      <c r="I122" t="s">
        <v>64</v>
      </c>
      <c r="J122">
        <v>4</v>
      </c>
      <c r="K122" t="s">
        <v>38</v>
      </c>
    </row>
    <row r="123" spans="1:11" x14ac:dyDescent="0.3">
      <c r="A123" t="s">
        <v>68</v>
      </c>
      <c r="B123">
        <v>4</v>
      </c>
      <c r="C123" t="s">
        <v>38</v>
      </c>
      <c r="I123" t="s">
        <v>28</v>
      </c>
      <c r="J123">
        <v>2</v>
      </c>
      <c r="K123" t="s">
        <v>38</v>
      </c>
    </row>
    <row r="124" spans="1:11" x14ac:dyDescent="0.3">
      <c r="A124" t="s">
        <v>37</v>
      </c>
      <c r="B124">
        <v>2</v>
      </c>
      <c r="C124" t="s">
        <v>65</v>
      </c>
      <c r="I124" t="s">
        <v>37</v>
      </c>
      <c r="J124">
        <v>1</v>
      </c>
      <c r="K124" t="s">
        <v>38</v>
      </c>
    </row>
    <row r="125" spans="1:11" x14ac:dyDescent="0.3">
      <c r="A125" t="s">
        <v>68</v>
      </c>
      <c r="B125">
        <v>0</v>
      </c>
      <c r="C125" t="s">
        <v>38</v>
      </c>
      <c r="I125" t="s">
        <v>28</v>
      </c>
      <c r="J125">
        <v>0</v>
      </c>
      <c r="K125" t="s">
        <v>38</v>
      </c>
    </row>
    <row r="126" spans="1:11" x14ac:dyDescent="0.3">
      <c r="A126" t="s">
        <v>64</v>
      </c>
      <c r="B126">
        <v>1</v>
      </c>
      <c r="C126" t="s">
        <v>29</v>
      </c>
      <c r="I126" t="s">
        <v>68</v>
      </c>
      <c r="J126">
        <v>4</v>
      </c>
      <c r="K126" t="s">
        <v>38</v>
      </c>
    </row>
    <row r="127" spans="1:11" x14ac:dyDescent="0.3">
      <c r="A127" t="s">
        <v>64</v>
      </c>
      <c r="B127">
        <v>0</v>
      </c>
      <c r="C127" t="s">
        <v>38</v>
      </c>
      <c r="I127" t="s">
        <v>64</v>
      </c>
      <c r="J127">
        <v>0</v>
      </c>
      <c r="K127" t="s">
        <v>38</v>
      </c>
    </row>
    <row r="128" spans="1:11" x14ac:dyDescent="0.3">
      <c r="A128" t="s">
        <v>64</v>
      </c>
      <c r="B128">
        <v>0</v>
      </c>
      <c r="C128" t="s">
        <v>38</v>
      </c>
      <c r="I128" t="s">
        <v>37</v>
      </c>
      <c r="J128">
        <v>4</v>
      </c>
      <c r="K128" t="s">
        <v>38</v>
      </c>
    </row>
    <row r="129" spans="1:11" x14ac:dyDescent="0.3">
      <c r="A129" t="s">
        <v>64</v>
      </c>
      <c r="B129">
        <v>2</v>
      </c>
      <c r="C129" t="s">
        <v>38</v>
      </c>
      <c r="I129" t="s">
        <v>37</v>
      </c>
      <c r="J129">
        <v>0</v>
      </c>
      <c r="K129" t="s">
        <v>38</v>
      </c>
    </row>
    <row r="130" spans="1:11" x14ac:dyDescent="0.3">
      <c r="A130" t="s">
        <v>37</v>
      </c>
      <c r="B130">
        <v>4</v>
      </c>
      <c r="C130" t="s">
        <v>38</v>
      </c>
      <c r="I130" t="s">
        <v>64</v>
      </c>
      <c r="J130">
        <v>1</v>
      </c>
      <c r="K130" t="s">
        <v>38</v>
      </c>
    </row>
    <row r="131" spans="1:11" x14ac:dyDescent="0.3">
      <c r="A131" t="s">
        <v>28</v>
      </c>
      <c r="B131">
        <v>0</v>
      </c>
      <c r="C131" t="s">
        <v>38</v>
      </c>
    </row>
    <row r="132" spans="1:11" x14ac:dyDescent="0.3">
      <c r="A132" t="s">
        <v>64</v>
      </c>
      <c r="B132">
        <v>1</v>
      </c>
      <c r="C132" t="s">
        <v>38</v>
      </c>
    </row>
    <row r="133" spans="1:11" x14ac:dyDescent="0.3">
      <c r="A133" t="s">
        <v>64</v>
      </c>
      <c r="B133">
        <v>3</v>
      </c>
      <c r="C133" t="s">
        <v>38</v>
      </c>
    </row>
    <row r="134" spans="1:11" x14ac:dyDescent="0.3">
      <c r="A134" t="s">
        <v>68</v>
      </c>
      <c r="B134">
        <v>0</v>
      </c>
      <c r="C134" t="s">
        <v>38</v>
      </c>
    </row>
    <row r="135" spans="1:11" x14ac:dyDescent="0.3">
      <c r="A135" t="s">
        <v>28</v>
      </c>
      <c r="B135">
        <v>0</v>
      </c>
      <c r="C135" t="s">
        <v>29</v>
      </c>
    </row>
    <row r="136" spans="1:11" x14ac:dyDescent="0.3">
      <c r="A136" t="s">
        <v>68</v>
      </c>
      <c r="B136">
        <v>2</v>
      </c>
      <c r="C136" t="s">
        <v>38</v>
      </c>
    </row>
    <row r="137" spans="1:11" x14ac:dyDescent="0.3">
      <c r="A137" t="s">
        <v>64</v>
      </c>
      <c r="B137">
        <v>4</v>
      </c>
      <c r="C137" t="s">
        <v>65</v>
      </c>
    </row>
    <row r="138" spans="1:11" x14ac:dyDescent="0.3">
      <c r="A138" t="s">
        <v>28</v>
      </c>
      <c r="B138">
        <v>3</v>
      </c>
      <c r="C138" t="s">
        <v>38</v>
      </c>
    </row>
    <row r="139" spans="1:11" x14ac:dyDescent="0.3">
      <c r="A139" t="s">
        <v>68</v>
      </c>
      <c r="B139">
        <v>1</v>
      </c>
      <c r="C139" t="s">
        <v>29</v>
      </c>
    </row>
    <row r="140" spans="1:11" x14ac:dyDescent="0.3">
      <c r="A140" t="s">
        <v>28</v>
      </c>
      <c r="B140">
        <v>3</v>
      </c>
      <c r="C140" t="s">
        <v>65</v>
      </c>
    </row>
    <row r="141" spans="1:11" x14ac:dyDescent="0.3">
      <c r="A141" t="s">
        <v>64</v>
      </c>
      <c r="B141">
        <v>1</v>
      </c>
      <c r="C141" t="s">
        <v>65</v>
      </c>
    </row>
    <row r="142" spans="1:11" x14ac:dyDescent="0.3">
      <c r="A142" t="s">
        <v>37</v>
      </c>
      <c r="B142">
        <v>4</v>
      </c>
      <c r="C142" t="s">
        <v>38</v>
      </c>
    </row>
    <row r="143" spans="1:11" x14ac:dyDescent="0.3">
      <c r="A143" t="s">
        <v>28</v>
      </c>
      <c r="B143">
        <v>1</v>
      </c>
      <c r="C143" t="s">
        <v>65</v>
      </c>
    </row>
    <row r="144" spans="1:11" x14ac:dyDescent="0.3">
      <c r="A144" t="s">
        <v>28</v>
      </c>
      <c r="B144">
        <v>2</v>
      </c>
      <c r="C144" t="s">
        <v>29</v>
      </c>
    </row>
    <row r="145" spans="1:3" x14ac:dyDescent="0.3">
      <c r="A145" t="s">
        <v>37</v>
      </c>
      <c r="B145">
        <v>2</v>
      </c>
      <c r="C145" t="s">
        <v>29</v>
      </c>
    </row>
    <row r="146" spans="1:3" x14ac:dyDescent="0.3">
      <c r="A146" t="s">
        <v>37</v>
      </c>
      <c r="B146">
        <v>2</v>
      </c>
      <c r="C146" t="s">
        <v>38</v>
      </c>
    </row>
    <row r="147" spans="1:3" x14ac:dyDescent="0.3">
      <c r="A147" t="s">
        <v>68</v>
      </c>
      <c r="B147">
        <v>2</v>
      </c>
      <c r="C147" t="s">
        <v>29</v>
      </c>
    </row>
    <row r="148" spans="1:3" x14ac:dyDescent="0.3">
      <c r="A148" t="s">
        <v>64</v>
      </c>
      <c r="B148">
        <v>1</v>
      </c>
      <c r="C148" t="s">
        <v>82</v>
      </c>
    </row>
    <row r="149" spans="1:3" x14ac:dyDescent="0.3">
      <c r="A149" t="s">
        <v>68</v>
      </c>
      <c r="B149">
        <v>4</v>
      </c>
      <c r="C149" t="s">
        <v>38</v>
      </c>
    </row>
    <row r="150" spans="1:3" x14ac:dyDescent="0.3">
      <c r="A150" t="s">
        <v>64</v>
      </c>
      <c r="B150">
        <v>1</v>
      </c>
      <c r="C150" t="s">
        <v>65</v>
      </c>
    </row>
    <row r="151" spans="1:3" x14ac:dyDescent="0.3">
      <c r="A151" t="s">
        <v>68</v>
      </c>
      <c r="B151">
        <v>1</v>
      </c>
      <c r="C151" t="s">
        <v>38</v>
      </c>
    </row>
    <row r="152" spans="1:3" x14ac:dyDescent="0.3">
      <c r="A152" t="s">
        <v>37</v>
      </c>
      <c r="B152">
        <v>2</v>
      </c>
      <c r="C152" t="s">
        <v>65</v>
      </c>
    </row>
    <row r="153" spans="1:3" x14ac:dyDescent="0.3">
      <c r="A153" t="s">
        <v>64</v>
      </c>
      <c r="B153">
        <v>2</v>
      </c>
      <c r="C153" t="s">
        <v>29</v>
      </c>
    </row>
    <row r="154" spans="1:3" x14ac:dyDescent="0.3">
      <c r="A154" t="s">
        <v>28</v>
      </c>
      <c r="B154">
        <v>0</v>
      </c>
      <c r="C154" t="s">
        <v>38</v>
      </c>
    </row>
    <row r="155" spans="1:3" x14ac:dyDescent="0.3">
      <c r="A155" t="s">
        <v>68</v>
      </c>
      <c r="B155">
        <v>4</v>
      </c>
      <c r="C155" t="s">
        <v>38</v>
      </c>
    </row>
    <row r="156" spans="1:3" x14ac:dyDescent="0.3">
      <c r="A156" t="s">
        <v>64</v>
      </c>
      <c r="B156">
        <v>3</v>
      </c>
      <c r="C156" t="s">
        <v>38</v>
      </c>
    </row>
    <row r="157" spans="1:3" x14ac:dyDescent="0.3">
      <c r="A157" t="s">
        <v>64</v>
      </c>
      <c r="B157">
        <v>1</v>
      </c>
      <c r="C157" t="s">
        <v>38</v>
      </c>
    </row>
    <row r="158" spans="1:3" x14ac:dyDescent="0.3">
      <c r="A158" t="s">
        <v>64</v>
      </c>
      <c r="B158">
        <v>0</v>
      </c>
      <c r="C158" t="s">
        <v>29</v>
      </c>
    </row>
    <row r="159" spans="1:3" x14ac:dyDescent="0.3">
      <c r="A159" t="s">
        <v>37</v>
      </c>
      <c r="B159">
        <v>0</v>
      </c>
      <c r="C159" t="s">
        <v>38</v>
      </c>
    </row>
    <row r="160" spans="1:3" x14ac:dyDescent="0.3">
      <c r="A160" t="s">
        <v>28</v>
      </c>
      <c r="B160">
        <v>1</v>
      </c>
      <c r="C160" t="s">
        <v>38</v>
      </c>
    </row>
    <row r="161" spans="1:3" x14ac:dyDescent="0.3">
      <c r="A161" t="s">
        <v>37</v>
      </c>
      <c r="B161">
        <v>0</v>
      </c>
      <c r="C161" t="s">
        <v>82</v>
      </c>
    </row>
    <row r="162" spans="1:3" x14ac:dyDescent="0.3">
      <c r="A162" t="s">
        <v>64</v>
      </c>
      <c r="B162">
        <v>0</v>
      </c>
      <c r="C162" t="s">
        <v>38</v>
      </c>
    </row>
    <row r="163" spans="1:3" x14ac:dyDescent="0.3">
      <c r="A163" t="s">
        <v>64</v>
      </c>
      <c r="B163">
        <v>0</v>
      </c>
      <c r="C163" t="s">
        <v>65</v>
      </c>
    </row>
    <row r="164" spans="1:3" x14ac:dyDescent="0.3">
      <c r="A164" t="s">
        <v>37</v>
      </c>
      <c r="B164">
        <v>4</v>
      </c>
      <c r="C164" t="s">
        <v>38</v>
      </c>
    </row>
    <row r="165" spans="1:3" x14ac:dyDescent="0.3">
      <c r="A165" t="s">
        <v>28</v>
      </c>
      <c r="B165">
        <v>3</v>
      </c>
      <c r="C165" t="s">
        <v>29</v>
      </c>
    </row>
    <row r="166" spans="1:3" x14ac:dyDescent="0.3">
      <c r="A166" t="s">
        <v>28</v>
      </c>
      <c r="B166">
        <v>0</v>
      </c>
      <c r="C166" t="s">
        <v>29</v>
      </c>
    </row>
    <row r="167" spans="1:3" x14ac:dyDescent="0.3">
      <c r="A167" t="s">
        <v>64</v>
      </c>
      <c r="B167">
        <v>3</v>
      </c>
      <c r="C167" t="s">
        <v>38</v>
      </c>
    </row>
    <row r="168" spans="1:3" x14ac:dyDescent="0.3">
      <c r="A168" t="s">
        <v>37</v>
      </c>
      <c r="B168">
        <v>1</v>
      </c>
      <c r="C168" t="s">
        <v>38</v>
      </c>
    </row>
    <row r="169" spans="1:3" x14ac:dyDescent="0.3">
      <c r="A169" t="s">
        <v>64</v>
      </c>
      <c r="B169">
        <v>2</v>
      </c>
      <c r="C169" t="s">
        <v>38</v>
      </c>
    </row>
    <row r="170" spans="1:3" x14ac:dyDescent="0.3">
      <c r="A170" t="s">
        <v>64</v>
      </c>
      <c r="B170">
        <v>0</v>
      </c>
      <c r="C170" t="s">
        <v>29</v>
      </c>
    </row>
    <row r="171" spans="1:3" x14ac:dyDescent="0.3">
      <c r="A171" t="s">
        <v>37</v>
      </c>
      <c r="B171">
        <v>4</v>
      </c>
      <c r="C171" t="s">
        <v>29</v>
      </c>
    </row>
    <row r="172" spans="1:3" x14ac:dyDescent="0.3">
      <c r="A172" t="s">
        <v>64</v>
      </c>
      <c r="B172">
        <v>1</v>
      </c>
      <c r="C172" t="s">
        <v>29</v>
      </c>
    </row>
    <row r="173" spans="1:3" x14ac:dyDescent="0.3">
      <c r="A173" t="s">
        <v>68</v>
      </c>
      <c r="B173">
        <v>3</v>
      </c>
      <c r="C173" t="s">
        <v>38</v>
      </c>
    </row>
    <row r="174" spans="1:3" x14ac:dyDescent="0.3">
      <c r="A174" t="s">
        <v>68</v>
      </c>
      <c r="B174">
        <v>1</v>
      </c>
      <c r="C174" t="s">
        <v>29</v>
      </c>
    </row>
    <row r="175" spans="1:3" x14ac:dyDescent="0.3">
      <c r="A175" t="s">
        <v>64</v>
      </c>
      <c r="B175">
        <v>0</v>
      </c>
      <c r="C175" t="s">
        <v>38</v>
      </c>
    </row>
    <row r="176" spans="1:3" x14ac:dyDescent="0.3">
      <c r="A176" t="s">
        <v>37</v>
      </c>
      <c r="B176">
        <v>0</v>
      </c>
      <c r="C176" t="s">
        <v>82</v>
      </c>
    </row>
    <row r="177" spans="1:3" x14ac:dyDescent="0.3">
      <c r="A177" t="s">
        <v>28</v>
      </c>
      <c r="B177">
        <v>2</v>
      </c>
      <c r="C177" t="s">
        <v>38</v>
      </c>
    </row>
    <row r="178" spans="1:3" x14ac:dyDescent="0.3">
      <c r="A178" t="s">
        <v>28</v>
      </c>
      <c r="B178">
        <v>1</v>
      </c>
      <c r="C178" t="s">
        <v>29</v>
      </c>
    </row>
    <row r="179" spans="1:3" x14ac:dyDescent="0.3">
      <c r="A179" t="s">
        <v>37</v>
      </c>
      <c r="B179">
        <v>0</v>
      </c>
      <c r="C179" t="s">
        <v>38</v>
      </c>
    </row>
    <row r="180" spans="1:3" x14ac:dyDescent="0.3">
      <c r="A180" t="s">
        <v>28</v>
      </c>
      <c r="B180">
        <v>4</v>
      </c>
      <c r="C180" t="s">
        <v>29</v>
      </c>
    </row>
    <row r="181" spans="1:3" x14ac:dyDescent="0.3">
      <c r="A181" t="s">
        <v>37</v>
      </c>
      <c r="B181">
        <v>3</v>
      </c>
      <c r="C181" t="s">
        <v>38</v>
      </c>
    </row>
    <row r="182" spans="1:3" x14ac:dyDescent="0.3">
      <c r="A182" t="s">
        <v>68</v>
      </c>
      <c r="B182">
        <v>1</v>
      </c>
      <c r="C182" t="s">
        <v>65</v>
      </c>
    </row>
    <row r="183" spans="1:3" x14ac:dyDescent="0.3">
      <c r="A183" t="s">
        <v>68</v>
      </c>
      <c r="B183">
        <v>1</v>
      </c>
      <c r="C183" t="s">
        <v>29</v>
      </c>
    </row>
    <row r="184" spans="1:3" x14ac:dyDescent="0.3">
      <c r="A184" t="s">
        <v>28</v>
      </c>
      <c r="B184">
        <v>2</v>
      </c>
      <c r="C184" t="s">
        <v>29</v>
      </c>
    </row>
    <row r="185" spans="1:3" x14ac:dyDescent="0.3">
      <c r="A185" t="s">
        <v>37</v>
      </c>
      <c r="B185">
        <v>2</v>
      </c>
      <c r="C185" t="s">
        <v>65</v>
      </c>
    </row>
    <row r="186" spans="1:3" x14ac:dyDescent="0.3">
      <c r="A186" t="s">
        <v>37</v>
      </c>
      <c r="B186">
        <v>4</v>
      </c>
      <c r="C186" t="s">
        <v>38</v>
      </c>
    </row>
    <row r="187" spans="1:3" x14ac:dyDescent="0.3">
      <c r="A187" t="s">
        <v>28</v>
      </c>
      <c r="B187">
        <v>4</v>
      </c>
      <c r="C187" t="s">
        <v>38</v>
      </c>
    </row>
    <row r="188" spans="1:3" x14ac:dyDescent="0.3">
      <c r="A188" t="s">
        <v>68</v>
      </c>
      <c r="B188">
        <v>0</v>
      </c>
      <c r="C188" t="s">
        <v>65</v>
      </c>
    </row>
    <row r="189" spans="1:3" x14ac:dyDescent="0.3">
      <c r="A189" t="s">
        <v>68</v>
      </c>
      <c r="B189">
        <v>0</v>
      </c>
      <c r="C189" t="s">
        <v>38</v>
      </c>
    </row>
    <row r="190" spans="1:3" x14ac:dyDescent="0.3">
      <c r="A190" t="s">
        <v>28</v>
      </c>
      <c r="B190">
        <v>4</v>
      </c>
      <c r="C190" t="s">
        <v>29</v>
      </c>
    </row>
    <row r="191" spans="1:3" x14ac:dyDescent="0.3">
      <c r="A191" t="s">
        <v>28</v>
      </c>
      <c r="B191">
        <v>4</v>
      </c>
      <c r="C191" t="s">
        <v>38</v>
      </c>
    </row>
    <row r="192" spans="1:3" x14ac:dyDescent="0.3">
      <c r="A192" t="s">
        <v>28</v>
      </c>
      <c r="B192">
        <v>3</v>
      </c>
      <c r="C192" t="s">
        <v>29</v>
      </c>
    </row>
    <row r="193" spans="1:3" x14ac:dyDescent="0.3">
      <c r="A193" t="s">
        <v>64</v>
      </c>
      <c r="B193">
        <v>2</v>
      </c>
      <c r="C193" t="s">
        <v>38</v>
      </c>
    </row>
    <row r="194" spans="1:3" x14ac:dyDescent="0.3">
      <c r="A194" t="s">
        <v>28</v>
      </c>
      <c r="B194">
        <v>0</v>
      </c>
      <c r="C194" t="s">
        <v>29</v>
      </c>
    </row>
    <row r="195" spans="1:3" x14ac:dyDescent="0.3">
      <c r="A195" t="s">
        <v>68</v>
      </c>
      <c r="B195">
        <v>2</v>
      </c>
      <c r="C195" t="s">
        <v>29</v>
      </c>
    </row>
    <row r="196" spans="1:3" x14ac:dyDescent="0.3">
      <c r="A196" t="s">
        <v>37</v>
      </c>
      <c r="B196">
        <v>2</v>
      </c>
      <c r="C196" t="s">
        <v>38</v>
      </c>
    </row>
    <row r="197" spans="1:3" x14ac:dyDescent="0.3">
      <c r="A197" t="s">
        <v>68</v>
      </c>
      <c r="B197">
        <v>4</v>
      </c>
      <c r="C197" t="s">
        <v>38</v>
      </c>
    </row>
    <row r="198" spans="1:3" x14ac:dyDescent="0.3">
      <c r="A198" t="s">
        <v>28</v>
      </c>
      <c r="B198">
        <v>3</v>
      </c>
      <c r="C198" t="s">
        <v>29</v>
      </c>
    </row>
    <row r="199" spans="1:3" x14ac:dyDescent="0.3">
      <c r="A199" t="s">
        <v>37</v>
      </c>
      <c r="B199">
        <v>1</v>
      </c>
      <c r="C199" t="s">
        <v>38</v>
      </c>
    </row>
    <row r="200" spans="1:3" x14ac:dyDescent="0.3">
      <c r="A200" t="s">
        <v>28</v>
      </c>
      <c r="B200">
        <v>3</v>
      </c>
      <c r="C200" t="s">
        <v>29</v>
      </c>
    </row>
    <row r="201" spans="1:3" x14ac:dyDescent="0.3">
      <c r="A201" t="s">
        <v>28</v>
      </c>
      <c r="B201">
        <v>3</v>
      </c>
      <c r="C201" t="s">
        <v>29</v>
      </c>
    </row>
    <row r="202" spans="1:3" x14ac:dyDescent="0.3">
      <c r="A202" t="s">
        <v>68</v>
      </c>
      <c r="B202">
        <v>2</v>
      </c>
      <c r="C202" t="s">
        <v>29</v>
      </c>
    </row>
    <row r="203" spans="1:3" x14ac:dyDescent="0.3">
      <c r="A203" t="s">
        <v>64</v>
      </c>
      <c r="B203">
        <v>3</v>
      </c>
      <c r="C203" t="s">
        <v>29</v>
      </c>
    </row>
    <row r="204" spans="1:3" x14ac:dyDescent="0.3">
      <c r="A204" t="s">
        <v>28</v>
      </c>
      <c r="B204">
        <v>0</v>
      </c>
      <c r="C204" t="s">
        <v>38</v>
      </c>
    </row>
    <row r="205" spans="1:3" x14ac:dyDescent="0.3">
      <c r="A205" t="s">
        <v>28</v>
      </c>
      <c r="B205">
        <v>2</v>
      </c>
      <c r="C205" t="s">
        <v>65</v>
      </c>
    </row>
    <row r="206" spans="1:3" x14ac:dyDescent="0.3">
      <c r="A206" t="s">
        <v>68</v>
      </c>
      <c r="B206">
        <v>0</v>
      </c>
      <c r="C206" t="s">
        <v>38</v>
      </c>
    </row>
    <row r="207" spans="1:3" x14ac:dyDescent="0.3">
      <c r="A207" t="s">
        <v>68</v>
      </c>
      <c r="B207">
        <v>1</v>
      </c>
      <c r="C207" t="s">
        <v>29</v>
      </c>
    </row>
    <row r="208" spans="1:3" x14ac:dyDescent="0.3">
      <c r="A208" t="s">
        <v>37</v>
      </c>
      <c r="B208">
        <v>2</v>
      </c>
      <c r="C208" t="s">
        <v>29</v>
      </c>
    </row>
    <row r="209" spans="1:3" x14ac:dyDescent="0.3">
      <c r="A209" t="s">
        <v>37</v>
      </c>
      <c r="B209">
        <v>1</v>
      </c>
      <c r="C209" t="s">
        <v>38</v>
      </c>
    </row>
    <row r="210" spans="1:3" x14ac:dyDescent="0.3">
      <c r="A210" t="s">
        <v>28</v>
      </c>
      <c r="B210">
        <v>2</v>
      </c>
      <c r="C210" t="s">
        <v>38</v>
      </c>
    </row>
    <row r="211" spans="1:3" x14ac:dyDescent="0.3">
      <c r="A211" t="s">
        <v>64</v>
      </c>
      <c r="B211">
        <v>4</v>
      </c>
      <c r="C211" t="s">
        <v>65</v>
      </c>
    </row>
    <row r="212" spans="1:3" x14ac:dyDescent="0.3">
      <c r="A212" t="s">
        <v>68</v>
      </c>
      <c r="B212">
        <v>3</v>
      </c>
      <c r="C212" t="s">
        <v>29</v>
      </c>
    </row>
    <row r="213" spans="1:3" x14ac:dyDescent="0.3">
      <c r="A213" t="s">
        <v>37</v>
      </c>
      <c r="B213">
        <v>4</v>
      </c>
      <c r="C213" t="s">
        <v>65</v>
      </c>
    </row>
    <row r="214" spans="1:3" x14ac:dyDescent="0.3">
      <c r="A214" t="s">
        <v>68</v>
      </c>
      <c r="B214">
        <v>1</v>
      </c>
      <c r="C214" t="s">
        <v>38</v>
      </c>
    </row>
    <row r="215" spans="1:3" x14ac:dyDescent="0.3">
      <c r="A215" t="s">
        <v>68</v>
      </c>
      <c r="B215">
        <v>3</v>
      </c>
      <c r="C215" t="s">
        <v>29</v>
      </c>
    </row>
    <row r="216" spans="1:3" x14ac:dyDescent="0.3">
      <c r="A216" t="s">
        <v>37</v>
      </c>
      <c r="B216">
        <v>2</v>
      </c>
      <c r="C216" t="s">
        <v>29</v>
      </c>
    </row>
    <row r="217" spans="1:3" x14ac:dyDescent="0.3">
      <c r="A217" t="s">
        <v>68</v>
      </c>
      <c r="B217">
        <v>3</v>
      </c>
      <c r="C217" t="s">
        <v>29</v>
      </c>
    </row>
    <row r="218" spans="1:3" x14ac:dyDescent="0.3">
      <c r="A218" t="s">
        <v>37</v>
      </c>
      <c r="B218">
        <v>0</v>
      </c>
      <c r="C218" t="s">
        <v>65</v>
      </c>
    </row>
    <row r="219" spans="1:3" x14ac:dyDescent="0.3">
      <c r="A219" t="s">
        <v>68</v>
      </c>
      <c r="B219">
        <v>3</v>
      </c>
      <c r="C219" t="s">
        <v>38</v>
      </c>
    </row>
    <row r="220" spans="1:3" x14ac:dyDescent="0.3">
      <c r="A220" t="s">
        <v>64</v>
      </c>
      <c r="B220">
        <v>0</v>
      </c>
      <c r="C220" t="s">
        <v>65</v>
      </c>
    </row>
    <row r="221" spans="1:3" x14ac:dyDescent="0.3">
      <c r="A221" t="s">
        <v>37</v>
      </c>
      <c r="B221">
        <v>0</v>
      </c>
      <c r="C221" t="s">
        <v>82</v>
      </c>
    </row>
    <row r="222" spans="1:3" x14ac:dyDescent="0.3">
      <c r="A222" t="s">
        <v>64</v>
      </c>
      <c r="B222">
        <v>0</v>
      </c>
      <c r="C222" t="s">
        <v>38</v>
      </c>
    </row>
    <row r="223" spans="1:3" x14ac:dyDescent="0.3">
      <c r="A223" t="s">
        <v>68</v>
      </c>
      <c r="B223">
        <v>1</v>
      </c>
      <c r="C223" t="s">
        <v>38</v>
      </c>
    </row>
    <row r="224" spans="1:3" x14ac:dyDescent="0.3">
      <c r="A224" t="s">
        <v>37</v>
      </c>
      <c r="B224">
        <v>4</v>
      </c>
      <c r="C224" t="s">
        <v>29</v>
      </c>
    </row>
    <row r="225" spans="1:3" x14ac:dyDescent="0.3">
      <c r="A225" t="s">
        <v>28</v>
      </c>
      <c r="B225">
        <v>2</v>
      </c>
      <c r="C225" t="s">
        <v>65</v>
      </c>
    </row>
    <row r="226" spans="1:3" x14ac:dyDescent="0.3">
      <c r="A226" t="s">
        <v>28</v>
      </c>
      <c r="B226">
        <v>3</v>
      </c>
      <c r="C226" t="s">
        <v>38</v>
      </c>
    </row>
    <row r="227" spans="1:3" x14ac:dyDescent="0.3">
      <c r="A227" t="s">
        <v>28</v>
      </c>
      <c r="B227">
        <v>4</v>
      </c>
      <c r="C227" t="s">
        <v>65</v>
      </c>
    </row>
    <row r="228" spans="1:3" x14ac:dyDescent="0.3">
      <c r="A228" t="s">
        <v>64</v>
      </c>
      <c r="B228">
        <v>2</v>
      </c>
      <c r="C228" t="s">
        <v>65</v>
      </c>
    </row>
    <row r="229" spans="1:3" x14ac:dyDescent="0.3">
      <c r="A229" t="s">
        <v>37</v>
      </c>
      <c r="B229">
        <v>2</v>
      </c>
      <c r="C229" t="s">
        <v>38</v>
      </c>
    </row>
    <row r="230" spans="1:3" x14ac:dyDescent="0.3">
      <c r="A230" t="s">
        <v>64</v>
      </c>
      <c r="B230">
        <v>0</v>
      </c>
      <c r="C230" t="s">
        <v>29</v>
      </c>
    </row>
    <row r="231" spans="1:3" x14ac:dyDescent="0.3">
      <c r="A231" t="s">
        <v>64</v>
      </c>
      <c r="B231">
        <v>1</v>
      </c>
      <c r="C231" t="s">
        <v>65</v>
      </c>
    </row>
    <row r="232" spans="1:3" x14ac:dyDescent="0.3">
      <c r="A232" t="s">
        <v>37</v>
      </c>
      <c r="B232">
        <v>1</v>
      </c>
      <c r="C232" t="s">
        <v>38</v>
      </c>
    </row>
    <row r="233" spans="1:3" x14ac:dyDescent="0.3">
      <c r="A233" t="s">
        <v>68</v>
      </c>
      <c r="B233">
        <v>4</v>
      </c>
      <c r="C233" t="s">
        <v>38</v>
      </c>
    </row>
    <row r="234" spans="1:3" x14ac:dyDescent="0.3">
      <c r="A234" t="s">
        <v>68</v>
      </c>
      <c r="B234">
        <v>1</v>
      </c>
      <c r="C234" t="s">
        <v>29</v>
      </c>
    </row>
    <row r="235" spans="1:3" x14ac:dyDescent="0.3">
      <c r="A235" t="s">
        <v>64</v>
      </c>
      <c r="B235">
        <v>3</v>
      </c>
      <c r="C235" t="s">
        <v>29</v>
      </c>
    </row>
    <row r="236" spans="1:3" x14ac:dyDescent="0.3">
      <c r="A236" t="s">
        <v>68</v>
      </c>
      <c r="B236">
        <v>1</v>
      </c>
      <c r="C236" t="s">
        <v>29</v>
      </c>
    </row>
    <row r="237" spans="1:3" x14ac:dyDescent="0.3">
      <c r="A237" t="s">
        <v>37</v>
      </c>
      <c r="B237">
        <v>4</v>
      </c>
      <c r="C237" t="s">
        <v>38</v>
      </c>
    </row>
    <row r="238" spans="1:3" x14ac:dyDescent="0.3">
      <c r="A238" t="s">
        <v>64</v>
      </c>
      <c r="B238">
        <v>1</v>
      </c>
      <c r="C238" t="s">
        <v>38</v>
      </c>
    </row>
    <row r="239" spans="1:3" x14ac:dyDescent="0.3">
      <c r="A239" t="s">
        <v>68</v>
      </c>
      <c r="B239">
        <v>3</v>
      </c>
      <c r="C239" t="s">
        <v>29</v>
      </c>
    </row>
    <row r="240" spans="1:3" x14ac:dyDescent="0.3">
      <c r="A240" t="s">
        <v>28</v>
      </c>
      <c r="B240">
        <v>0</v>
      </c>
      <c r="C240" t="s">
        <v>29</v>
      </c>
    </row>
    <row r="241" spans="1:3" x14ac:dyDescent="0.3">
      <c r="A241" t="s">
        <v>64</v>
      </c>
      <c r="B241">
        <v>4</v>
      </c>
      <c r="C241" t="s">
        <v>29</v>
      </c>
    </row>
    <row r="242" spans="1:3" x14ac:dyDescent="0.3">
      <c r="A242" t="s">
        <v>28</v>
      </c>
      <c r="B242">
        <v>0</v>
      </c>
      <c r="C242" t="s">
        <v>38</v>
      </c>
    </row>
    <row r="243" spans="1:3" x14ac:dyDescent="0.3">
      <c r="A243" t="s">
        <v>37</v>
      </c>
      <c r="B243">
        <v>0</v>
      </c>
      <c r="C243" t="s">
        <v>29</v>
      </c>
    </row>
    <row r="244" spans="1:3" x14ac:dyDescent="0.3">
      <c r="A244" t="s">
        <v>37</v>
      </c>
      <c r="B244">
        <v>0</v>
      </c>
      <c r="C244" t="s">
        <v>29</v>
      </c>
    </row>
    <row r="245" spans="1:3" x14ac:dyDescent="0.3">
      <c r="A245" t="s">
        <v>68</v>
      </c>
      <c r="B245">
        <v>2</v>
      </c>
      <c r="C245" t="s">
        <v>29</v>
      </c>
    </row>
    <row r="246" spans="1:3" x14ac:dyDescent="0.3">
      <c r="A246" t="s">
        <v>28</v>
      </c>
      <c r="B246">
        <v>2</v>
      </c>
      <c r="C246" t="s">
        <v>38</v>
      </c>
    </row>
    <row r="247" spans="1:3" x14ac:dyDescent="0.3">
      <c r="A247" t="s">
        <v>64</v>
      </c>
      <c r="B247">
        <v>0</v>
      </c>
      <c r="C247" t="s">
        <v>29</v>
      </c>
    </row>
    <row r="248" spans="1:3" x14ac:dyDescent="0.3">
      <c r="A248" t="s">
        <v>28</v>
      </c>
      <c r="B248">
        <v>4</v>
      </c>
      <c r="C248" t="s">
        <v>38</v>
      </c>
    </row>
    <row r="249" spans="1:3" x14ac:dyDescent="0.3">
      <c r="A249" t="s">
        <v>28</v>
      </c>
      <c r="B249">
        <v>3</v>
      </c>
      <c r="C249" t="s">
        <v>29</v>
      </c>
    </row>
    <row r="250" spans="1:3" x14ac:dyDescent="0.3">
      <c r="A250" t="s">
        <v>28</v>
      </c>
      <c r="B250">
        <v>3</v>
      </c>
      <c r="C250" t="s">
        <v>38</v>
      </c>
    </row>
    <row r="251" spans="1:3" x14ac:dyDescent="0.3">
      <c r="A251" t="s">
        <v>37</v>
      </c>
      <c r="B251">
        <v>1</v>
      </c>
      <c r="C251" t="s">
        <v>65</v>
      </c>
    </row>
    <row r="252" spans="1:3" x14ac:dyDescent="0.3">
      <c r="A252" t="s">
        <v>37</v>
      </c>
      <c r="B252">
        <v>4</v>
      </c>
      <c r="C252" t="s">
        <v>65</v>
      </c>
    </row>
    <row r="253" spans="1:3" x14ac:dyDescent="0.3">
      <c r="A253" t="s">
        <v>68</v>
      </c>
      <c r="B253">
        <v>2</v>
      </c>
      <c r="C253" t="s">
        <v>29</v>
      </c>
    </row>
    <row r="254" spans="1:3" x14ac:dyDescent="0.3">
      <c r="A254" t="s">
        <v>68</v>
      </c>
      <c r="B254">
        <v>0</v>
      </c>
      <c r="C254" t="s">
        <v>65</v>
      </c>
    </row>
    <row r="255" spans="1:3" x14ac:dyDescent="0.3">
      <c r="A255" t="s">
        <v>37</v>
      </c>
      <c r="B255">
        <v>1</v>
      </c>
      <c r="C255" t="s">
        <v>29</v>
      </c>
    </row>
    <row r="256" spans="1:3" x14ac:dyDescent="0.3">
      <c r="A256" t="s">
        <v>37</v>
      </c>
      <c r="B256">
        <v>3</v>
      </c>
      <c r="C256" t="s">
        <v>38</v>
      </c>
    </row>
    <row r="257" spans="1:3" x14ac:dyDescent="0.3">
      <c r="A257" t="s">
        <v>37</v>
      </c>
      <c r="B257">
        <v>2</v>
      </c>
      <c r="C257" t="s">
        <v>29</v>
      </c>
    </row>
    <row r="258" spans="1:3" x14ac:dyDescent="0.3">
      <c r="A258" t="s">
        <v>37</v>
      </c>
      <c r="B258">
        <v>2</v>
      </c>
      <c r="C258" t="s">
        <v>29</v>
      </c>
    </row>
    <row r="259" spans="1:3" x14ac:dyDescent="0.3">
      <c r="A259" t="s">
        <v>64</v>
      </c>
      <c r="B259">
        <v>0</v>
      </c>
      <c r="C259" t="s">
        <v>38</v>
      </c>
    </row>
    <row r="260" spans="1:3" x14ac:dyDescent="0.3">
      <c r="A260" t="s">
        <v>64</v>
      </c>
      <c r="B260">
        <v>3</v>
      </c>
      <c r="C260" t="s">
        <v>29</v>
      </c>
    </row>
    <row r="261" spans="1:3" x14ac:dyDescent="0.3">
      <c r="A261" t="s">
        <v>37</v>
      </c>
      <c r="B261">
        <v>4</v>
      </c>
      <c r="C261" t="s">
        <v>29</v>
      </c>
    </row>
    <row r="262" spans="1:3" x14ac:dyDescent="0.3">
      <c r="A262" t="s">
        <v>37</v>
      </c>
      <c r="B262">
        <v>2</v>
      </c>
      <c r="C262" t="s">
        <v>65</v>
      </c>
    </row>
    <row r="263" spans="1:3" x14ac:dyDescent="0.3">
      <c r="A263" t="s">
        <v>68</v>
      </c>
      <c r="B263">
        <v>0</v>
      </c>
      <c r="C263" t="s">
        <v>38</v>
      </c>
    </row>
    <row r="264" spans="1:3" x14ac:dyDescent="0.3">
      <c r="A264" t="s">
        <v>28</v>
      </c>
      <c r="B264">
        <v>4</v>
      </c>
      <c r="C264" t="s">
        <v>38</v>
      </c>
    </row>
    <row r="265" spans="1:3" x14ac:dyDescent="0.3">
      <c r="A265" t="s">
        <v>37</v>
      </c>
      <c r="B265">
        <v>3</v>
      </c>
      <c r="C265" t="s">
        <v>38</v>
      </c>
    </row>
    <row r="266" spans="1:3" x14ac:dyDescent="0.3">
      <c r="A266" t="s">
        <v>68</v>
      </c>
      <c r="B266">
        <v>2</v>
      </c>
      <c r="C266" t="s">
        <v>38</v>
      </c>
    </row>
    <row r="267" spans="1:3" x14ac:dyDescent="0.3">
      <c r="A267" t="s">
        <v>68</v>
      </c>
      <c r="B267">
        <v>4</v>
      </c>
      <c r="C267" t="s">
        <v>38</v>
      </c>
    </row>
    <row r="268" spans="1:3" x14ac:dyDescent="0.3">
      <c r="A268" t="s">
        <v>64</v>
      </c>
      <c r="B268">
        <v>4</v>
      </c>
      <c r="C268" t="s">
        <v>38</v>
      </c>
    </row>
    <row r="269" spans="1:3" x14ac:dyDescent="0.3">
      <c r="A269" t="s">
        <v>28</v>
      </c>
      <c r="B269">
        <v>1</v>
      </c>
      <c r="C269" t="s">
        <v>82</v>
      </c>
    </row>
    <row r="270" spans="1:3" x14ac:dyDescent="0.3">
      <c r="A270" t="s">
        <v>28</v>
      </c>
      <c r="B270">
        <v>2</v>
      </c>
      <c r="C270" t="s">
        <v>38</v>
      </c>
    </row>
    <row r="271" spans="1:3" x14ac:dyDescent="0.3">
      <c r="A271" t="s">
        <v>28</v>
      </c>
      <c r="B271">
        <v>2</v>
      </c>
      <c r="C271" t="s">
        <v>29</v>
      </c>
    </row>
    <row r="272" spans="1:3" x14ac:dyDescent="0.3">
      <c r="A272" t="s">
        <v>37</v>
      </c>
      <c r="B272">
        <v>1</v>
      </c>
      <c r="C272" t="s">
        <v>38</v>
      </c>
    </row>
    <row r="273" spans="1:3" x14ac:dyDescent="0.3">
      <c r="A273" t="s">
        <v>37</v>
      </c>
      <c r="B273">
        <v>3</v>
      </c>
      <c r="C273" t="s">
        <v>65</v>
      </c>
    </row>
    <row r="274" spans="1:3" x14ac:dyDescent="0.3">
      <c r="A274" t="s">
        <v>28</v>
      </c>
      <c r="B274">
        <v>0</v>
      </c>
      <c r="C274" t="s">
        <v>38</v>
      </c>
    </row>
    <row r="275" spans="1:3" x14ac:dyDescent="0.3">
      <c r="A275" t="s">
        <v>68</v>
      </c>
      <c r="B275">
        <v>4</v>
      </c>
      <c r="C275" t="s">
        <v>38</v>
      </c>
    </row>
    <row r="276" spans="1:3" x14ac:dyDescent="0.3">
      <c r="A276" t="s">
        <v>64</v>
      </c>
      <c r="B276">
        <v>1</v>
      </c>
      <c r="C276" t="s">
        <v>29</v>
      </c>
    </row>
    <row r="277" spans="1:3" x14ac:dyDescent="0.3">
      <c r="A277" t="s">
        <v>64</v>
      </c>
      <c r="B277">
        <v>0</v>
      </c>
      <c r="C277" t="s">
        <v>38</v>
      </c>
    </row>
    <row r="278" spans="1:3" x14ac:dyDescent="0.3">
      <c r="A278" t="s">
        <v>37</v>
      </c>
      <c r="B278">
        <v>1</v>
      </c>
      <c r="C278" t="s">
        <v>65</v>
      </c>
    </row>
    <row r="279" spans="1:3" x14ac:dyDescent="0.3">
      <c r="A279" t="s">
        <v>68</v>
      </c>
      <c r="B279">
        <v>2</v>
      </c>
      <c r="C279" t="s">
        <v>29</v>
      </c>
    </row>
    <row r="280" spans="1:3" x14ac:dyDescent="0.3">
      <c r="A280" t="s">
        <v>37</v>
      </c>
      <c r="B280">
        <v>4</v>
      </c>
      <c r="C280" t="s">
        <v>38</v>
      </c>
    </row>
    <row r="281" spans="1:3" x14ac:dyDescent="0.3">
      <c r="A281" t="s">
        <v>28</v>
      </c>
      <c r="B281">
        <v>0</v>
      </c>
      <c r="C281" t="s">
        <v>29</v>
      </c>
    </row>
    <row r="282" spans="1:3" x14ac:dyDescent="0.3">
      <c r="A282" t="s">
        <v>37</v>
      </c>
      <c r="B282">
        <v>0</v>
      </c>
      <c r="C282" t="s">
        <v>65</v>
      </c>
    </row>
    <row r="283" spans="1:3" x14ac:dyDescent="0.3">
      <c r="A283" t="s">
        <v>37</v>
      </c>
      <c r="B283">
        <v>0</v>
      </c>
      <c r="C283" t="s">
        <v>82</v>
      </c>
    </row>
    <row r="284" spans="1:3" x14ac:dyDescent="0.3">
      <c r="A284" t="s">
        <v>37</v>
      </c>
      <c r="B284">
        <v>0</v>
      </c>
      <c r="C284" t="s">
        <v>29</v>
      </c>
    </row>
    <row r="285" spans="1:3" x14ac:dyDescent="0.3">
      <c r="A285" t="s">
        <v>37</v>
      </c>
      <c r="B285">
        <v>0</v>
      </c>
      <c r="C285" t="s">
        <v>38</v>
      </c>
    </row>
    <row r="286" spans="1:3" x14ac:dyDescent="0.3">
      <c r="A286" t="s">
        <v>64</v>
      </c>
      <c r="B286">
        <v>1</v>
      </c>
      <c r="C286" t="s">
        <v>38</v>
      </c>
    </row>
    <row r="287" spans="1:3" x14ac:dyDescent="0.3">
      <c r="A287" t="s">
        <v>68</v>
      </c>
      <c r="B287">
        <v>4</v>
      </c>
      <c r="C287" t="s">
        <v>29</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F4CD6-8112-4B63-A578-F04BF85F87AA}">
  <dimension ref="A1:E281"/>
  <sheetViews>
    <sheetView workbookViewId="0">
      <selection activeCell="V14" sqref="V14"/>
    </sheetView>
  </sheetViews>
  <sheetFormatPr defaultRowHeight="14.4" x14ac:dyDescent="0.3"/>
  <cols>
    <col min="4" max="4" width="7.88671875" bestFit="1" customWidth="1"/>
  </cols>
  <sheetData>
    <row r="1" spans="1:5" ht="57.6" x14ac:dyDescent="0.3">
      <c r="A1" s="2" t="s">
        <v>10</v>
      </c>
      <c r="B1" s="2" t="s">
        <v>25</v>
      </c>
      <c r="D1" s="2" t="s">
        <v>19</v>
      </c>
      <c r="E1" s="2" t="s">
        <v>26</v>
      </c>
    </row>
    <row r="2" spans="1:5" x14ac:dyDescent="0.3">
      <c r="A2">
        <v>11.7</v>
      </c>
      <c r="B2">
        <v>1.08</v>
      </c>
      <c r="D2">
        <v>29</v>
      </c>
      <c r="E2" s="84">
        <v>98.33</v>
      </c>
    </row>
    <row r="3" spans="1:5" x14ac:dyDescent="0.3">
      <c r="A3">
        <v>19.899999999999999</v>
      </c>
      <c r="B3">
        <v>0.65</v>
      </c>
      <c r="D3">
        <v>27</v>
      </c>
      <c r="E3" s="84">
        <v>89.25</v>
      </c>
    </row>
    <row r="4" spans="1:5" x14ac:dyDescent="0.3">
      <c r="A4">
        <v>11.6</v>
      </c>
      <c r="B4">
        <v>1.31</v>
      </c>
      <c r="D4">
        <v>24</v>
      </c>
      <c r="E4" s="84">
        <v>90.14</v>
      </c>
    </row>
    <row r="5" spans="1:5" x14ac:dyDescent="0.3">
      <c r="A5">
        <v>17.899999999999999</v>
      </c>
      <c r="B5">
        <v>1.1399999999999999</v>
      </c>
      <c r="D5">
        <v>30</v>
      </c>
      <c r="E5" s="84">
        <v>88.97</v>
      </c>
    </row>
    <row r="6" spans="1:5" x14ac:dyDescent="0.3">
      <c r="A6">
        <v>17.8</v>
      </c>
      <c r="B6">
        <v>0.89</v>
      </c>
      <c r="D6">
        <v>24</v>
      </c>
      <c r="E6" s="84">
        <v>75.97</v>
      </c>
    </row>
    <row r="7" spans="1:5" x14ac:dyDescent="0.3">
      <c r="A7">
        <v>11.6</v>
      </c>
      <c r="B7">
        <v>1.17</v>
      </c>
      <c r="D7">
        <v>34</v>
      </c>
      <c r="E7" s="84">
        <v>82.55</v>
      </c>
    </row>
    <row r="8" spans="1:5" x14ac:dyDescent="0.3">
      <c r="A8">
        <v>19.899999999999999</v>
      </c>
      <c r="B8">
        <v>0.76</v>
      </c>
      <c r="D8">
        <v>27</v>
      </c>
      <c r="E8" s="84">
        <v>92.53</v>
      </c>
    </row>
    <row r="9" spans="1:5" x14ac:dyDescent="0.3">
      <c r="A9">
        <v>11.5</v>
      </c>
      <c r="B9">
        <v>0.85</v>
      </c>
      <c r="D9">
        <v>27</v>
      </c>
      <c r="E9" s="84">
        <v>73.040000000000006</v>
      </c>
    </row>
    <row r="10" spans="1:5" x14ac:dyDescent="0.3">
      <c r="A10">
        <v>9.3000000000000007</v>
      </c>
      <c r="B10">
        <v>1.42</v>
      </c>
      <c r="D10">
        <v>21</v>
      </c>
      <c r="E10" s="84">
        <v>78.34</v>
      </c>
    </row>
    <row r="11" spans="1:5" x14ac:dyDescent="0.3">
      <c r="A11">
        <v>13.8</v>
      </c>
      <c r="B11">
        <v>0.79</v>
      </c>
      <c r="D11">
        <v>37</v>
      </c>
      <c r="E11" s="84">
        <v>78.290000000000006</v>
      </c>
    </row>
    <row r="12" spans="1:5" x14ac:dyDescent="0.3">
      <c r="A12">
        <v>19.899999999999999</v>
      </c>
      <c r="B12">
        <v>0.97</v>
      </c>
      <c r="D12">
        <v>21</v>
      </c>
      <c r="E12" s="84">
        <v>82.96</v>
      </c>
    </row>
    <row r="13" spans="1:5" x14ac:dyDescent="0.3">
      <c r="A13">
        <v>19.8</v>
      </c>
      <c r="B13">
        <v>1.39</v>
      </c>
      <c r="D13">
        <v>39</v>
      </c>
      <c r="E13" s="84">
        <v>99.41</v>
      </c>
    </row>
    <row r="14" spans="1:5" x14ac:dyDescent="0.3">
      <c r="A14">
        <v>15.7</v>
      </c>
      <c r="B14">
        <v>1.21</v>
      </c>
      <c r="D14">
        <v>24</v>
      </c>
      <c r="E14" s="84">
        <v>72.03</v>
      </c>
    </row>
    <row r="15" spans="1:5" x14ac:dyDescent="0.3">
      <c r="A15">
        <v>6.5</v>
      </c>
      <c r="B15">
        <v>0.56000000000000005</v>
      </c>
      <c r="D15">
        <v>39</v>
      </c>
      <c r="E15" s="84">
        <v>85.56</v>
      </c>
    </row>
    <row r="16" spans="1:5" x14ac:dyDescent="0.3">
      <c r="A16">
        <v>13.8</v>
      </c>
      <c r="B16">
        <v>0.65</v>
      </c>
      <c r="D16">
        <v>18</v>
      </c>
      <c r="E16" s="84">
        <v>75.38</v>
      </c>
    </row>
    <row r="17" spans="1:5" x14ac:dyDescent="0.3">
      <c r="A17">
        <v>17.8</v>
      </c>
      <c r="B17">
        <v>0.51</v>
      </c>
      <c r="D17">
        <v>29</v>
      </c>
      <c r="E17" s="84">
        <v>99.12</v>
      </c>
    </row>
    <row r="18" spans="1:5" x14ac:dyDescent="0.3">
      <c r="A18">
        <v>19.8</v>
      </c>
      <c r="B18">
        <v>1.1299999999999999</v>
      </c>
      <c r="D18">
        <v>30</v>
      </c>
      <c r="E18" s="84">
        <v>73.400000000000006</v>
      </c>
    </row>
    <row r="19" spans="1:5" x14ac:dyDescent="0.3">
      <c r="A19">
        <v>11.4</v>
      </c>
      <c r="B19">
        <v>0.95</v>
      </c>
      <c r="D19">
        <v>27</v>
      </c>
      <c r="E19" s="84">
        <v>82.11</v>
      </c>
    </row>
    <row r="20" spans="1:5" x14ac:dyDescent="0.3">
      <c r="A20">
        <v>13.7</v>
      </c>
      <c r="B20">
        <v>0.63</v>
      </c>
      <c r="D20">
        <v>32</v>
      </c>
      <c r="E20" s="84">
        <v>92.14</v>
      </c>
    </row>
    <row r="21" spans="1:5" x14ac:dyDescent="0.3">
      <c r="A21">
        <v>15.6</v>
      </c>
      <c r="B21">
        <v>1.46</v>
      </c>
      <c r="D21">
        <v>30</v>
      </c>
      <c r="E21" s="84">
        <v>91.14</v>
      </c>
    </row>
    <row r="22" spans="1:5" x14ac:dyDescent="0.3">
      <c r="A22">
        <v>17.8</v>
      </c>
      <c r="B22">
        <v>1.03</v>
      </c>
      <c r="D22">
        <v>39</v>
      </c>
      <c r="E22" s="84">
        <v>82.68</v>
      </c>
    </row>
    <row r="23" spans="1:5" x14ac:dyDescent="0.3">
      <c r="A23">
        <v>6.4</v>
      </c>
      <c r="B23">
        <v>0.74</v>
      </c>
      <c r="D23">
        <v>39</v>
      </c>
      <c r="E23" s="84">
        <v>80.400000000000006</v>
      </c>
    </row>
    <row r="24" spans="1:5" x14ac:dyDescent="0.3">
      <c r="A24">
        <v>6.4</v>
      </c>
      <c r="B24">
        <v>1</v>
      </c>
      <c r="D24">
        <v>38</v>
      </c>
      <c r="E24" s="84">
        <v>81.93</v>
      </c>
    </row>
    <row r="25" spans="1:5" x14ac:dyDescent="0.3">
      <c r="A25">
        <v>15.6</v>
      </c>
      <c r="B25">
        <v>1.18</v>
      </c>
      <c r="D25">
        <v>39</v>
      </c>
      <c r="E25" s="84">
        <v>77.930000000000007</v>
      </c>
    </row>
    <row r="26" spans="1:5" x14ac:dyDescent="0.3">
      <c r="A26">
        <v>15.5</v>
      </c>
      <c r="B26">
        <v>0.57999999999999996</v>
      </c>
      <c r="D26">
        <v>26</v>
      </c>
      <c r="E26" s="84">
        <v>76.16</v>
      </c>
    </row>
    <row r="27" spans="1:5" x14ac:dyDescent="0.3">
      <c r="A27">
        <v>11.4</v>
      </c>
      <c r="B27">
        <v>0.77</v>
      </c>
      <c r="D27">
        <v>26</v>
      </c>
      <c r="E27" s="84">
        <v>84.49</v>
      </c>
    </row>
    <row r="28" spans="1:5" x14ac:dyDescent="0.3">
      <c r="A28">
        <v>19.8</v>
      </c>
      <c r="B28">
        <v>1.31</v>
      </c>
      <c r="D28">
        <v>32</v>
      </c>
      <c r="E28" s="84">
        <v>78.06</v>
      </c>
    </row>
    <row r="29" spans="1:5" x14ac:dyDescent="0.3">
      <c r="A29">
        <v>6.4</v>
      </c>
      <c r="B29">
        <v>0.96</v>
      </c>
      <c r="D29">
        <v>27</v>
      </c>
      <c r="E29" s="84">
        <v>78.62</v>
      </c>
    </row>
    <row r="30" spans="1:5" x14ac:dyDescent="0.3">
      <c r="A30">
        <v>17.8</v>
      </c>
      <c r="B30">
        <v>1.05</v>
      </c>
      <c r="D30">
        <v>27</v>
      </c>
      <c r="E30" s="84">
        <v>89.7</v>
      </c>
    </row>
    <row r="31" spans="1:5" x14ac:dyDescent="0.3">
      <c r="A31">
        <v>13.6</v>
      </c>
      <c r="B31">
        <v>0.93</v>
      </c>
      <c r="D31">
        <v>25</v>
      </c>
      <c r="E31" s="84">
        <v>99.06</v>
      </c>
    </row>
    <row r="32" spans="1:5" x14ac:dyDescent="0.3">
      <c r="A32">
        <v>17.7</v>
      </c>
      <c r="B32">
        <v>0.54</v>
      </c>
      <c r="D32">
        <v>33</v>
      </c>
      <c r="E32" s="84">
        <v>88.11</v>
      </c>
    </row>
    <row r="33" spans="1:5" x14ac:dyDescent="0.3">
      <c r="A33">
        <v>9.1999999999999993</v>
      </c>
      <c r="B33">
        <v>0.67</v>
      </c>
      <c r="D33">
        <v>34</v>
      </c>
      <c r="E33" s="84">
        <v>72.31</v>
      </c>
    </row>
    <row r="34" spans="1:5" x14ac:dyDescent="0.3">
      <c r="A34">
        <v>9.1999999999999993</v>
      </c>
      <c r="B34">
        <v>0.95</v>
      </c>
      <c r="D34">
        <v>22</v>
      </c>
      <c r="E34" s="84">
        <v>72.27</v>
      </c>
    </row>
    <row r="35" spans="1:5" x14ac:dyDescent="0.3">
      <c r="A35">
        <v>15.5</v>
      </c>
      <c r="B35">
        <v>0.71</v>
      </c>
      <c r="D35">
        <v>21</v>
      </c>
      <c r="E35" s="84">
        <v>98.54</v>
      </c>
    </row>
    <row r="36" spans="1:5" x14ac:dyDescent="0.3">
      <c r="A36">
        <v>11.4</v>
      </c>
      <c r="B36">
        <v>0.55000000000000004</v>
      </c>
      <c r="D36">
        <v>35</v>
      </c>
      <c r="E36" s="84">
        <v>78.92</v>
      </c>
    </row>
    <row r="37" spans="1:5" x14ac:dyDescent="0.3">
      <c r="A37">
        <v>9.1999999999999993</v>
      </c>
      <c r="B37">
        <v>1.34</v>
      </c>
      <c r="D37">
        <v>36</v>
      </c>
      <c r="E37" s="84">
        <v>72.760000000000005</v>
      </c>
    </row>
    <row r="38" spans="1:5" x14ac:dyDescent="0.3">
      <c r="A38">
        <v>6.4</v>
      </c>
      <c r="B38">
        <v>1.48</v>
      </c>
      <c r="D38">
        <v>21</v>
      </c>
      <c r="E38" s="84">
        <v>87.97</v>
      </c>
    </row>
    <row r="39" spans="1:5" x14ac:dyDescent="0.3">
      <c r="A39">
        <v>17.5</v>
      </c>
      <c r="B39">
        <v>1.29</v>
      </c>
      <c r="D39">
        <v>24</v>
      </c>
      <c r="E39" s="84">
        <v>88.71</v>
      </c>
    </row>
    <row r="40" spans="1:5" x14ac:dyDescent="0.3">
      <c r="A40">
        <v>17.399999999999999</v>
      </c>
      <c r="B40">
        <v>1.35</v>
      </c>
      <c r="D40">
        <v>27</v>
      </c>
      <c r="E40" s="84">
        <v>89.46</v>
      </c>
    </row>
    <row r="41" spans="1:5" x14ac:dyDescent="0.3">
      <c r="A41">
        <v>15.5</v>
      </c>
      <c r="B41">
        <v>0.74</v>
      </c>
      <c r="D41">
        <v>35</v>
      </c>
      <c r="E41" s="84">
        <v>78.02</v>
      </c>
    </row>
    <row r="42" spans="1:5" x14ac:dyDescent="0.3">
      <c r="A42">
        <v>19.8</v>
      </c>
      <c r="B42">
        <v>1.46</v>
      </c>
      <c r="D42">
        <v>36</v>
      </c>
      <c r="E42" s="84">
        <v>70.45</v>
      </c>
    </row>
    <row r="43" spans="1:5" x14ac:dyDescent="0.3">
      <c r="A43">
        <v>19.600000000000001</v>
      </c>
      <c r="B43">
        <v>0.7</v>
      </c>
      <c r="D43">
        <v>21</v>
      </c>
      <c r="E43" s="84">
        <v>98.95</v>
      </c>
    </row>
    <row r="44" spans="1:5" x14ac:dyDescent="0.3">
      <c r="A44">
        <v>13.6</v>
      </c>
      <c r="B44">
        <v>1.45</v>
      </c>
      <c r="D44">
        <v>27</v>
      </c>
      <c r="E44" s="84">
        <v>77.53</v>
      </c>
    </row>
    <row r="45" spans="1:5" x14ac:dyDescent="0.3">
      <c r="A45">
        <v>15.5</v>
      </c>
      <c r="B45">
        <v>1.49</v>
      </c>
      <c r="D45">
        <v>18</v>
      </c>
      <c r="E45" s="84">
        <v>90.28</v>
      </c>
    </row>
    <row r="46" spans="1:5" x14ac:dyDescent="0.3">
      <c r="A46">
        <v>13.6</v>
      </c>
      <c r="B46">
        <v>1.21</v>
      </c>
      <c r="D46">
        <v>35</v>
      </c>
      <c r="E46" s="84">
        <v>91.2</v>
      </c>
    </row>
    <row r="47" spans="1:5" x14ac:dyDescent="0.3">
      <c r="A47">
        <v>19.600000000000001</v>
      </c>
      <c r="B47">
        <v>1.48</v>
      </c>
      <c r="D47">
        <v>22</v>
      </c>
      <c r="E47" s="84">
        <v>88.3</v>
      </c>
    </row>
    <row r="48" spans="1:5" x14ac:dyDescent="0.3">
      <c r="A48">
        <v>15.5</v>
      </c>
      <c r="B48">
        <v>1.07</v>
      </c>
      <c r="D48">
        <v>32</v>
      </c>
      <c r="E48" s="84">
        <v>79.39</v>
      </c>
    </row>
    <row r="49" spans="1:5" x14ac:dyDescent="0.3">
      <c r="A49">
        <v>15.5</v>
      </c>
      <c r="B49">
        <v>0.76</v>
      </c>
      <c r="D49">
        <v>34</v>
      </c>
      <c r="E49" s="84">
        <v>78.13</v>
      </c>
    </row>
    <row r="50" spans="1:5" x14ac:dyDescent="0.3">
      <c r="A50">
        <v>15.4</v>
      </c>
      <c r="B50">
        <v>0.94</v>
      </c>
      <c r="D50">
        <v>20</v>
      </c>
      <c r="E50" s="84">
        <v>87.93</v>
      </c>
    </row>
    <row r="51" spans="1:5" x14ac:dyDescent="0.3">
      <c r="A51">
        <v>19.5</v>
      </c>
      <c r="B51">
        <v>1.0900000000000001</v>
      </c>
      <c r="D51">
        <v>29</v>
      </c>
      <c r="E51" s="84">
        <v>95.98</v>
      </c>
    </row>
    <row r="52" spans="1:5" x14ac:dyDescent="0.3">
      <c r="A52">
        <v>13.4</v>
      </c>
      <c r="B52">
        <v>0.56999999999999995</v>
      </c>
      <c r="D52">
        <v>19</v>
      </c>
      <c r="E52" s="84">
        <v>98.4</v>
      </c>
    </row>
    <row r="53" spans="1:5" x14ac:dyDescent="0.3">
      <c r="A53">
        <v>13.4</v>
      </c>
      <c r="B53">
        <v>1.1200000000000001</v>
      </c>
      <c r="D53">
        <v>18</v>
      </c>
      <c r="E53" s="84">
        <v>73.180000000000007</v>
      </c>
    </row>
    <row r="54" spans="1:5" x14ac:dyDescent="0.3">
      <c r="A54">
        <v>15.4</v>
      </c>
      <c r="B54">
        <v>1.48</v>
      </c>
      <c r="D54">
        <v>38</v>
      </c>
      <c r="E54" s="84">
        <v>74.64</v>
      </c>
    </row>
    <row r="55" spans="1:5" x14ac:dyDescent="0.3">
      <c r="A55">
        <v>9.1999999999999993</v>
      </c>
      <c r="B55">
        <v>0.69</v>
      </c>
      <c r="D55">
        <v>34</v>
      </c>
      <c r="E55" s="84">
        <v>98.34</v>
      </c>
    </row>
    <row r="56" spans="1:5" x14ac:dyDescent="0.3">
      <c r="A56">
        <v>11.3</v>
      </c>
      <c r="B56">
        <v>1.29</v>
      </c>
      <c r="D56">
        <v>39</v>
      </c>
      <c r="E56" s="84">
        <v>92.1</v>
      </c>
    </row>
    <row r="57" spans="1:5" x14ac:dyDescent="0.3">
      <c r="A57">
        <v>19.5</v>
      </c>
      <c r="B57">
        <v>1.41</v>
      </c>
      <c r="D57">
        <v>33</v>
      </c>
      <c r="E57" s="84">
        <v>96.49</v>
      </c>
    </row>
    <row r="58" spans="1:5" x14ac:dyDescent="0.3">
      <c r="A58">
        <v>11.3</v>
      </c>
      <c r="B58">
        <v>1.44</v>
      </c>
      <c r="D58">
        <v>22</v>
      </c>
      <c r="E58" s="84">
        <v>76.08</v>
      </c>
    </row>
    <row r="59" spans="1:5" x14ac:dyDescent="0.3">
      <c r="A59">
        <v>11.2</v>
      </c>
      <c r="B59">
        <v>1.46</v>
      </c>
      <c r="D59">
        <v>32</v>
      </c>
      <c r="E59" s="84">
        <v>87.63</v>
      </c>
    </row>
    <row r="60" spans="1:5" x14ac:dyDescent="0.3">
      <c r="A60">
        <v>13.3</v>
      </c>
      <c r="B60">
        <v>1.02</v>
      </c>
      <c r="D60">
        <v>20</v>
      </c>
      <c r="E60" s="84">
        <v>91.03</v>
      </c>
    </row>
    <row r="61" spans="1:5" x14ac:dyDescent="0.3">
      <c r="A61">
        <v>13.3</v>
      </c>
      <c r="B61">
        <v>1.48</v>
      </c>
      <c r="D61">
        <v>24</v>
      </c>
      <c r="E61" s="84">
        <v>90.4</v>
      </c>
    </row>
    <row r="62" spans="1:5" x14ac:dyDescent="0.3">
      <c r="A62">
        <v>9.1999999999999993</v>
      </c>
      <c r="B62">
        <v>1.26</v>
      </c>
      <c r="D62">
        <v>28</v>
      </c>
      <c r="E62" s="84">
        <v>82.24</v>
      </c>
    </row>
    <row r="63" spans="1:5" x14ac:dyDescent="0.3">
      <c r="A63">
        <v>11.1</v>
      </c>
      <c r="B63">
        <v>0.66</v>
      </c>
      <c r="D63">
        <v>27</v>
      </c>
      <c r="E63" s="84">
        <v>70.459999999999994</v>
      </c>
    </row>
    <row r="64" spans="1:5" x14ac:dyDescent="0.3">
      <c r="A64">
        <v>11</v>
      </c>
      <c r="B64">
        <v>0.98</v>
      </c>
      <c r="D64">
        <v>26</v>
      </c>
      <c r="E64" s="84">
        <v>87.49</v>
      </c>
    </row>
    <row r="65" spans="1:5" x14ac:dyDescent="0.3">
      <c r="A65">
        <v>15.4</v>
      </c>
      <c r="B65">
        <v>1.22</v>
      </c>
      <c r="D65">
        <v>31</v>
      </c>
      <c r="E65" s="84">
        <v>77.59</v>
      </c>
    </row>
    <row r="66" spans="1:5" x14ac:dyDescent="0.3">
      <c r="A66">
        <v>13.2</v>
      </c>
      <c r="B66">
        <v>0.75</v>
      </c>
      <c r="D66">
        <v>30</v>
      </c>
      <c r="E66" s="84">
        <v>83.51</v>
      </c>
    </row>
    <row r="67" spans="1:5" x14ac:dyDescent="0.3">
      <c r="A67">
        <v>10.8</v>
      </c>
      <c r="B67">
        <v>1.1399999999999999</v>
      </c>
      <c r="D67">
        <v>19</v>
      </c>
      <c r="E67" s="84">
        <v>98.73</v>
      </c>
    </row>
    <row r="68" spans="1:5" x14ac:dyDescent="0.3">
      <c r="A68">
        <v>17.3</v>
      </c>
      <c r="B68">
        <v>1.17</v>
      </c>
      <c r="D68">
        <v>20</v>
      </c>
      <c r="E68" s="84">
        <v>81.97</v>
      </c>
    </row>
    <row r="69" spans="1:5" x14ac:dyDescent="0.3">
      <c r="A69">
        <v>9.1</v>
      </c>
      <c r="B69">
        <v>0.66</v>
      </c>
      <c r="D69">
        <v>24</v>
      </c>
      <c r="E69" s="84">
        <v>95.19</v>
      </c>
    </row>
    <row r="70" spans="1:5" x14ac:dyDescent="0.3">
      <c r="A70">
        <v>17.3</v>
      </c>
      <c r="B70">
        <v>1.07</v>
      </c>
      <c r="D70">
        <v>38</v>
      </c>
      <c r="E70" s="84">
        <v>75.66</v>
      </c>
    </row>
    <row r="71" spans="1:5" x14ac:dyDescent="0.3">
      <c r="A71">
        <v>17.3</v>
      </c>
      <c r="B71">
        <v>1.27</v>
      </c>
      <c r="D71">
        <v>35</v>
      </c>
      <c r="E71" s="84">
        <v>90.17</v>
      </c>
    </row>
    <row r="72" spans="1:5" x14ac:dyDescent="0.3">
      <c r="A72">
        <v>19.5</v>
      </c>
      <c r="B72">
        <v>1</v>
      </c>
      <c r="D72">
        <v>20</v>
      </c>
      <c r="E72" s="84">
        <v>99.31</v>
      </c>
    </row>
    <row r="73" spans="1:5" x14ac:dyDescent="0.3">
      <c r="A73">
        <v>19.5</v>
      </c>
      <c r="B73">
        <v>0.51</v>
      </c>
      <c r="D73">
        <v>27</v>
      </c>
      <c r="E73" s="84">
        <v>73.06</v>
      </c>
    </row>
    <row r="74" spans="1:5" x14ac:dyDescent="0.3">
      <c r="A74">
        <v>8.8000000000000007</v>
      </c>
      <c r="B74">
        <v>0.51</v>
      </c>
      <c r="D74">
        <v>39</v>
      </c>
      <c r="E74" s="84">
        <v>70.25</v>
      </c>
    </row>
    <row r="75" spans="1:5" x14ac:dyDescent="0.3">
      <c r="A75">
        <v>17.2</v>
      </c>
      <c r="B75">
        <v>0.86</v>
      </c>
      <c r="D75">
        <v>24</v>
      </c>
      <c r="E75" s="84">
        <v>83.01</v>
      </c>
    </row>
    <row r="76" spans="1:5" x14ac:dyDescent="0.3">
      <c r="A76">
        <v>10.8</v>
      </c>
      <c r="B76">
        <v>1.43</v>
      </c>
      <c r="D76">
        <v>26</v>
      </c>
      <c r="E76" s="84">
        <v>72.78</v>
      </c>
    </row>
    <row r="77" spans="1:5" x14ac:dyDescent="0.3">
      <c r="A77">
        <v>13.2</v>
      </c>
      <c r="B77">
        <v>0.73</v>
      </c>
      <c r="D77">
        <v>34</v>
      </c>
      <c r="E77" s="84">
        <v>92.45</v>
      </c>
    </row>
    <row r="78" spans="1:5" x14ac:dyDescent="0.3">
      <c r="A78">
        <v>8.6999999999999993</v>
      </c>
      <c r="B78">
        <v>1.1299999999999999</v>
      </c>
      <c r="D78">
        <v>28</v>
      </c>
      <c r="E78" s="84">
        <v>97.44</v>
      </c>
    </row>
    <row r="79" spans="1:5" x14ac:dyDescent="0.3">
      <c r="A79">
        <v>15.3</v>
      </c>
      <c r="B79">
        <v>0.72</v>
      </c>
      <c r="D79">
        <v>24</v>
      </c>
      <c r="E79" s="84">
        <v>83.02</v>
      </c>
    </row>
    <row r="80" spans="1:5" x14ac:dyDescent="0.3">
      <c r="A80">
        <v>17.2</v>
      </c>
      <c r="B80">
        <v>0.82</v>
      </c>
      <c r="D80">
        <v>31</v>
      </c>
      <c r="E80" s="84">
        <v>77.760000000000005</v>
      </c>
    </row>
    <row r="81" spans="1:5" x14ac:dyDescent="0.3">
      <c r="A81">
        <v>8.4</v>
      </c>
      <c r="B81">
        <v>1.35</v>
      </c>
      <c r="D81">
        <v>36</v>
      </c>
      <c r="E81" s="84">
        <v>83.03</v>
      </c>
    </row>
    <row r="82" spans="1:5" x14ac:dyDescent="0.3">
      <c r="A82">
        <v>6.3</v>
      </c>
      <c r="B82">
        <v>1.23</v>
      </c>
      <c r="D82">
        <v>21</v>
      </c>
      <c r="E82" s="84">
        <v>91.7</v>
      </c>
    </row>
    <row r="83" spans="1:5" x14ac:dyDescent="0.3">
      <c r="A83">
        <v>6.3</v>
      </c>
      <c r="B83">
        <v>0.6</v>
      </c>
      <c r="D83">
        <v>23</v>
      </c>
      <c r="E83" s="84">
        <v>70.27</v>
      </c>
    </row>
    <row r="84" spans="1:5" x14ac:dyDescent="0.3">
      <c r="A84">
        <v>19.399999999999999</v>
      </c>
      <c r="B84">
        <v>0.93</v>
      </c>
      <c r="D84">
        <v>27</v>
      </c>
      <c r="E84" s="84">
        <v>87.68</v>
      </c>
    </row>
    <row r="85" spans="1:5" x14ac:dyDescent="0.3">
      <c r="A85">
        <v>13.2</v>
      </c>
      <c r="B85">
        <v>0.53</v>
      </c>
      <c r="D85">
        <v>24</v>
      </c>
      <c r="E85" s="84">
        <v>88.4</v>
      </c>
    </row>
    <row r="86" spans="1:5" x14ac:dyDescent="0.3">
      <c r="A86">
        <v>10.8</v>
      </c>
      <c r="B86">
        <v>0.98</v>
      </c>
      <c r="D86">
        <v>30</v>
      </c>
      <c r="E86" s="84">
        <v>89.13</v>
      </c>
    </row>
    <row r="87" spans="1:5" x14ac:dyDescent="0.3">
      <c r="A87">
        <v>13.1</v>
      </c>
      <c r="B87">
        <v>1.1599999999999999</v>
      </c>
      <c r="D87">
        <v>31</v>
      </c>
      <c r="E87" s="84">
        <v>77.260000000000005</v>
      </c>
    </row>
    <row r="88" spans="1:5" x14ac:dyDescent="0.3">
      <c r="A88">
        <v>13.1</v>
      </c>
      <c r="B88">
        <v>0.62</v>
      </c>
      <c r="D88">
        <v>21</v>
      </c>
      <c r="E88" s="84">
        <v>91.42</v>
      </c>
    </row>
    <row r="89" spans="1:5" x14ac:dyDescent="0.3">
      <c r="A89">
        <v>13</v>
      </c>
      <c r="B89">
        <v>0.79</v>
      </c>
      <c r="D89">
        <v>25</v>
      </c>
      <c r="E89" s="84">
        <v>72.739999999999995</v>
      </c>
    </row>
    <row r="90" spans="1:5" x14ac:dyDescent="0.3">
      <c r="A90">
        <v>13</v>
      </c>
      <c r="B90">
        <v>0.9</v>
      </c>
      <c r="D90">
        <v>22</v>
      </c>
      <c r="E90" s="84">
        <v>75.98</v>
      </c>
    </row>
    <row r="91" spans="1:5" x14ac:dyDescent="0.3">
      <c r="A91">
        <v>15.2</v>
      </c>
      <c r="B91">
        <v>1.42</v>
      </c>
      <c r="D91">
        <v>18</v>
      </c>
      <c r="E91" s="84">
        <v>96.32</v>
      </c>
    </row>
    <row r="92" spans="1:5" x14ac:dyDescent="0.3">
      <c r="A92">
        <v>15.1</v>
      </c>
      <c r="B92">
        <v>1.49</v>
      </c>
      <c r="D92">
        <v>21</v>
      </c>
      <c r="E92" s="84">
        <v>92.16</v>
      </c>
    </row>
    <row r="93" spans="1:5" x14ac:dyDescent="0.3">
      <c r="A93">
        <v>19.399999999999999</v>
      </c>
      <c r="B93">
        <v>0.54</v>
      </c>
      <c r="D93">
        <v>20</v>
      </c>
      <c r="E93" s="84">
        <v>70.41</v>
      </c>
    </row>
    <row r="94" spans="1:5" x14ac:dyDescent="0.3">
      <c r="A94">
        <v>8.1999999999999993</v>
      </c>
      <c r="B94">
        <v>1.26</v>
      </c>
      <c r="D94">
        <v>26</v>
      </c>
      <c r="E94" s="84">
        <v>77.45</v>
      </c>
    </row>
    <row r="95" spans="1:5" x14ac:dyDescent="0.3">
      <c r="A95">
        <v>6.3</v>
      </c>
      <c r="B95">
        <v>0.87</v>
      </c>
      <c r="D95">
        <v>25</v>
      </c>
      <c r="E95" s="84">
        <v>76.430000000000007</v>
      </c>
    </row>
    <row r="96" spans="1:5" x14ac:dyDescent="0.3">
      <c r="A96">
        <v>12.9</v>
      </c>
      <c r="B96">
        <v>0.89</v>
      </c>
      <c r="D96">
        <v>18</v>
      </c>
      <c r="E96" s="84">
        <v>78.12</v>
      </c>
    </row>
    <row r="97" spans="1:5" x14ac:dyDescent="0.3">
      <c r="A97">
        <v>19.399999999999999</v>
      </c>
      <c r="B97">
        <v>1.25</v>
      </c>
      <c r="D97">
        <v>23</v>
      </c>
      <c r="E97" s="84">
        <v>77.430000000000007</v>
      </c>
    </row>
    <row r="98" spans="1:5" x14ac:dyDescent="0.3">
      <c r="A98">
        <v>7.9</v>
      </c>
      <c r="B98">
        <v>1.42</v>
      </c>
      <c r="D98">
        <v>26</v>
      </c>
      <c r="E98" s="84">
        <v>71.88</v>
      </c>
    </row>
    <row r="99" spans="1:5" x14ac:dyDescent="0.3">
      <c r="A99">
        <v>6.3</v>
      </c>
      <c r="B99">
        <v>1.45</v>
      </c>
      <c r="D99">
        <v>24</v>
      </c>
      <c r="E99" s="84">
        <v>83.77</v>
      </c>
    </row>
    <row r="100" spans="1:5" x14ac:dyDescent="0.3">
      <c r="A100">
        <v>17.2</v>
      </c>
      <c r="B100">
        <v>1.08</v>
      </c>
      <c r="D100">
        <v>21</v>
      </c>
      <c r="E100" s="84">
        <v>91.98</v>
      </c>
    </row>
    <row r="101" spans="1:5" x14ac:dyDescent="0.3">
      <c r="A101">
        <v>10.8</v>
      </c>
      <c r="B101">
        <v>0.86</v>
      </c>
      <c r="D101">
        <v>30</v>
      </c>
      <c r="E101" s="84">
        <v>88.2</v>
      </c>
    </row>
    <row r="102" spans="1:5" x14ac:dyDescent="0.3">
      <c r="A102">
        <v>14.9</v>
      </c>
      <c r="B102">
        <v>1.29</v>
      </c>
      <c r="D102">
        <v>34</v>
      </c>
      <c r="E102" s="84">
        <v>90.19</v>
      </c>
    </row>
    <row r="103" spans="1:5" x14ac:dyDescent="0.3">
      <c r="A103">
        <v>17.2</v>
      </c>
      <c r="B103">
        <v>0.75</v>
      </c>
      <c r="D103">
        <v>19</v>
      </c>
      <c r="E103" s="84">
        <v>72.430000000000007</v>
      </c>
    </row>
    <row r="104" spans="1:5" x14ac:dyDescent="0.3">
      <c r="A104">
        <v>6.2</v>
      </c>
      <c r="B104">
        <v>1.06</v>
      </c>
      <c r="D104">
        <v>22</v>
      </c>
      <c r="E104" s="84">
        <v>98.54</v>
      </c>
    </row>
    <row r="105" spans="1:5" x14ac:dyDescent="0.3">
      <c r="A105">
        <v>17.2</v>
      </c>
      <c r="B105">
        <v>0.86</v>
      </c>
      <c r="D105">
        <v>29</v>
      </c>
      <c r="E105" s="84">
        <v>95.15</v>
      </c>
    </row>
    <row r="106" spans="1:5" x14ac:dyDescent="0.3">
      <c r="A106">
        <v>10.6</v>
      </c>
      <c r="B106">
        <v>1.1599999999999999</v>
      </c>
      <c r="D106">
        <v>38</v>
      </c>
      <c r="E106" s="84">
        <v>94.15</v>
      </c>
    </row>
    <row r="107" spans="1:5" x14ac:dyDescent="0.3">
      <c r="A107">
        <v>19.399999999999999</v>
      </c>
      <c r="B107">
        <v>0.74</v>
      </c>
      <c r="D107">
        <v>25</v>
      </c>
      <c r="E107" s="84">
        <v>94.69</v>
      </c>
    </row>
    <row r="108" spans="1:5" x14ac:dyDescent="0.3">
      <c r="A108">
        <v>6.2</v>
      </c>
      <c r="B108">
        <v>0.69</v>
      </c>
      <c r="D108">
        <v>23</v>
      </c>
      <c r="E108" s="84">
        <v>97.98</v>
      </c>
    </row>
    <row r="109" spans="1:5" x14ac:dyDescent="0.3">
      <c r="A109">
        <v>17.100000000000001</v>
      </c>
      <c r="B109">
        <v>1.42</v>
      </c>
      <c r="D109">
        <v>25</v>
      </c>
      <c r="E109" s="84">
        <v>86.33</v>
      </c>
    </row>
    <row r="110" spans="1:5" x14ac:dyDescent="0.3">
      <c r="A110">
        <v>14.9</v>
      </c>
      <c r="B110">
        <v>0.6</v>
      </c>
      <c r="D110">
        <v>35</v>
      </c>
      <c r="E110" s="84">
        <v>76.010000000000005</v>
      </c>
    </row>
    <row r="111" spans="1:5" x14ac:dyDescent="0.3">
      <c r="A111">
        <v>14.7</v>
      </c>
      <c r="B111">
        <v>1.01</v>
      </c>
      <c r="D111">
        <v>20</v>
      </c>
      <c r="E111" s="84">
        <v>88.5</v>
      </c>
    </row>
    <row r="112" spans="1:5" x14ac:dyDescent="0.3">
      <c r="A112">
        <v>7.8</v>
      </c>
      <c r="B112">
        <v>0.72</v>
      </c>
      <c r="D112">
        <v>39</v>
      </c>
      <c r="E112" s="84">
        <v>92.29</v>
      </c>
    </row>
    <row r="113" spans="1:5" x14ac:dyDescent="0.3">
      <c r="A113">
        <v>17.100000000000001</v>
      </c>
      <c r="B113">
        <v>0.54</v>
      </c>
      <c r="D113">
        <v>29</v>
      </c>
      <c r="E113" s="84">
        <v>92.14</v>
      </c>
    </row>
    <row r="114" spans="1:5" x14ac:dyDescent="0.3">
      <c r="A114">
        <v>12.8</v>
      </c>
      <c r="B114">
        <v>0.54</v>
      </c>
      <c r="D114">
        <v>20</v>
      </c>
      <c r="E114" s="84">
        <v>85.64</v>
      </c>
    </row>
    <row r="115" spans="1:5" x14ac:dyDescent="0.3">
      <c r="A115">
        <v>17.100000000000001</v>
      </c>
      <c r="B115">
        <v>0.68</v>
      </c>
      <c r="D115">
        <v>39</v>
      </c>
      <c r="E115" s="84">
        <v>72.05</v>
      </c>
    </row>
    <row r="116" spans="1:5" x14ac:dyDescent="0.3">
      <c r="A116">
        <v>19.3</v>
      </c>
      <c r="B116">
        <v>1.37</v>
      </c>
      <c r="D116">
        <v>23</v>
      </c>
      <c r="E116" s="84">
        <v>81.13</v>
      </c>
    </row>
    <row r="117" spans="1:5" x14ac:dyDescent="0.3">
      <c r="A117">
        <v>6.2</v>
      </c>
      <c r="B117">
        <v>0.78</v>
      </c>
      <c r="D117">
        <v>19</v>
      </c>
      <c r="E117" s="84">
        <v>97.62</v>
      </c>
    </row>
    <row r="118" spans="1:5" x14ac:dyDescent="0.3">
      <c r="A118">
        <v>6.1</v>
      </c>
      <c r="B118">
        <v>1.45</v>
      </c>
      <c r="D118">
        <v>29</v>
      </c>
      <c r="E118" s="84">
        <v>87.53</v>
      </c>
    </row>
    <row r="119" spans="1:5" x14ac:dyDescent="0.3">
      <c r="A119">
        <v>19.3</v>
      </c>
      <c r="B119">
        <v>1.08</v>
      </c>
      <c r="D119">
        <v>19</v>
      </c>
      <c r="E119" s="84">
        <v>86.15</v>
      </c>
    </row>
    <row r="120" spans="1:5" x14ac:dyDescent="0.3">
      <c r="A120">
        <v>17</v>
      </c>
      <c r="B120">
        <v>0.94</v>
      </c>
      <c r="D120">
        <v>23</v>
      </c>
      <c r="E120" s="84">
        <v>78.069999999999993</v>
      </c>
    </row>
    <row r="121" spans="1:5" x14ac:dyDescent="0.3">
      <c r="A121">
        <v>19.3</v>
      </c>
      <c r="B121">
        <v>1.08</v>
      </c>
      <c r="D121">
        <v>34</v>
      </c>
      <c r="E121" s="84">
        <v>81.05</v>
      </c>
    </row>
    <row r="122" spans="1:5" x14ac:dyDescent="0.3">
      <c r="A122">
        <v>10.6</v>
      </c>
      <c r="B122">
        <v>1.02</v>
      </c>
      <c r="D122">
        <v>20</v>
      </c>
      <c r="E122" s="84">
        <v>96.86</v>
      </c>
    </row>
    <row r="123" spans="1:5" x14ac:dyDescent="0.3">
      <c r="A123">
        <v>19.3</v>
      </c>
      <c r="B123">
        <v>1.26</v>
      </c>
      <c r="D123">
        <v>19</v>
      </c>
      <c r="E123" s="84">
        <v>89.99</v>
      </c>
    </row>
    <row r="124" spans="1:5" x14ac:dyDescent="0.3">
      <c r="A124">
        <v>14.7</v>
      </c>
      <c r="B124">
        <v>0.78</v>
      </c>
      <c r="D124">
        <v>37</v>
      </c>
      <c r="E124" s="84">
        <v>93.62</v>
      </c>
    </row>
    <row r="125" spans="1:5" x14ac:dyDescent="0.3">
      <c r="A125">
        <v>19.3</v>
      </c>
      <c r="B125">
        <v>0.85</v>
      </c>
      <c r="D125">
        <v>25</v>
      </c>
      <c r="E125" s="84">
        <v>83.63</v>
      </c>
    </row>
    <row r="126" spans="1:5" x14ac:dyDescent="0.3">
      <c r="A126">
        <v>6.1</v>
      </c>
      <c r="B126">
        <v>1.39</v>
      </c>
      <c r="D126">
        <v>39</v>
      </c>
      <c r="E126" s="84">
        <v>88.91</v>
      </c>
    </row>
    <row r="127" spans="1:5" x14ac:dyDescent="0.3">
      <c r="A127">
        <v>14.6</v>
      </c>
      <c r="B127">
        <v>1.45</v>
      </c>
      <c r="D127">
        <v>29</v>
      </c>
      <c r="E127" s="84">
        <v>77.45</v>
      </c>
    </row>
    <row r="128" spans="1:5" x14ac:dyDescent="0.3">
      <c r="A128">
        <v>6.1</v>
      </c>
      <c r="B128">
        <v>1.39</v>
      </c>
      <c r="D128">
        <v>21</v>
      </c>
      <c r="E128" s="84">
        <v>91.16</v>
      </c>
    </row>
    <row r="129" spans="1:5" x14ac:dyDescent="0.3">
      <c r="A129">
        <v>7.7</v>
      </c>
      <c r="B129">
        <v>0.92</v>
      </c>
      <c r="D129">
        <v>22</v>
      </c>
      <c r="E129" s="84">
        <v>82.83</v>
      </c>
    </row>
    <row r="130" spans="1:5" x14ac:dyDescent="0.3">
      <c r="A130">
        <v>12.8</v>
      </c>
      <c r="B130">
        <v>1.28</v>
      </c>
      <c r="D130">
        <v>30</v>
      </c>
      <c r="E130" s="84">
        <v>83.28</v>
      </c>
    </row>
    <row r="131" spans="1:5" x14ac:dyDescent="0.3">
      <c r="A131">
        <v>6.1</v>
      </c>
      <c r="B131">
        <v>0.98</v>
      </c>
      <c r="D131">
        <v>32</v>
      </c>
      <c r="E131" s="84">
        <v>89.48</v>
      </c>
    </row>
    <row r="132" spans="1:5" x14ac:dyDescent="0.3">
      <c r="A132">
        <v>14.6</v>
      </c>
      <c r="B132">
        <v>1</v>
      </c>
      <c r="D132">
        <v>33</v>
      </c>
      <c r="E132" s="84">
        <v>98.09</v>
      </c>
    </row>
    <row r="133" spans="1:5" x14ac:dyDescent="0.3">
      <c r="A133">
        <v>7.6</v>
      </c>
      <c r="B133">
        <v>0.7</v>
      </c>
      <c r="D133">
        <v>27</v>
      </c>
      <c r="E133" s="84">
        <v>71.92</v>
      </c>
    </row>
    <row r="134" spans="1:5" x14ac:dyDescent="0.3">
      <c r="A134">
        <v>6</v>
      </c>
      <c r="B134">
        <v>1.0900000000000001</v>
      </c>
      <c r="D134">
        <v>33</v>
      </c>
      <c r="E134" s="84">
        <v>94.74</v>
      </c>
    </row>
    <row r="135" spans="1:5" x14ac:dyDescent="0.3">
      <c r="A135">
        <v>10.6</v>
      </c>
      <c r="B135">
        <v>0.69</v>
      </c>
      <c r="D135">
        <v>29</v>
      </c>
      <c r="E135" s="84">
        <v>78.77</v>
      </c>
    </row>
    <row r="136" spans="1:5" x14ac:dyDescent="0.3">
      <c r="A136">
        <v>19.2</v>
      </c>
      <c r="B136">
        <v>0.83</v>
      </c>
      <c r="D136">
        <v>34</v>
      </c>
      <c r="E136" s="84">
        <v>83.32</v>
      </c>
    </row>
    <row r="137" spans="1:5" x14ac:dyDescent="0.3">
      <c r="A137">
        <v>12.8</v>
      </c>
      <c r="B137">
        <v>1.36</v>
      </c>
      <c r="D137">
        <v>33</v>
      </c>
      <c r="E137" s="84">
        <v>70.66</v>
      </c>
    </row>
    <row r="138" spans="1:5" x14ac:dyDescent="0.3">
      <c r="A138">
        <v>5.9</v>
      </c>
      <c r="B138">
        <v>0.71</v>
      </c>
      <c r="D138">
        <v>29</v>
      </c>
      <c r="E138" s="84">
        <v>79.03</v>
      </c>
    </row>
    <row r="139" spans="1:5" x14ac:dyDescent="0.3">
      <c r="A139">
        <v>7.6</v>
      </c>
      <c r="B139">
        <v>0.56999999999999995</v>
      </c>
      <c r="D139">
        <v>25</v>
      </c>
      <c r="E139" s="84">
        <v>85.08</v>
      </c>
    </row>
    <row r="140" spans="1:5" x14ac:dyDescent="0.3">
      <c r="A140">
        <v>10.6</v>
      </c>
      <c r="B140">
        <v>0.56999999999999995</v>
      </c>
      <c r="D140">
        <v>37</v>
      </c>
      <c r="E140" s="84">
        <v>71.69</v>
      </c>
    </row>
    <row r="141" spans="1:5" x14ac:dyDescent="0.3">
      <c r="A141">
        <v>16.899999999999999</v>
      </c>
      <c r="B141">
        <v>1.44</v>
      </c>
      <c r="D141">
        <v>20</v>
      </c>
      <c r="E141" s="84">
        <v>84.73</v>
      </c>
    </row>
    <row r="142" spans="1:5" x14ac:dyDescent="0.3">
      <c r="A142">
        <v>7.5</v>
      </c>
      <c r="B142">
        <v>1.01</v>
      </c>
      <c r="D142">
        <v>33</v>
      </c>
      <c r="E142" s="84">
        <v>97.81</v>
      </c>
    </row>
    <row r="143" spans="1:5" x14ac:dyDescent="0.3">
      <c r="A143">
        <v>19.2</v>
      </c>
      <c r="B143">
        <v>0.91</v>
      </c>
      <c r="D143">
        <v>30</v>
      </c>
      <c r="E143" s="84">
        <v>73.16</v>
      </c>
    </row>
    <row r="144" spans="1:5" x14ac:dyDescent="0.3">
      <c r="A144">
        <v>7.4</v>
      </c>
      <c r="B144">
        <v>1.31</v>
      </c>
      <c r="D144">
        <v>36</v>
      </c>
      <c r="E144" s="84">
        <v>92.93</v>
      </c>
    </row>
    <row r="145" spans="1:5" x14ac:dyDescent="0.3">
      <c r="A145">
        <v>10.6</v>
      </c>
      <c r="B145">
        <v>1.34</v>
      </c>
      <c r="D145">
        <v>25</v>
      </c>
      <c r="E145" s="84">
        <v>82.29</v>
      </c>
    </row>
    <row r="146" spans="1:5" x14ac:dyDescent="0.3">
      <c r="A146">
        <v>7.4</v>
      </c>
      <c r="B146">
        <v>0.83</v>
      </c>
      <c r="D146">
        <v>39</v>
      </c>
      <c r="E146" s="84">
        <v>89.66</v>
      </c>
    </row>
    <row r="147" spans="1:5" x14ac:dyDescent="0.3">
      <c r="A147">
        <v>10.6</v>
      </c>
      <c r="B147">
        <v>1.19</v>
      </c>
      <c r="D147">
        <v>22</v>
      </c>
      <c r="E147" s="84">
        <v>77.81</v>
      </c>
    </row>
    <row r="148" spans="1:5" x14ac:dyDescent="0.3">
      <c r="A148">
        <v>5.8</v>
      </c>
      <c r="B148">
        <v>1.27</v>
      </c>
      <c r="D148">
        <v>37</v>
      </c>
      <c r="E148" s="84">
        <v>74.78</v>
      </c>
    </row>
    <row r="149" spans="1:5" x14ac:dyDescent="0.3">
      <c r="A149">
        <v>10.6</v>
      </c>
      <c r="B149">
        <v>1.1499999999999999</v>
      </c>
      <c r="D149">
        <v>25</v>
      </c>
      <c r="E149" s="84">
        <v>74.81</v>
      </c>
    </row>
    <row r="150" spans="1:5" x14ac:dyDescent="0.3">
      <c r="A150">
        <v>10.6</v>
      </c>
      <c r="B150">
        <v>0.65</v>
      </c>
      <c r="D150">
        <v>29</v>
      </c>
      <c r="E150" s="84">
        <v>72.11</v>
      </c>
    </row>
    <row r="151" spans="1:5" x14ac:dyDescent="0.3">
      <c r="A151">
        <v>12.7</v>
      </c>
      <c r="B151">
        <v>1.38</v>
      </c>
      <c r="D151">
        <v>18</v>
      </c>
      <c r="E151" s="84">
        <v>75.569999999999993</v>
      </c>
    </row>
    <row r="152" spans="1:5" x14ac:dyDescent="0.3">
      <c r="A152">
        <v>10.6</v>
      </c>
      <c r="B152">
        <v>1.04</v>
      </c>
      <c r="D152">
        <v>38</v>
      </c>
      <c r="E152" s="84">
        <v>89.93</v>
      </c>
    </row>
    <row r="153" spans="1:5" x14ac:dyDescent="0.3">
      <c r="A153">
        <v>10.4</v>
      </c>
      <c r="B153">
        <v>0.78</v>
      </c>
      <c r="D153">
        <v>37</v>
      </c>
      <c r="E153" s="84">
        <v>96.45</v>
      </c>
    </row>
    <row r="154" spans="1:5" x14ac:dyDescent="0.3">
      <c r="A154">
        <v>16.899999999999999</v>
      </c>
      <c r="B154">
        <v>0.93</v>
      </c>
      <c r="D154">
        <v>23</v>
      </c>
      <c r="E154" s="84">
        <v>94.42</v>
      </c>
    </row>
    <row r="155" spans="1:5" x14ac:dyDescent="0.3">
      <c r="A155">
        <v>5.8</v>
      </c>
      <c r="B155">
        <v>0.54</v>
      </c>
      <c r="D155">
        <v>39</v>
      </c>
      <c r="E155" s="84">
        <v>90.55</v>
      </c>
    </row>
    <row r="156" spans="1:5" x14ac:dyDescent="0.3">
      <c r="A156">
        <v>19.100000000000001</v>
      </c>
      <c r="B156">
        <v>0.63</v>
      </c>
      <c r="D156">
        <v>35</v>
      </c>
      <c r="E156" s="84">
        <v>73.31</v>
      </c>
    </row>
    <row r="157" spans="1:5" x14ac:dyDescent="0.3">
      <c r="A157">
        <v>12.7</v>
      </c>
      <c r="B157">
        <v>1.27</v>
      </c>
      <c r="D157">
        <v>25</v>
      </c>
      <c r="E157" s="84">
        <v>78.680000000000007</v>
      </c>
    </row>
    <row r="158" spans="1:5" x14ac:dyDescent="0.3">
      <c r="A158">
        <v>16.899999999999999</v>
      </c>
      <c r="B158">
        <v>0.5</v>
      </c>
      <c r="D158">
        <v>24</v>
      </c>
      <c r="E158" s="84">
        <v>79.290000000000006</v>
      </c>
    </row>
    <row r="159" spans="1:5" x14ac:dyDescent="0.3">
      <c r="A159">
        <v>14.6</v>
      </c>
      <c r="B159">
        <v>0.92</v>
      </c>
      <c r="D159">
        <v>18</v>
      </c>
      <c r="E159" s="84">
        <v>77.5</v>
      </c>
    </row>
    <row r="160" spans="1:5" x14ac:dyDescent="0.3">
      <c r="A160">
        <v>5.7</v>
      </c>
      <c r="B160">
        <v>1.02</v>
      </c>
      <c r="D160">
        <v>38</v>
      </c>
      <c r="E160" s="84">
        <v>85.45</v>
      </c>
    </row>
    <row r="161" spans="1:5" x14ac:dyDescent="0.3">
      <c r="A161">
        <v>5.7</v>
      </c>
      <c r="B161">
        <v>0.55000000000000004</v>
      </c>
      <c r="D161">
        <v>33</v>
      </c>
      <c r="E161" s="84">
        <v>86.07</v>
      </c>
    </row>
    <row r="162" spans="1:5" x14ac:dyDescent="0.3">
      <c r="A162">
        <v>14.5</v>
      </c>
      <c r="B162">
        <v>1.47</v>
      </c>
      <c r="D162">
        <v>29</v>
      </c>
      <c r="E162" s="84">
        <v>80.709999999999994</v>
      </c>
    </row>
    <row r="163" spans="1:5" x14ac:dyDescent="0.3">
      <c r="A163">
        <v>19.100000000000001</v>
      </c>
      <c r="B163">
        <v>0.73</v>
      </c>
      <c r="D163">
        <v>23</v>
      </c>
      <c r="E163" s="84">
        <v>80.61</v>
      </c>
    </row>
    <row r="164" spans="1:5" x14ac:dyDescent="0.3">
      <c r="A164">
        <v>10.4</v>
      </c>
      <c r="B164">
        <v>0.8</v>
      </c>
      <c r="D164">
        <v>37</v>
      </c>
      <c r="E164" s="84">
        <v>94.86</v>
      </c>
    </row>
    <row r="165" spans="1:5" x14ac:dyDescent="0.3">
      <c r="A165">
        <v>16.8</v>
      </c>
      <c r="B165">
        <v>0.8</v>
      </c>
      <c r="D165">
        <v>19</v>
      </c>
      <c r="E165" s="84">
        <v>93.68</v>
      </c>
    </row>
    <row r="166" spans="1:5" x14ac:dyDescent="0.3">
      <c r="A166">
        <v>7.3</v>
      </c>
      <c r="B166">
        <v>0.73</v>
      </c>
      <c r="D166">
        <v>31</v>
      </c>
      <c r="E166" s="84">
        <v>79.23</v>
      </c>
    </row>
    <row r="167" spans="1:5" x14ac:dyDescent="0.3">
      <c r="A167">
        <v>12.6</v>
      </c>
      <c r="B167">
        <v>0.5</v>
      </c>
      <c r="D167">
        <v>21</v>
      </c>
      <c r="E167" s="84">
        <v>97.41</v>
      </c>
    </row>
    <row r="168" spans="1:5" x14ac:dyDescent="0.3">
      <c r="A168">
        <v>7.3</v>
      </c>
      <c r="B168">
        <v>1.23</v>
      </c>
      <c r="D168">
        <v>18</v>
      </c>
      <c r="E168" s="84">
        <v>98.58</v>
      </c>
    </row>
    <row r="169" spans="1:5" x14ac:dyDescent="0.3">
      <c r="A169">
        <v>14.5</v>
      </c>
      <c r="B169">
        <v>1.47</v>
      </c>
      <c r="D169">
        <v>35</v>
      </c>
      <c r="E169" s="84">
        <v>79.8</v>
      </c>
    </row>
    <row r="170" spans="1:5" x14ac:dyDescent="0.3">
      <c r="A170">
        <v>5.7</v>
      </c>
      <c r="B170">
        <v>0.72</v>
      </c>
      <c r="D170">
        <v>30</v>
      </c>
      <c r="E170" s="84">
        <v>80.63</v>
      </c>
    </row>
    <row r="171" spans="1:5" x14ac:dyDescent="0.3">
      <c r="A171">
        <v>19</v>
      </c>
      <c r="B171">
        <v>1.1599999999999999</v>
      </c>
      <c r="D171">
        <v>19</v>
      </c>
      <c r="E171" s="84">
        <v>85.17</v>
      </c>
    </row>
    <row r="172" spans="1:5" x14ac:dyDescent="0.3">
      <c r="A172">
        <v>5.7</v>
      </c>
      <c r="B172">
        <v>1.24</v>
      </c>
      <c r="D172">
        <v>26</v>
      </c>
      <c r="E172" s="84">
        <v>98.23</v>
      </c>
    </row>
    <row r="173" spans="1:5" x14ac:dyDescent="0.3">
      <c r="A173">
        <v>12.5</v>
      </c>
      <c r="B173">
        <v>1.35</v>
      </c>
      <c r="D173">
        <v>38</v>
      </c>
      <c r="E173" s="84">
        <v>96.29</v>
      </c>
    </row>
    <row r="174" spans="1:5" x14ac:dyDescent="0.3">
      <c r="A174">
        <v>5.6</v>
      </c>
      <c r="B174">
        <v>0.92</v>
      </c>
      <c r="D174">
        <v>19</v>
      </c>
      <c r="E174" s="84">
        <v>73.08</v>
      </c>
    </row>
    <row r="175" spans="1:5" x14ac:dyDescent="0.3">
      <c r="A175">
        <v>5.6</v>
      </c>
      <c r="B175">
        <v>0.8</v>
      </c>
      <c r="D175">
        <v>26</v>
      </c>
      <c r="E175" s="84">
        <v>81.78</v>
      </c>
    </row>
    <row r="176" spans="1:5" x14ac:dyDescent="0.3">
      <c r="A176">
        <v>12.5</v>
      </c>
      <c r="B176">
        <v>0.83</v>
      </c>
      <c r="D176">
        <v>18</v>
      </c>
      <c r="E176" s="84">
        <v>86.6</v>
      </c>
    </row>
    <row r="177" spans="1:5" x14ac:dyDescent="0.3">
      <c r="A177">
        <v>16.7</v>
      </c>
      <c r="B177">
        <v>1.21</v>
      </c>
      <c r="D177">
        <v>28</v>
      </c>
      <c r="E177" s="84">
        <v>85.09</v>
      </c>
    </row>
    <row r="178" spans="1:5" x14ac:dyDescent="0.3">
      <c r="A178">
        <v>16.600000000000001</v>
      </c>
      <c r="B178">
        <v>1.32</v>
      </c>
      <c r="D178">
        <v>20</v>
      </c>
      <c r="E178" s="84">
        <v>75.819999999999993</v>
      </c>
    </row>
    <row r="179" spans="1:5" x14ac:dyDescent="0.3">
      <c r="A179">
        <v>12.4</v>
      </c>
      <c r="B179">
        <v>0.68</v>
      </c>
      <c r="D179">
        <v>37</v>
      </c>
      <c r="E179" s="84">
        <v>95.76</v>
      </c>
    </row>
    <row r="180" spans="1:5" x14ac:dyDescent="0.3">
      <c r="A180">
        <v>19</v>
      </c>
      <c r="B180">
        <v>0.87</v>
      </c>
      <c r="D180">
        <v>21</v>
      </c>
      <c r="E180" s="84">
        <v>90.31</v>
      </c>
    </row>
    <row r="181" spans="1:5" x14ac:dyDescent="0.3">
      <c r="A181">
        <v>14.4</v>
      </c>
      <c r="B181">
        <v>1.4</v>
      </c>
      <c r="D181">
        <v>35</v>
      </c>
      <c r="E181" s="84">
        <v>95.14</v>
      </c>
    </row>
    <row r="182" spans="1:5" x14ac:dyDescent="0.3">
      <c r="A182">
        <v>5.6</v>
      </c>
      <c r="B182">
        <v>1.31</v>
      </c>
      <c r="D182">
        <v>23</v>
      </c>
      <c r="E182" s="84">
        <v>95.76</v>
      </c>
    </row>
    <row r="183" spans="1:5" x14ac:dyDescent="0.3">
      <c r="A183">
        <v>19</v>
      </c>
      <c r="B183">
        <v>1.48</v>
      </c>
      <c r="D183">
        <v>20</v>
      </c>
      <c r="E183" s="84">
        <v>92.45</v>
      </c>
    </row>
    <row r="184" spans="1:5" x14ac:dyDescent="0.3">
      <c r="A184">
        <v>5.5</v>
      </c>
      <c r="B184">
        <v>1.25</v>
      </c>
      <c r="D184">
        <v>39</v>
      </c>
      <c r="E184" s="84">
        <v>83.18</v>
      </c>
    </row>
    <row r="185" spans="1:5" x14ac:dyDescent="0.3">
      <c r="A185">
        <v>14.4</v>
      </c>
      <c r="B185">
        <v>0.89</v>
      </c>
      <c r="D185">
        <v>28</v>
      </c>
      <c r="E185" s="84">
        <v>88.32</v>
      </c>
    </row>
    <row r="186" spans="1:5" x14ac:dyDescent="0.3">
      <c r="A186">
        <v>16.5</v>
      </c>
      <c r="B186">
        <v>1.0900000000000001</v>
      </c>
      <c r="D186">
        <v>32</v>
      </c>
      <c r="E186" s="84">
        <v>74.81</v>
      </c>
    </row>
    <row r="187" spans="1:5" x14ac:dyDescent="0.3">
      <c r="A187">
        <v>18.899999999999999</v>
      </c>
      <c r="B187">
        <v>1.1599999999999999</v>
      </c>
      <c r="D187">
        <v>39</v>
      </c>
      <c r="E187" s="84">
        <v>90.21</v>
      </c>
    </row>
    <row r="188" spans="1:5" x14ac:dyDescent="0.3">
      <c r="A188">
        <v>10.3</v>
      </c>
      <c r="B188">
        <v>0.57999999999999996</v>
      </c>
      <c r="D188">
        <v>22</v>
      </c>
      <c r="E188" s="84">
        <v>75.38</v>
      </c>
    </row>
    <row r="189" spans="1:5" x14ac:dyDescent="0.3">
      <c r="A189">
        <v>10.3</v>
      </c>
      <c r="B189">
        <v>1.04</v>
      </c>
      <c r="D189">
        <v>37</v>
      </c>
      <c r="E189" s="84">
        <v>90.82</v>
      </c>
    </row>
    <row r="190" spans="1:5" x14ac:dyDescent="0.3">
      <c r="A190">
        <v>10.3</v>
      </c>
      <c r="B190">
        <v>1.21</v>
      </c>
      <c r="D190">
        <v>27</v>
      </c>
      <c r="E190" s="84">
        <v>76.89</v>
      </c>
    </row>
    <row r="191" spans="1:5" x14ac:dyDescent="0.3">
      <c r="A191">
        <v>16.399999999999999</v>
      </c>
      <c r="B191">
        <v>0.67</v>
      </c>
      <c r="D191">
        <v>29</v>
      </c>
      <c r="E191" s="84">
        <v>73.53</v>
      </c>
    </row>
    <row r="192" spans="1:5" x14ac:dyDescent="0.3">
      <c r="A192">
        <v>16.399999999999999</v>
      </c>
      <c r="B192">
        <v>1.28</v>
      </c>
      <c r="D192">
        <v>32</v>
      </c>
      <c r="E192" s="84">
        <v>74.959999999999994</v>
      </c>
    </row>
    <row r="193" spans="1:5" x14ac:dyDescent="0.3">
      <c r="A193">
        <v>14.4</v>
      </c>
      <c r="B193">
        <v>1.08</v>
      </c>
      <c r="D193">
        <v>34</v>
      </c>
      <c r="E193" s="84">
        <v>70.06</v>
      </c>
    </row>
    <row r="194" spans="1:5" x14ac:dyDescent="0.3">
      <c r="A194">
        <v>5.5</v>
      </c>
      <c r="B194">
        <v>1.45</v>
      </c>
      <c r="D194">
        <v>27</v>
      </c>
      <c r="E194" s="84">
        <v>91.56</v>
      </c>
    </row>
    <row r="195" spans="1:5" x14ac:dyDescent="0.3">
      <c r="A195">
        <v>14.4</v>
      </c>
      <c r="B195">
        <v>0.54</v>
      </c>
      <c r="D195">
        <v>23</v>
      </c>
      <c r="E195" s="84">
        <v>91.97</v>
      </c>
    </row>
    <row r="196" spans="1:5" x14ac:dyDescent="0.3">
      <c r="A196">
        <v>14.3</v>
      </c>
      <c r="B196">
        <v>0.77</v>
      </c>
      <c r="D196">
        <v>35</v>
      </c>
      <c r="E196" s="84">
        <v>85.45</v>
      </c>
    </row>
    <row r="197" spans="1:5" x14ac:dyDescent="0.3">
      <c r="A197">
        <v>16.3</v>
      </c>
      <c r="B197">
        <v>1.1000000000000001</v>
      </c>
      <c r="D197">
        <v>30</v>
      </c>
      <c r="E197" s="84">
        <v>74.84</v>
      </c>
    </row>
    <row r="198" spans="1:5" x14ac:dyDescent="0.3">
      <c r="A198">
        <v>10.1</v>
      </c>
      <c r="B198">
        <v>0.8</v>
      </c>
      <c r="D198">
        <v>20</v>
      </c>
      <c r="E198" s="84">
        <v>72.510000000000005</v>
      </c>
    </row>
    <row r="199" spans="1:5" x14ac:dyDescent="0.3">
      <c r="A199">
        <v>7.1</v>
      </c>
      <c r="B199">
        <v>1.21</v>
      </c>
      <c r="D199">
        <v>27</v>
      </c>
      <c r="E199" s="84">
        <v>70.569999999999993</v>
      </c>
    </row>
    <row r="200" spans="1:5" x14ac:dyDescent="0.3">
      <c r="A200">
        <v>5.4</v>
      </c>
      <c r="B200">
        <v>1.26</v>
      </c>
      <c r="D200">
        <v>31</v>
      </c>
      <c r="E200" s="84">
        <v>74.97</v>
      </c>
    </row>
    <row r="201" spans="1:5" x14ac:dyDescent="0.3">
      <c r="A201">
        <v>16.3</v>
      </c>
      <c r="B201">
        <v>0.6</v>
      </c>
      <c r="D201">
        <v>23</v>
      </c>
      <c r="E201" s="84">
        <v>96.73</v>
      </c>
    </row>
    <row r="202" spans="1:5" x14ac:dyDescent="0.3">
      <c r="A202">
        <v>10.1</v>
      </c>
      <c r="B202">
        <v>1.01</v>
      </c>
      <c r="D202">
        <v>20</v>
      </c>
      <c r="E202" s="84">
        <v>77.25</v>
      </c>
    </row>
    <row r="203" spans="1:5" x14ac:dyDescent="0.3">
      <c r="A203">
        <v>18.7</v>
      </c>
      <c r="B203">
        <v>1.01</v>
      </c>
      <c r="D203">
        <v>33</v>
      </c>
      <c r="E203" s="84">
        <v>80.63</v>
      </c>
    </row>
    <row r="204" spans="1:5" x14ac:dyDescent="0.3">
      <c r="A204">
        <v>7.1</v>
      </c>
      <c r="B204">
        <v>0.87</v>
      </c>
      <c r="D204">
        <v>24</v>
      </c>
      <c r="E204" s="84">
        <v>73.16</v>
      </c>
    </row>
    <row r="205" spans="1:5" x14ac:dyDescent="0.3">
      <c r="A205">
        <v>6.9</v>
      </c>
      <c r="B205">
        <v>1.43</v>
      </c>
      <c r="D205">
        <v>37</v>
      </c>
      <c r="E205" s="84">
        <v>76.67</v>
      </c>
    </row>
    <row r="206" spans="1:5" x14ac:dyDescent="0.3">
      <c r="A206">
        <v>16.3</v>
      </c>
      <c r="B206">
        <v>1.33</v>
      </c>
      <c r="D206">
        <v>31</v>
      </c>
      <c r="E206" s="84">
        <v>85.58</v>
      </c>
    </row>
    <row r="207" spans="1:5" x14ac:dyDescent="0.3">
      <c r="A207">
        <v>12.4</v>
      </c>
      <c r="B207">
        <v>1.2</v>
      </c>
      <c r="D207">
        <v>26</v>
      </c>
      <c r="E207" s="84">
        <v>88.23</v>
      </c>
    </row>
    <row r="208" spans="1:5" x14ac:dyDescent="0.3">
      <c r="A208">
        <v>5.4</v>
      </c>
      <c r="B208">
        <v>1.21</v>
      </c>
      <c r="D208">
        <v>32</v>
      </c>
      <c r="E208" s="84">
        <v>77.36</v>
      </c>
    </row>
    <row r="209" spans="1:5" x14ac:dyDescent="0.3">
      <c r="A209">
        <v>6.8</v>
      </c>
      <c r="B209">
        <v>0.96</v>
      </c>
      <c r="D209">
        <v>38</v>
      </c>
      <c r="E209" s="84">
        <v>71.73</v>
      </c>
    </row>
    <row r="210" spans="1:5" x14ac:dyDescent="0.3">
      <c r="A210">
        <v>16.3</v>
      </c>
      <c r="B210">
        <v>1.42</v>
      </c>
      <c r="D210">
        <v>20</v>
      </c>
      <c r="E210" s="84">
        <v>81.73</v>
      </c>
    </row>
    <row r="211" spans="1:5" x14ac:dyDescent="0.3">
      <c r="A211">
        <v>16.3</v>
      </c>
      <c r="B211">
        <v>1.19</v>
      </c>
      <c r="D211">
        <v>19</v>
      </c>
      <c r="E211" s="84">
        <v>77.03</v>
      </c>
    </row>
    <row r="212" spans="1:5" x14ac:dyDescent="0.3">
      <c r="A212">
        <v>9.9</v>
      </c>
      <c r="B212">
        <v>1.23</v>
      </c>
      <c r="D212">
        <v>19</v>
      </c>
      <c r="E212" s="84">
        <v>76.59</v>
      </c>
    </row>
    <row r="213" spans="1:5" x14ac:dyDescent="0.3">
      <c r="A213">
        <v>18.7</v>
      </c>
      <c r="B213">
        <v>1.36</v>
      </c>
      <c r="D213">
        <v>20</v>
      </c>
      <c r="E213" s="84">
        <v>98.8</v>
      </c>
    </row>
    <row r="214" spans="1:5" x14ac:dyDescent="0.3">
      <c r="A214">
        <v>12.4</v>
      </c>
      <c r="B214">
        <v>0.77</v>
      </c>
      <c r="D214">
        <v>35</v>
      </c>
      <c r="E214" s="84">
        <v>88.49</v>
      </c>
    </row>
    <row r="215" spans="1:5" x14ac:dyDescent="0.3">
      <c r="A215">
        <v>5.4</v>
      </c>
      <c r="B215">
        <v>1.31</v>
      </c>
      <c r="D215">
        <v>31</v>
      </c>
      <c r="E215" s="84">
        <v>86.71</v>
      </c>
    </row>
    <row r="216" spans="1:5" x14ac:dyDescent="0.3">
      <c r="A216">
        <v>14.3</v>
      </c>
      <c r="B216">
        <v>0.7</v>
      </c>
      <c r="D216">
        <v>37</v>
      </c>
      <c r="E216" s="84">
        <v>82.47</v>
      </c>
    </row>
    <row r="217" spans="1:5" x14ac:dyDescent="0.3">
      <c r="A217">
        <v>18.7</v>
      </c>
      <c r="B217">
        <v>0.85</v>
      </c>
      <c r="D217">
        <v>35</v>
      </c>
      <c r="E217" s="84">
        <v>82.87</v>
      </c>
    </row>
    <row r="218" spans="1:5" x14ac:dyDescent="0.3">
      <c r="A218">
        <v>18.600000000000001</v>
      </c>
      <c r="B218">
        <v>0.84</v>
      </c>
      <c r="D218">
        <v>27</v>
      </c>
      <c r="E218" s="84">
        <v>86.23</v>
      </c>
    </row>
    <row r="219" spans="1:5" x14ac:dyDescent="0.3">
      <c r="A219">
        <v>9.8000000000000007</v>
      </c>
      <c r="B219">
        <v>1.48</v>
      </c>
      <c r="D219">
        <v>19</v>
      </c>
      <c r="E219" s="84">
        <v>90.89</v>
      </c>
    </row>
    <row r="220" spans="1:5" x14ac:dyDescent="0.3">
      <c r="A220">
        <v>6.8</v>
      </c>
      <c r="B220">
        <v>1.36</v>
      </c>
      <c r="D220">
        <v>39</v>
      </c>
      <c r="E220" s="84">
        <v>91.06</v>
      </c>
    </row>
    <row r="221" spans="1:5" x14ac:dyDescent="0.3">
      <c r="A221">
        <v>6.8</v>
      </c>
      <c r="B221">
        <v>1.2</v>
      </c>
      <c r="D221">
        <v>18</v>
      </c>
      <c r="E221" s="84">
        <v>75.150000000000006</v>
      </c>
    </row>
    <row r="222" spans="1:5" x14ac:dyDescent="0.3">
      <c r="A222">
        <v>9.8000000000000007</v>
      </c>
      <c r="B222">
        <v>1.23</v>
      </c>
      <c r="D222">
        <v>21</v>
      </c>
      <c r="E222" s="84">
        <v>85</v>
      </c>
    </row>
    <row r="223" spans="1:5" x14ac:dyDescent="0.3">
      <c r="A223">
        <v>16.2</v>
      </c>
      <c r="B223">
        <v>1.06</v>
      </c>
      <c r="D223">
        <v>31</v>
      </c>
      <c r="E223" s="84">
        <v>82.36</v>
      </c>
    </row>
    <row r="224" spans="1:5" x14ac:dyDescent="0.3">
      <c r="A224">
        <v>6.8</v>
      </c>
      <c r="B224">
        <v>1.45</v>
      </c>
      <c r="D224">
        <v>18</v>
      </c>
      <c r="E224" s="84">
        <v>96.12</v>
      </c>
    </row>
    <row r="225" spans="1:5" x14ac:dyDescent="0.3">
      <c r="A225">
        <v>12.1</v>
      </c>
      <c r="B225">
        <v>1</v>
      </c>
      <c r="D225">
        <v>31</v>
      </c>
      <c r="E225" s="84">
        <v>88.94</v>
      </c>
    </row>
    <row r="226" spans="1:5" x14ac:dyDescent="0.3">
      <c r="A226">
        <v>5.3</v>
      </c>
      <c r="B226">
        <v>0.88</v>
      </c>
      <c r="D226">
        <v>33</v>
      </c>
      <c r="E226" s="84">
        <v>85.98</v>
      </c>
    </row>
    <row r="227" spans="1:5" x14ac:dyDescent="0.3">
      <c r="A227">
        <v>18.600000000000001</v>
      </c>
      <c r="B227">
        <v>0.66</v>
      </c>
      <c r="D227">
        <v>39</v>
      </c>
      <c r="E227" s="84">
        <v>73.459999999999994</v>
      </c>
    </row>
    <row r="228" spans="1:5" x14ac:dyDescent="0.3">
      <c r="A228">
        <v>18.600000000000001</v>
      </c>
      <c r="B228">
        <v>1.29</v>
      </c>
      <c r="D228">
        <v>31</v>
      </c>
      <c r="E228" s="84">
        <v>88.17</v>
      </c>
    </row>
    <row r="229" spans="1:5" x14ac:dyDescent="0.3">
      <c r="A229">
        <v>12.1</v>
      </c>
      <c r="B229">
        <v>1.23</v>
      </c>
      <c r="D229">
        <v>37</v>
      </c>
      <c r="E229" s="84">
        <v>73.52</v>
      </c>
    </row>
    <row r="230" spans="1:5" x14ac:dyDescent="0.3">
      <c r="A230">
        <v>6.7</v>
      </c>
      <c r="B230">
        <v>0.88</v>
      </c>
      <c r="D230">
        <v>20</v>
      </c>
      <c r="E230" s="84">
        <v>80.12</v>
      </c>
    </row>
    <row r="231" spans="1:5" x14ac:dyDescent="0.3">
      <c r="A231">
        <v>18.5</v>
      </c>
      <c r="B231">
        <v>0.53</v>
      </c>
      <c r="D231">
        <v>20</v>
      </c>
      <c r="E231" s="84">
        <v>74.290000000000006</v>
      </c>
    </row>
    <row r="232" spans="1:5" x14ac:dyDescent="0.3">
      <c r="A232">
        <v>14.3</v>
      </c>
      <c r="B232">
        <v>1.34</v>
      </c>
      <c r="D232">
        <v>26</v>
      </c>
      <c r="E232" s="84">
        <v>90.76</v>
      </c>
    </row>
    <row r="233" spans="1:5" x14ac:dyDescent="0.3">
      <c r="A233">
        <v>5.3</v>
      </c>
      <c r="B233">
        <v>0.51</v>
      </c>
      <c r="D233">
        <v>23</v>
      </c>
      <c r="E233" s="84">
        <v>76.19</v>
      </c>
    </row>
    <row r="234" spans="1:5" x14ac:dyDescent="0.3">
      <c r="A234">
        <v>5.2</v>
      </c>
      <c r="B234">
        <v>1.2</v>
      </c>
      <c r="D234">
        <v>30</v>
      </c>
      <c r="E234" s="84">
        <v>81.760000000000005</v>
      </c>
    </row>
    <row r="235" spans="1:5" x14ac:dyDescent="0.3">
      <c r="A235">
        <v>18.5</v>
      </c>
      <c r="B235">
        <v>1.47</v>
      </c>
      <c r="D235">
        <v>38</v>
      </c>
      <c r="E235" s="84">
        <v>96.87</v>
      </c>
    </row>
    <row r="236" spans="1:5" x14ac:dyDescent="0.3">
      <c r="A236">
        <v>9.8000000000000007</v>
      </c>
      <c r="B236">
        <v>0.94</v>
      </c>
      <c r="D236">
        <v>19</v>
      </c>
      <c r="E236" s="84">
        <v>76.13</v>
      </c>
    </row>
    <row r="237" spans="1:5" x14ac:dyDescent="0.3">
      <c r="A237">
        <v>18.399999999999999</v>
      </c>
      <c r="B237">
        <v>0.73</v>
      </c>
      <c r="D237">
        <v>25</v>
      </c>
      <c r="E237" s="84">
        <v>85.23</v>
      </c>
    </row>
    <row r="238" spans="1:5" x14ac:dyDescent="0.3">
      <c r="A238">
        <v>9.8000000000000007</v>
      </c>
      <c r="B238">
        <v>1.2</v>
      </c>
      <c r="D238">
        <v>38</v>
      </c>
      <c r="E238" s="84">
        <v>82.58</v>
      </c>
    </row>
    <row r="239" spans="1:5" x14ac:dyDescent="0.3">
      <c r="A239">
        <v>18.399999999999999</v>
      </c>
      <c r="B239">
        <v>1.32</v>
      </c>
      <c r="D239">
        <v>19</v>
      </c>
      <c r="E239" s="84">
        <v>70.540000000000006</v>
      </c>
    </row>
    <row r="240" spans="1:5" x14ac:dyDescent="0.3">
      <c r="A240">
        <v>14.2</v>
      </c>
      <c r="B240">
        <v>1.05</v>
      </c>
      <c r="D240">
        <v>21</v>
      </c>
      <c r="E240" s="84">
        <v>93.78</v>
      </c>
    </row>
    <row r="241" spans="1:5" x14ac:dyDescent="0.3">
      <c r="A241">
        <v>16.100000000000001</v>
      </c>
      <c r="B241">
        <v>1.47</v>
      </c>
      <c r="D241">
        <v>32</v>
      </c>
      <c r="E241" s="84">
        <v>72.069999999999993</v>
      </c>
    </row>
    <row r="242" spans="1:5" x14ac:dyDescent="0.3">
      <c r="A242">
        <v>5.2</v>
      </c>
      <c r="B242">
        <v>0.55000000000000004</v>
      </c>
      <c r="D242">
        <v>21</v>
      </c>
      <c r="E242" s="84">
        <v>84.23</v>
      </c>
    </row>
    <row r="243" spans="1:5" x14ac:dyDescent="0.3">
      <c r="A243">
        <v>18.399999999999999</v>
      </c>
      <c r="B243">
        <v>1</v>
      </c>
      <c r="D243">
        <v>30</v>
      </c>
      <c r="E243" s="84">
        <v>86.82</v>
      </c>
    </row>
    <row r="244" spans="1:5" x14ac:dyDescent="0.3">
      <c r="A244">
        <v>14.2</v>
      </c>
      <c r="B244">
        <v>1.22</v>
      </c>
      <c r="D244">
        <v>29</v>
      </c>
      <c r="E244" s="84">
        <v>88.85</v>
      </c>
    </row>
    <row r="245" spans="1:5" x14ac:dyDescent="0.3">
      <c r="A245">
        <v>9.8000000000000007</v>
      </c>
      <c r="B245">
        <v>1.36</v>
      </c>
      <c r="D245">
        <v>30</v>
      </c>
      <c r="E245" s="84">
        <v>90.66</v>
      </c>
    </row>
    <row r="246" spans="1:5" x14ac:dyDescent="0.3">
      <c r="A246">
        <v>9.6</v>
      </c>
      <c r="B246">
        <v>0.68</v>
      </c>
      <c r="D246">
        <v>31</v>
      </c>
      <c r="E246" s="84">
        <v>77.599999999999994</v>
      </c>
    </row>
    <row r="247" spans="1:5" x14ac:dyDescent="0.3">
      <c r="A247">
        <v>5.2</v>
      </c>
      <c r="B247">
        <v>1.3</v>
      </c>
      <c r="D247">
        <v>37</v>
      </c>
      <c r="E247" s="84">
        <v>70.3</v>
      </c>
    </row>
    <row r="248" spans="1:5" x14ac:dyDescent="0.3">
      <c r="A248">
        <v>12</v>
      </c>
      <c r="B248">
        <v>1.05</v>
      </c>
      <c r="D248">
        <v>35</v>
      </c>
      <c r="E248" s="84">
        <v>91.7</v>
      </c>
    </row>
    <row r="249" spans="1:5" x14ac:dyDescent="0.3">
      <c r="A249">
        <v>18.399999999999999</v>
      </c>
      <c r="B249">
        <v>0.9</v>
      </c>
      <c r="D249">
        <v>23</v>
      </c>
      <c r="E249" s="84">
        <v>86.07</v>
      </c>
    </row>
    <row r="250" spans="1:5" x14ac:dyDescent="0.3">
      <c r="A250">
        <v>6.7</v>
      </c>
      <c r="B250">
        <v>0.63</v>
      </c>
      <c r="D250">
        <v>28</v>
      </c>
      <c r="E250" s="84">
        <v>95.08</v>
      </c>
    </row>
    <row r="251" spans="1:5" x14ac:dyDescent="0.3">
      <c r="A251">
        <v>9.4</v>
      </c>
      <c r="B251">
        <v>1.37</v>
      </c>
      <c r="D251">
        <v>19</v>
      </c>
      <c r="E251" s="84">
        <v>94.64</v>
      </c>
    </row>
    <row r="252" spans="1:5" x14ac:dyDescent="0.3">
      <c r="A252">
        <v>16.100000000000001</v>
      </c>
      <c r="B252">
        <v>0.66</v>
      </c>
      <c r="D252">
        <v>36</v>
      </c>
      <c r="E252" s="84">
        <v>95.3</v>
      </c>
    </row>
    <row r="253" spans="1:5" x14ac:dyDescent="0.3">
      <c r="A253">
        <v>16</v>
      </c>
      <c r="B253">
        <v>0.81</v>
      </c>
      <c r="D253">
        <v>36</v>
      </c>
      <c r="E253" s="84">
        <v>84.55</v>
      </c>
    </row>
    <row r="254" spans="1:5" x14ac:dyDescent="0.3">
      <c r="A254">
        <v>9.4</v>
      </c>
      <c r="B254">
        <v>0.79</v>
      </c>
      <c r="D254">
        <v>22</v>
      </c>
      <c r="E254" s="84">
        <v>80.010000000000005</v>
      </c>
    </row>
    <row r="255" spans="1:5" x14ac:dyDescent="0.3">
      <c r="A255">
        <v>12</v>
      </c>
      <c r="B255">
        <v>1.37</v>
      </c>
      <c r="D255">
        <v>36</v>
      </c>
      <c r="E255" s="84">
        <v>93.75</v>
      </c>
    </row>
    <row r="256" spans="1:5" x14ac:dyDescent="0.3">
      <c r="A256">
        <v>12</v>
      </c>
      <c r="B256">
        <v>1.17</v>
      </c>
      <c r="D256">
        <v>19</v>
      </c>
      <c r="E256" s="84">
        <v>83.54</v>
      </c>
    </row>
    <row r="257" spans="1:5" x14ac:dyDescent="0.3">
      <c r="A257">
        <v>14.2</v>
      </c>
      <c r="B257">
        <v>1.3</v>
      </c>
      <c r="D257">
        <v>27</v>
      </c>
      <c r="E257" s="84">
        <v>75.5</v>
      </c>
    </row>
    <row r="258" spans="1:5" x14ac:dyDescent="0.3">
      <c r="A258">
        <v>15.9</v>
      </c>
      <c r="B258">
        <v>0.75</v>
      </c>
      <c r="D258">
        <v>19</v>
      </c>
      <c r="E258" s="84">
        <v>95.65</v>
      </c>
    </row>
    <row r="259" spans="1:5" x14ac:dyDescent="0.3">
      <c r="A259">
        <v>14.2</v>
      </c>
      <c r="B259">
        <v>1.1200000000000001</v>
      </c>
      <c r="D259">
        <v>28</v>
      </c>
      <c r="E259" s="84">
        <v>96.48</v>
      </c>
    </row>
    <row r="260" spans="1:5" x14ac:dyDescent="0.3">
      <c r="A260">
        <v>15.9</v>
      </c>
      <c r="B260">
        <v>1.07</v>
      </c>
      <c r="D260">
        <v>35</v>
      </c>
      <c r="E260" s="84">
        <v>83.99</v>
      </c>
    </row>
    <row r="261" spans="1:5" x14ac:dyDescent="0.3">
      <c r="A261">
        <v>18.3</v>
      </c>
      <c r="B261">
        <v>1.33</v>
      </c>
      <c r="D261">
        <v>32</v>
      </c>
      <c r="E261" s="84">
        <v>72.27</v>
      </c>
    </row>
    <row r="262" spans="1:5" x14ac:dyDescent="0.3">
      <c r="A262">
        <v>18.2</v>
      </c>
      <c r="B262">
        <v>1.41</v>
      </c>
      <c r="D262">
        <v>26</v>
      </c>
      <c r="E262" s="84">
        <v>81.63</v>
      </c>
    </row>
    <row r="263" spans="1:5" x14ac:dyDescent="0.3">
      <c r="A263">
        <v>6.5</v>
      </c>
      <c r="B263">
        <v>0.51</v>
      </c>
      <c r="D263">
        <v>36</v>
      </c>
      <c r="E263" s="84">
        <v>94.11</v>
      </c>
    </row>
    <row r="264" spans="1:5" x14ac:dyDescent="0.3">
      <c r="A264">
        <v>18.2</v>
      </c>
      <c r="B264">
        <v>1.17</v>
      </c>
      <c r="D264">
        <v>26</v>
      </c>
      <c r="E264" s="84">
        <v>97.05</v>
      </c>
    </row>
    <row r="265" spans="1:5" x14ac:dyDescent="0.3">
      <c r="A265">
        <v>6.5</v>
      </c>
      <c r="B265">
        <v>0.55000000000000004</v>
      </c>
      <c r="D265">
        <v>20</v>
      </c>
      <c r="E265" s="84">
        <v>76.099999999999994</v>
      </c>
    </row>
    <row r="266" spans="1:5" x14ac:dyDescent="0.3">
      <c r="A266">
        <v>18</v>
      </c>
      <c r="B266">
        <v>1.05</v>
      </c>
      <c r="D266">
        <v>38</v>
      </c>
      <c r="E266" s="84">
        <v>72.010000000000005</v>
      </c>
    </row>
    <row r="267" spans="1:5" x14ac:dyDescent="0.3">
      <c r="A267">
        <v>5.2</v>
      </c>
      <c r="B267">
        <v>0.79</v>
      </c>
      <c r="D267">
        <v>26</v>
      </c>
      <c r="E267" s="84">
        <v>96.32</v>
      </c>
    </row>
    <row r="268" spans="1:5" x14ac:dyDescent="0.3">
      <c r="A268">
        <v>18</v>
      </c>
      <c r="B268">
        <v>0.81</v>
      </c>
      <c r="D268">
        <v>31</v>
      </c>
      <c r="E268" s="84">
        <v>81.680000000000007</v>
      </c>
    </row>
    <row r="269" spans="1:5" x14ac:dyDescent="0.3">
      <c r="A269">
        <v>13.9</v>
      </c>
      <c r="B269">
        <v>0.85</v>
      </c>
      <c r="D269">
        <v>36</v>
      </c>
      <c r="E269" s="84">
        <v>86.25</v>
      </c>
    </row>
    <row r="270" spans="1:5" x14ac:dyDescent="0.3">
      <c r="A270">
        <v>9.4</v>
      </c>
      <c r="B270">
        <v>1.1200000000000001</v>
      </c>
      <c r="D270">
        <v>24</v>
      </c>
      <c r="E270" s="84">
        <v>99.04</v>
      </c>
    </row>
    <row r="271" spans="1:5" x14ac:dyDescent="0.3">
      <c r="A271">
        <v>13.9</v>
      </c>
      <c r="B271">
        <v>0.83</v>
      </c>
      <c r="D271">
        <v>33</v>
      </c>
      <c r="E271" s="84">
        <v>72</v>
      </c>
    </row>
    <row r="272" spans="1:5" x14ac:dyDescent="0.3">
      <c r="A272">
        <v>9.3000000000000007</v>
      </c>
      <c r="B272">
        <v>1.23</v>
      </c>
      <c r="D272">
        <v>33</v>
      </c>
      <c r="E272" s="84">
        <v>89.45</v>
      </c>
    </row>
    <row r="273" spans="1:5" x14ac:dyDescent="0.3">
      <c r="A273">
        <v>11.9</v>
      </c>
      <c r="B273">
        <v>0.9</v>
      </c>
      <c r="D273">
        <v>18</v>
      </c>
      <c r="E273" s="84">
        <v>72.22</v>
      </c>
    </row>
    <row r="274" spans="1:5" x14ac:dyDescent="0.3">
      <c r="A274">
        <v>13.8</v>
      </c>
      <c r="B274">
        <v>0.56999999999999995</v>
      </c>
      <c r="D274">
        <v>21</v>
      </c>
      <c r="E274" s="84">
        <v>81.260000000000005</v>
      </c>
    </row>
    <row r="275" spans="1:5" x14ac:dyDescent="0.3">
      <c r="A275">
        <v>11.8</v>
      </c>
      <c r="B275">
        <v>1.28</v>
      </c>
      <c r="D275">
        <v>21</v>
      </c>
      <c r="E275" s="84">
        <v>94.11</v>
      </c>
    </row>
    <row r="276" spans="1:5" x14ac:dyDescent="0.3">
      <c r="A276">
        <v>6.5</v>
      </c>
      <c r="B276">
        <v>0.79</v>
      </c>
      <c r="D276">
        <v>24</v>
      </c>
      <c r="E276" s="84">
        <v>83</v>
      </c>
    </row>
    <row r="277" spans="1:5" x14ac:dyDescent="0.3">
      <c r="A277">
        <v>6.5</v>
      </c>
      <c r="B277">
        <v>0.93</v>
      </c>
      <c r="D277">
        <v>25</v>
      </c>
      <c r="E277" s="84">
        <v>99.92</v>
      </c>
    </row>
    <row r="278" spans="1:5" x14ac:dyDescent="0.3">
      <c r="A278">
        <v>5.2</v>
      </c>
      <c r="B278">
        <v>1.19</v>
      </c>
      <c r="D278">
        <v>34</v>
      </c>
      <c r="E278" s="84">
        <v>86.77</v>
      </c>
    </row>
    <row r="279" spans="1:5" x14ac:dyDescent="0.3">
      <c r="A279">
        <v>18</v>
      </c>
      <c r="B279">
        <v>0.83</v>
      </c>
      <c r="D279">
        <v>22</v>
      </c>
      <c r="E279" s="84">
        <v>79.63</v>
      </c>
    </row>
    <row r="280" spans="1:5" x14ac:dyDescent="0.3">
      <c r="A280">
        <v>13.8</v>
      </c>
      <c r="B280">
        <v>0.56000000000000005</v>
      </c>
      <c r="D280">
        <v>24</v>
      </c>
      <c r="E280" s="84">
        <v>76.599999999999994</v>
      </c>
    </row>
    <row r="281" spans="1:5" x14ac:dyDescent="0.3">
      <c r="A281">
        <v>11.8</v>
      </c>
      <c r="B281">
        <v>0.87</v>
      </c>
      <c r="D281">
        <v>37</v>
      </c>
      <c r="E281" s="84">
        <v>80.52</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BE1C0-5A4A-4EAE-941C-4B28F0577CCD}">
  <dimension ref="A1:AH281"/>
  <sheetViews>
    <sheetView topLeftCell="G1" workbookViewId="0">
      <selection activeCell="W47" sqref="W47"/>
    </sheetView>
  </sheetViews>
  <sheetFormatPr defaultRowHeight="14.4" x14ac:dyDescent="0.3"/>
  <cols>
    <col min="8" max="8" width="24.44140625" bestFit="1" customWidth="1"/>
    <col min="9" max="9" width="12.6640625" bestFit="1" customWidth="1"/>
    <col min="10" max="10" width="14.5546875" bestFit="1" customWidth="1"/>
    <col min="11" max="11" width="12.6640625" bestFit="1" customWidth="1"/>
    <col min="12" max="12" width="12" bestFit="1" customWidth="1"/>
    <col min="13" max="13" width="13.44140625" bestFit="1" customWidth="1"/>
    <col min="14" max="16" width="12.6640625" bestFit="1" customWidth="1"/>
    <col min="24" max="24" width="23.109375" bestFit="1" customWidth="1"/>
    <col min="25" max="25" width="12.6640625" bestFit="1" customWidth="1"/>
    <col min="26" max="26" width="14.5546875" bestFit="1" customWidth="1"/>
    <col min="27" max="27" width="12.6640625" bestFit="1" customWidth="1"/>
    <col min="28" max="28" width="12" bestFit="1" customWidth="1"/>
    <col min="29" max="29" width="13.44140625" bestFit="1" customWidth="1"/>
    <col min="30" max="32" width="12.6640625" bestFit="1" customWidth="1"/>
  </cols>
  <sheetData>
    <row r="1" spans="1:29" ht="57.6" x14ac:dyDescent="0.3">
      <c r="A1" s="91" t="s">
        <v>6</v>
      </c>
      <c r="B1" s="90" t="s">
        <v>9</v>
      </c>
      <c r="C1" s="89" t="s">
        <v>19</v>
      </c>
      <c r="D1" s="88" t="s">
        <v>10</v>
      </c>
      <c r="E1" s="87" t="s">
        <v>8</v>
      </c>
      <c r="S1" s="90" t="s">
        <v>9</v>
      </c>
      <c r="T1" s="88" t="s">
        <v>10</v>
      </c>
      <c r="U1" s="87" t="s">
        <v>8</v>
      </c>
    </row>
    <row r="2" spans="1:29" x14ac:dyDescent="0.3">
      <c r="A2">
        <v>71</v>
      </c>
      <c r="B2">
        <v>69.209999999999994</v>
      </c>
      <c r="C2">
        <v>29</v>
      </c>
      <c r="D2">
        <v>11.7</v>
      </c>
      <c r="E2">
        <v>2</v>
      </c>
      <c r="H2" t="s">
        <v>730</v>
      </c>
      <c r="S2">
        <v>69.209999999999994</v>
      </c>
      <c r="T2">
        <v>11.7</v>
      </c>
      <c r="U2">
        <v>2</v>
      </c>
      <c r="X2" t="s">
        <v>730</v>
      </c>
    </row>
    <row r="3" spans="1:29" x14ac:dyDescent="0.3">
      <c r="A3">
        <v>34</v>
      </c>
      <c r="B3">
        <v>94.97</v>
      </c>
      <c r="C3">
        <v>27</v>
      </c>
      <c r="D3">
        <v>19.899999999999999</v>
      </c>
      <c r="E3">
        <v>6</v>
      </c>
      <c r="S3">
        <v>94.97</v>
      </c>
      <c r="T3">
        <v>19.899999999999999</v>
      </c>
      <c r="U3">
        <v>6</v>
      </c>
    </row>
    <row r="4" spans="1:29" x14ac:dyDescent="0.3">
      <c r="A4">
        <v>91</v>
      </c>
      <c r="B4">
        <v>68.989999999999995</v>
      </c>
      <c r="C4">
        <v>24</v>
      </c>
      <c r="D4">
        <v>11.6</v>
      </c>
      <c r="E4">
        <v>2</v>
      </c>
      <c r="H4" s="93" t="s">
        <v>731</v>
      </c>
      <c r="I4" s="93"/>
      <c r="S4">
        <v>68.989999999999995</v>
      </c>
      <c r="T4">
        <v>11.6</v>
      </c>
      <c r="U4">
        <v>2</v>
      </c>
      <c r="X4" s="93" t="s">
        <v>731</v>
      </c>
      <c r="Y4" s="93"/>
    </row>
    <row r="5" spans="1:29" x14ac:dyDescent="0.3">
      <c r="A5">
        <v>80</v>
      </c>
      <c r="B5">
        <v>87.71</v>
      </c>
      <c r="C5">
        <v>30</v>
      </c>
      <c r="D5">
        <v>17.899999999999999</v>
      </c>
      <c r="E5">
        <v>5</v>
      </c>
      <c r="H5" s="94" t="s">
        <v>732</v>
      </c>
      <c r="I5" s="94">
        <v>0.98930673003279357</v>
      </c>
      <c r="S5">
        <v>87.71</v>
      </c>
      <c r="T5">
        <v>17.899999999999999</v>
      </c>
      <c r="U5">
        <v>5</v>
      </c>
      <c r="X5" s="94" t="s">
        <v>732</v>
      </c>
      <c r="Y5" s="94">
        <v>0.98929452889056235</v>
      </c>
    </row>
    <row r="6" spans="1:29" x14ac:dyDescent="0.3">
      <c r="A6">
        <v>40</v>
      </c>
      <c r="B6">
        <v>87.7</v>
      </c>
      <c r="C6">
        <v>24</v>
      </c>
      <c r="D6">
        <v>17.8</v>
      </c>
      <c r="E6">
        <v>5</v>
      </c>
      <c r="H6" s="94" t="s">
        <v>733</v>
      </c>
      <c r="I6" s="95">
        <v>0.97872780608817866</v>
      </c>
      <c r="J6" s="9">
        <f>100*I6</f>
        <v>97.872780608817862</v>
      </c>
      <c r="S6">
        <v>87.7</v>
      </c>
      <c r="T6">
        <v>17.8</v>
      </c>
      <c r="U6">
        <v>5</v>
      </c>
      <c r="X6" s="94" t="s">
        <v>733</v>
      </c>
      <c r="Y6" s="95">
        <v>0.9787036648927997</v>
      </c>
      <c r="Z6" s="9">
        <f>100*Y6</f>
        <v>97.870366489279974</v>
      </c>
    </row>
    <row r="7" spans="1:29" x14ac:dyDescent="0.3">
      <c r="A7">
        <v>94</v>
      </c>
      <c r="B7">
        <v>68.98</v>
      </c>
      <c r="C7">
        <v>34</v>
      </c>
      <c r="D7">
        <v>11.6</v>
      </c>
      <c r="E7">
        <v>2</v>
      </c>
      <c r="H7" s="94" t="s">
        <v>734</v>
      </c>
      <c r="I7" s="94">
        <v>0.9784183923585521</v>
      </c>
      <c r="S7">
        <v>68.98</v>
      </c>
      <c r="T7">
        <v>11.6</v>
      </c>
      <c r="U7">
        <v>2</v>
      </c>
      <c r="X7" s="94" t="s">
        <v>734</v>
      </c>
      <c r="Y7" s="94">
        <v>0.97854990074040105</v>
      </c>
    </row>
    <row r="8" spans="1:29" x14ac:dyDescent="0.3">
      <c r="A8">
        <v>94</v>
      </c>
      <c r="B8">
        <v>94.84</v>
      </c>
      <c r="C8">
        <v>27</v>
      </c>
      <c r="D8">
        <v>19.899999999999999</v>
      </c>
      <c r="E8">
        <v>6</v>
      </c>
      <c r="H8" s="94" t="s">
        <v>735</v>
      </c>
      <c r="I8" s="94">
        <v>0.29911354659612149</v>
      </c>
      <c r="S8">
        <v>94.84</v>
      </c>
      <c r="T8">
        <v>19.899999999999999</v>
      </c>
      <c r="U8">
        <v>6</v>
      </c>
      <c r="X8" s="94" t="s">
        <v>735</v>
      </c>
      <c r="Y8" s="94">
        <v>0.29820082391568076</v>
      </c>
    </row>
    <row r="9" spans="1:29" x14ac:dyDescent="0.3">
      <c r="A9">
        <v>43</v>
      </c>
      <c r="B9">
        <v>68.98</v>
      </c>
      <c r="C9">
        <v>27</v>
      </c>
      <c r="D9">
        <v>11.5</v>
      </c>
      <c r="E9">
        <v>2</v>
      </c>
      <c r="H9" s="94" t="s">
        <v>736</v>
      </c>
      <c r="I9" s="94">
        <v>280</v>
      </c>
      <c r="S9">
        <v>68.98</v>
      </c>
      <c r="T9">
        <v>11.5</v>
      </c>
      <c r="U9">
        <v>2</v>
      </c>
      <c r="X9" s="94" t="s">
        <v>736</v>
      </c>
      <c r="Y9" s="94">
        <v>280</v>
      </c>
    </row>
    <row r="10" spans="1:29" x14ac:dyDescent="0.3">
      <c r="A10">
        <v>22</v>
      </c>
      <c r="B10">
        <v>61.65</v>
      </c>
      <c r="C10">
        <v>21</v>
      </c>
      <c r="D10">
        <v>9.3000000000000007</v>
      </c>
      <c r="E10">
        <v>1</v>
      </c>
      <c r="S10">
        <v>61.65</v>
      </c>
      <c r="T10">
        <v>9.3000000000000007</v>
      </c>
      <c r="U10">
        <v>1</v>
      </c>
    </row>
    <row r="11" spans="1:29" x14ac:dyDescent="0.3">
      <c r="A11">
        <v>41</v>
      </c>
      <c r="B11">
        <v>74.290000000000006</v>
      </c>
      <c r="C11">
        <v>37</v>
      </c>
      <c r="D11">
        <v>13.8</v>
      </c>
      <c r="E11">
        <v>3</v>
      </c>
      <c r="H11" s="94" t="s">
        <v>737</v>
      </c>
      <c r="I11" s="94"/>
      <c r="J11" s="94"/>
      <c r="K11" s="94"/>
      <c r="L11" s="94"/>
      <c r="M11" s="94"/>
      <c r="S11">
        <v>74.290000000000006</v>
      </c>
      <c r="T11">
        <v>13.8</v>
      </c>
      <c r="U11">
        <v>3</v>
      </c>
      <c r="X11" s="20" t="s">
        <v>737</v>
      </c>
      <c r="Y11" s="20"/>
      <c r="Z11" s="20"/>
      <c r="AA11" s="20"/>
      <c r="AB11" s="20"/>
      <c r="AC11" s="20"/>
    </row>
    <row r="12" spans="1:29" x14ac:dyDescent="0.3">
      <c r="A12">
        <v>72</v>
      </c>
      <c r="B12">
        <v>94.62</v>
      </c>
      <c r="C12">
        <v>21</v>
      </c>
      <c r="D12">
        <v>19.899999999999999</v>
      </c>
      <c r="E12">
        <v>6</v>
      </c>
      <c r="H12" s="96"/>
      <c r="I12" s="96" t="s">
        <v>739</v>
      </c>
      <c r="J12" s="96" t="s">
        <v>740</v>
      </c>
      <c r="K12" s="96" t="s">
        <v>741</v>
      </c>
      <c r="L12" s="96" t="s">
        <v>742</v>
      </c>
      <c r="M12" s="96" t="s">
        <v>743</v>
      </c>
      <c r="S12">
        <v>94.62</v>
      </c>
      <c r="T12">
        <v>19.899999999999999</v>
      </c>
      <c r="U12">
        <v>6</v>
      </c>
      <c r="X12" s="96"/>
      <c r="Y12" s="96" t="s">
        <v>739</v>
      </c>
      <c r="Z12" s="96" t="s">
        <v>740</v>
      </c>
      <c r="AA12" s="96" t="s">
        <v>741</v>
      </c>
      <c r="AB12" s="96" t="s">
        <v>742</v>
      </c>
      <c r="AC12" s="96" t="s">
        <v>743</v>
      </c>
    </row>
    <row r="13" spans="1:29" x14ac:dyDescent="0.3">
      <c r="A13">
        <v>21</v>
      </c>
      <c r="B13">
        <v>94.57</v>
      </c>
      <c r="C13">
        <v>39</v>
      </c>
      <c r="D13">
        <v>19.8</v>
      </c>
      <c r="E13">
        <v>6</v>
      </c>
      <c r="H13" s="94" t="s">
        <v>744</v>
      </c>
      <c r="I13" s="94">
        <v>4</v>
      </c>
      <c r="J13" s="94">
        <v>1132.0210487167396</v>
      </c>
      <c r="K13" s="94">
        <v>283.00526217918491</v>
      </c>
      <c r="L13" s="94">
        <v>3163.1686391862754</v>
      </c>
      <c r="M13" s="94">
        <v>1.608306421570188E-228</v>
      </c>
      <c r="S13">
        <v>94.57</v>
      </c>
      <c r="T13">
        <v>19.8</v>
      </c>
      <c r="U13">
        <v>6</v>
      </c>
      <c r="X13" s="20" t="s">
        <v>744</v>
      </c>
      <c r="Y13" s="20">
        <v>2</v>
      </c>
      <c r="Z13" s="20">
        <v>1131.9931264066345</v>
      </c>
      <c r="AA13" s="20">
        <v>565.99656320331724</v>
      </c>
      <c r="AB13" s="20">
        <v>6364.9664087894425</v>
      </c>
      <c r="AC13" s="20">
        <v>2.952737039098368E-232</v>
      </c>
    </row>
    <row r="14" spans="1:29" x14ac:dyDescent="0.3">
      <c r="A14">
        <v>49</v>
      </c>
      <c r="B14">
        <v>82.2</v>
      </c>
      <c r="C14">
        <v>24</v>
      </c>
      <c r="D14">
        <v>15.7</v>
      </c>
      <c r="E14">
        <v>4</v>
      </c>
      <c r="H14" s="94" t="s">
        <v>745</v>
      </c>
      <c r="I14" s="94">
        <v>275</v>
      </c>
      <c r="J14" s="94">
        <v>24.603951283260287</v>
      </c>
      <c r="K14" s="94">
        <v>8.9468913757310128E-2</v>
      </c>
      <c r="L14" s="94"/>
      <c r="M14" s="94"/>
      <c r="S14">
        <v>82.2</v>
      </c>
      <c r="T14">
        <v>15.7</v>
      </c>
      <c r="U14">
        <v>4</v>
      </c>
      <c r="X14" s="20" t="s">
        <v>745</v>
      </c>
      <c r="Y14" s="20">
        <v>277</v>
      </c>
      <c r="Z14" s="20">
        <v>24.631873593365466</v>
      </c>
      <c r="AA14" s="20">
        <v>8.8923731383990845E-2</v>
      </c>
      <c r="AB14" s="20"/>
      <c r="AC14" s="20"/>
    </row>
    <row r="15" spans="1:29" x14ac:dyDescent="0.3">
      <c r="A15">
        <v>57</v>
      </c>
      <c r="B15">
        <v>54.93</v>
      </c>
      <c r="C15">
        <v>39</v>
      </c>
      <c r="D15">
        <v>6.5</v>
      </c>
      <c r="E15">
        <v>0</v>
      </c>
      <c r="H15" s="94" t="s">
        <v>746</v>
      </c>
      <c r="I15" s="94">
        <v>279</v>
      </c>
      <c r="J15" s="94">
        <v>1156.625</v>
      </c>
      <c r="K15" s="94"/>
      <c r="L15" s="94"/>
      <c r="M15" s="94"/>
      <c r="S15">
        <v>54.93</v>
      </c>
      <c r="T15">
        <v>6.5</v>
      </c>
      <c r="U15">
        <v>0</v>
      </c>
      <c r="X15" s="20" t="s">
        <v>746</v>
      </c>
      <c r="Y15" s="20">
        <v>279</v>
      </c>
      <c r="Z15" s="20">
        <v>1156.625</v>
      </c>
      <c r="AA15" s="20"/>
      <c r="AB15" s="20"/>
      <c r="AC15" s="20"/>
    </row>
    <row r="16" spans="1:29" ht="15" thickBot="1" x14ac:dyDescent="0.35">
      <c r="A16">
        <v>21</v>
      </c>
      <c r="B16">
        <v>74.23</v>
      </c>
      <c r="C16">
        <v>18</v>
      </c>
      <c r="D16">
        <v>13.8</v>
      </c>
      <c r="E16">
        <v>3</v>
      </c>
      <c r="S16">
        <v>74.23</v>
      </c>
      <c r="T16">
        <v>13.8</v>
      </c>
      <c r="U16">
        <v>3</v>
      </c>
    </row>
    <row r="17" spans="1:34" x14ac:dyDescent="0.3">
      <c r="A17">
        <v>83</v>
      </c>
      <c r="B17">
        <v>87.67</v>
      </c>
      <c r="C17">
        <v>29</v>
      </c>
      <c r="D17">
        <v>17.8</v>
      </c>
      <c r="E17">
        <v>5</v>
      </c>
      <c r="H17" s="96"/>
      <c r="I17" s="96" t="s">
        <v>747</v>
      </c>
      <c r="J17" s="96" t="s">
        <v>735</v>
      </c>
      <c r="K17" s="96" t="s">
        <v>748</v>
      </c>
      <c r="L17" s="96" t="s">
        <v>749</v>
      </c>
      <c r="M17" s="96" t="s">
        <v>750</v>
      </c>
      <c r="N17" s="96" t="s">
        <v>751</v>
      </c>
      <c r="O17" s="24" t="s">
        <v>752</v>
      </c>
      <c r="P17" s="24" t="s">
        <v>753</v>
      </c>
      <c r="S17">
        <v>87.67</v>
      </c>
      <c r="T17">
        <v>17.8</v>
      </c>
      <c r="U17">
        <v>5</v>
      </c>
      <c r="X17" s="96"/>
      <c r="Y17" s="96" t="s">
        <v>747</v>
      </c>
      <c r="Z17" s="96" t="s">
        <v>735</v>
      </c>
      <c r="AA17" s="96" t="s">
        <v>748</v>
      </c>
      <c r="AB17" s="96" t="s">
        <v>749</v>
      </c>
      <c r="AC17" s="96" t="s">
        <v>750</v>
      </c>
      <c r="AD17" s="96" t="s">
        <v>751</v>
      </c>
      <c r="AE17" s="24" t="s">
        <v>752</v>
      </c>
      <c r="AF17" s="24" t="s">
        <v>753</v>
      </c>
    </row>
    <row r="18" spans="1:34" x14ac:dyDescent="0.3">
      <c r="A18">
        <v>79</v>
      </c>
      <c r="B18">
        <v>94.51</v>
      </c>
      <c r="C18">
        <v>30</v>
      </c>
      <c r="D18">
        <v>19.8</v>
      </c>
      <c r="E18">
        <v>6</v>
      </c>
      <c r="H18" s="97" t="s">
        <v>754</v>
      </c>
      <c r="I18" s="94">
        <v>-4.2795190455248449</v>
      </c>
      <c r="J18" s="94">
        <v>0.93288725142828965</v>
      </c>
      <c r="K18" s="94">
        <v>-4.5873914977107049</v>
      </c>
      <c r="L18" s="94">
        <v>6.8266253287673131E-6</v>
      </c>
      <c r="M18" s="94">
        <v>-6.1160268890449005</v>
      </c>
      <c r="N18" s="94">
        <v>-2.4430112020047892</v>
      </c>
      <c r="O18">
        <v>-6.1160268890449005</v>
      </c>
      <c r="P18">
        <v>-2.4430112020047892</v>
      </c>
      <c r="S18">
        <v>94.51</v>
      </c>
      <c r="T18">
        <v>19.8</v>
      </c>
      <c r="U18">
        <v>6</v>
      </c>
      <c r="X18" s="101" t="s">
        <v>754</v>
      </c>
      <c r="Y18" s="20">
        <v>-4.3065994440705122</v>
      </c>
      <c r="Z18" s="20">
        <v>0.92864594922403498</v>
      </c>
      <c r="AA18" s="20">
        <v>-4.6375041507143315</v>
      </c>
      <c r="AB18" s="20">
        <v>5.4413911886803292E-6</v>
      </c>
      <c r="AC18" s="20">
        <v>-6.1346994002132771</v>
      </c>
      <c r="AD18" s="20">
        <v>-2.4784994879277473</v>
      </c>
      <c r="AE18">
        <v>-6.1346994002132771</v>
      </c>
      <c r="AF18">
        <v>-2.4784994879277473</v>
      </c>
    </row>
    <row r="19" spans="1:34" x14ac:dyDescent="0.3">
      <c r="A19">
        <v>40</v>
      </c>
      <c r="B19">
        <v>68.790000000000006</v>
      </c>
      <c r="C19">
        <v>27</v>
      </c>
      <c r="D19">
        <v>11.4</v>
      </c>
      <c r="E19">
        <v>2</v>
      </c>
      <c r="H19" s="98" t="s">
        <v>6</v>
      </c>
      <c r="I19" s="94">
        <v>-4.0108810027687195E-4</v>
      </c>
      <c r="J19" s="94">
        <v>8.0851376557440657E-4</v>
      </c>
      <c r="K19" s="94">
        <v>-0.4960807315283246</v>
      </c>
      <c r="L19" s="94">
        <v>0.62023370199320094</v>
      </c>
      <c r="M19" s="94">
        <v>-1.9927508331505153E-3</v>
      </c>
      <c r="N19" s="94">
        <v>1.1905746325967716E-3</v>
      </c>
      <c r="O19">
        <v>-1.9927508331505153E-3</v>
      </c>
      <c r="P19">
        <v>1.1905746325967716E-3</v>
      </c>
      <c r="S19">
        <v>68.790000000000006</v>
      </c>
      <c r="T19">
        <v>11.4</v>
      </c>
      <c r="U19">
        <v>2</v>
      </c>
      <c r="X19" s="102" t="s">
        <v>9</v>
      </c>
      <c r="Y19" s="20">
        <v>5.1114101059227743E-2</v>
      </c>
      <c r="Z19" s="20">
        <v>2.6563876927751987E-2</v>
      </c>
      <c r="AA19" s="20">
        <v>1.9241958242107156</v>
      </c>
      <c r="AB19" s="103">
        <v>5.5354425994923892E-2</v>
      </c>
      <c r="AC19" s="20">
        <v>-1.1786185581706132E-3</v>
      </c>
      <c r="AD19" s="20">
        <v>0.1034068206766261</v>
      </c>
      <c r="AE19">
        <v>-1.1786185581706132E-3</v>
      </c>
      <c r="AF19">
        <v>0.1034068206766261</v>
      </c>
    </row>
    <row r="20" spans="1:34" ht="15" thickBot="1" x14ac:dyDescent="0.35">
      <c r="A20">
        <v>52</v>
      </c>
      <c r="B20">
        <v>73.97</v>
      </c>
      <c r="C20">
        <v>32</v>
      </c>
      <c r="D20">
        <v>13.7</v>
      </c>
      <c r="E20">
        <v>3</v>
      </c>
      <c r="H20" s="99" t="s">
        <v>9</v>
      </c>
      <c r="I20" s="94">
        <v>5.1563072192822003E-2</v>
      </c>
      <c r="J20" s="94">
        <v>2.66763393837866E-2</v>
      </c>
      <c r="K20" s="94">
        <v>1.9329140873114365</v>
      </c>
      <c r="L20" s="95">
        <v>5.4273371260321633E-2</v>
      </c>
      <c r="M20" s="94">
        <v>-9.5271301028727884E-4</v>
      </c>
      <c r="N20" s="94">
        <v>0.10407885739593128</v>
      </c>
      <c r="O20">
        <v>-9.5271301028727884E-4</v>
      </c>
      <c r="P20">
        <v>0.10407885739593128</v>
      </c>
      <c r="S20">
        <v>73.97</v>
      </c>
      <c r="T20">
        <v>13.7</v>
      </c>
      <c r="U20">
        <v>3</v>
      </c>
      <c r="X20" s="103" t="s">
        <v>773</v>
      </c>
      <c r="Y20" s="20">
        <v>0.29039511060850448</v>
      </c>
      <c r="Z20" s="20">
        <v>7.8583827956882069E-2</v>
      </c>
      <c r="AA20" s="20">
        <v>3.6953546061390714</v>
      </c>
      <c r="AB20" s="103">
        <v>2.6459038048279001E-4</v>
      </c>
      <c r="AC20" s="20">
        <v>0.1356977336786353</v>
      </c>
      <c r="AD20" s="20">
        <v>0.44509248753837366</v>
      </c>
      <c r="AE20" s="23">
        <v>0.1356977336786353</v>
      </c>
      <c r="AF20" s="23">
        <v>0.44509248753837366</v>
      </c>
    </row>
    <row r="21" spans="1:34" x14ac:dyDescent="0.3">
      <c r="A21">
        <v>77</v>
      </c>
      <c r="B21">
        <v>81.72</v>
      </c>
      <c r="C21">
        <v>30</v>
      </c>
      <c r="D21">
        <v>15.6</v>
      </c>
      <c r="E21">
        <v>4</v>
      </c>
      <c r="H21" s="100" t="s">
        <v>19</v>
      </c>
      <c r="I21" s="94">
        <v>-6.4202291926273279E-4</v>
      </c>
      <c r="J21" s="94">
        <v>2.7543288854297099E-3</v>
      </c>
      <c r="K21" s="94">
        <v>-0.23309595403040226</v>
      </c>
      <c r="L21" s="94">
        <v>0.81586029913151781</v>
      </c>
      <c r="M21" s="94">
        <v>-6.0642715286000062E-3</v>
      </c>
      <c r="N21" s="94">
        <v>4.7802256900745408E-3</v>
      </c>
      <c r="O21">
        <v>-6.0642715286000062E-3</v>
      </c>
      <c r="P21">
        <v>4.7802256900745408E-3</v>
      </c>
      <c r="S21">
        <v>81.72</v>
      </c>
      <c r="T21">
        <v>15.6</v>
      </c>
      <c r="U21">
        <v>4</v>
      </c>
    </row>
    <row r="22" spans="1:34" ht="15" thickBot="1" x14ac:dyDescent="0.35">
      <c r="A22">
        <v>41</v>
      </c>
      <c r="B22">
        <v>87.38</v>
      </c>
      <c r="C22">
        <v>39</v>
      </c>
      <c r="D22">
        <v>17.8</v>
      </c>
      <c r="E22">
        <v>5</v>
      </c>
      <c r="H22" s="95" t="s">
        <v>773</v>
      </c>
      <c r="I22" s="94">
        <v>0.28889034024416033</v>
      </c>
      <c r="J22" s="94">
        <v>7.8932576485724298E-2</v>
      </c>
      <c r="K22" s="94">
        <v>3.6599633903551707</v>
      </c>
      <c r="L22" s="95">
        <v>3.0237187348770671E-4</v>
      </c>
      <c r="M22" s="94">
        <v>0.13350147025656101</v>
      </c>
      <c r="N22" s="94">
        <v>0.44427921023175965</v>
      </c>
      <c r="O22" s="23">
        <v>0.13350147025656101</v>
      </c>
      <c r="P22" s="23">
        <v>0.44427921023175965</v>
      </c>
      <c r="S22">
        <v>87.38</v>
      </c>
      <c r="T22">
        <v>17.8</v>
      </c>
      <c r="U22">
        <v>5</v>
      </c>
    </row>
    <row r="23" spans="1:34" x14ac:dyDescent="0.3">
      <c r="A23">
        <v>68</v>
      </c>
      <c r="B23">
        <v>54.8</v>
      </c>
      <c r="C23">
        <v>39</v>
      </c>
      <c r="D23">
        <v>6.4</v>
      </c>
      <c r="E23">
        <v>0</v>
      </c>
      <c r="S23">
        <v>54.8</v>
      </c>
      <c r="T23">
        <v>6.4</v>
      </c>
      <c r="U23">
        <v>0</v>
      </c>
    </row>
    <row r="24" spans="1:34" x14ac:dyDescent="0.3">
      <c r="A24">
        <v>78</v>
      </c>
      <c r="B24">
        <v>54.76</v>
      </c>
      <c r="C24">
        <v>38</v>
      </c>
      <c r="D24">
        <v>6.4</v>
      </c>
      <c r="E24">
        <v>0</v>
      </c>
      <c r="S24">
        <v>54.76</v>
      </c>
      <c r="T24">
        <v>6.4</v>
      </c>
      <c r="U24">
        <v>0</v>
      </c>
    </row>
    <row r="25" spans="1:34" x14ac:dyDescent="0.3">
      <c r="A25">
        <v>61</v>
      </c>
      <c r="B25">
        <v>81.45</v>
      </c>
      <c r="C25">
        <v>39</v>
      </c>
      <c r="D25">
        <v>15.6</v>
      </c>
      <c r="E25">
        <v>4</v>
      </c>
      <c r="S25">
        <v>81.45</v>
      </c>
      <c r="T25">
        <v>15.6</v>
      </c>
      <c r="U25">
        <v>4</v>
      </c>
    </row>
    <row r="26" spans="1:34" x14ac:dyDescent="0.3">
      <c r="A26">
        <v>79</v>
      </c>
      <c r="B26">
        <v>81.45</v>
      </c>
      <c r="C26">
        <v>26</v>
      </c>
      <c r="D26">
        <v>15.5</v>
      </c>
      <c r="E26">
        <v>4</v>
      </c>
      <c r="S26">
        <v>81.45</v>
      </c>
      <c r="T26">
        <v>15.5</v>
      </c>
      <c r="U26">
        <v>4</v>
      </c>
      <c r="W26" s="92" t="s">
        <v>771</v>
      </c>
      <c r="X26" s="92"/>
      <c r="Y26" s="92"/>
      <c r="Z26" s="92"/>
      <c r="AA26" s="92"/>
      <c r="AB26" s="92"/>
      <c r="AC26" s="92"/>
      <c r="AD26" s="92"/>
      <c r="AE26" s="92"/>
      <c r="AF26" s="92"/>
      <c r="AG26" s="92"/>
      <c r="AH26" s="92"/>
    </row>
    <row r="27" spans="1:34" x14ac:dyDescent="0.3">
      <c r="A27">
        <v>34</v>
      </c>
      <c r="B27">
        <v>68.58</v>
      </c>
      <c r="C27">
        <v>26</v>
      </c>
      <c r="D27">
        <v>11.4</v>
      </c>
      <c r="E27">
        <v>2</v>
      </c>
      <c r="S27">
        <v>68.58</v>
      </c>
      <c r="T27">
        <v>11.4</v>
      </c>
      <c r="U27">
        <v>2</v>
      </c>
      <c r="W27" s="92" t="s">
        <v>768</v>
      </c>
      <c r="X27" s="92"/>
      <c r="Y27" s="92"/>
      <c r="Z27" s="92"/>
      <c r="AA27" s="92"/>
      <c r="AB27" s="92"/>
      <c r="AC27" s="92"/>
      <c r="AD27" s="92"/>
      <c r="AE27" s="92"/>
      <c r="AF27" s="92"/>
      <c r="AG27" s="92"/>
      <c r="AH27" s="92"/>
    </row>
    <row r="28" spans="1:34" x14ac:dyDescent="0.3">
      <c r="A28">
        <v>81</v>
      </c>
      <c r="B28">
        <v>94.34</v>
      </c>
      <c r="C28">
        <v>32</v>
      </c>
      <c r="D28">
        <v>19.8</v>
      </c>
      <c r="E28">
        <v>6</v>
      </c>
      <c r="S28">
        <v>94.34</v>
      </c>
      <c r="T28">
        <v>19.8</v>
      </c>
      <c r="U28">
        <v>6</v>
      </c>
      <c r="W28" s="92" t="s">
        <v>772</v>
      </c>
      <c r="X28" s="92"/>
      <c r="Y28" s="92"/>
      <c r="Z28" s="92"/>
      <c r="AA28" s="92"/>
      <c r="AB28" s="92"/>
      <c r="AC28" s="92"/>
      <c r="AD28" s="92"/>
      <c r="AE28" s="92"/>
      <c r="AF28" s="92"/>
      <c r="AG28" s="92"/>
      <c r="AH28" s="92"/>
    </row>
    <row r="29" spans="1:34" x14ac:dyDescent="0.3">
      <c r="A29">
        <v>81</v>
      </c>
      <c r="B29">
        <v>54.64</v>
      </c>
      <c r="C29">
        <v>27</v>
      </c>
      <c r="D29">
        <v>6.4</v>
      </c>
      <c r="E29">
        <v>0</v>
      </c>
      <c r="S29">
        <v>54.64</v>
      </c>
      <c r="T29">
        <v>6.4</v>
      </c>
      <c r="U29">
        <v>0</v>
      </c>
      <c r="W29" s="92" t="s">
        <v>769</v>
      </c>
      <c r="X29" s="92"/>
      <c r="Y29" s="92"/>
      <c r="Z29" s="92"/>
      <c r="AA29" s="92"/>
      <c r="AB29" s="92"/>
      <c r="AC29" s="92"/>
      <c r="AD29" s="92"/>
      <c r="AE29" s="92"/>
      <c r="AF29" s="92"/>
      <c r="AG29" s="92"/>
      <c r="AH29" s="92"/>
    </row>
    <row r="30" spans="1:34" x14ac:dyDescent="0.3">
      <c r="A30">
        <v>66</v>
      </c>
      <c r="B30">
        <v>87.38</v>
      </c>
      <c r="C30">
        <v>27</v>
      </c>
      <c r="D30">
        <v>17.8</v>
      </c>
      <c r="E30">
        <v>5</v>
      </c>
      <c r="S30">
        <v>87.38</v>
      </c>
      <c r="T30">
        <v>17.8</v>
      </c>
      <c r="U30">
        <v>5</v>
      </c>
      <c r="W30" s="92" t="s">
        <v>770</v>
      </c>
      <c r="X30" s="92"/>
      <c r="Y30" s="92"/>
      <c r="Z30" s="92"/>
      <c r="AA30" s="92"/>
      <c r="AB30" s="92"/>
      <c r="AC30" s="92"/>
      <c r="AD30" s="92"/>
      <c r="AE30" s="92"/>
      <c r="AF30" s="92"/>
      <c r="AG30" s="92"/>
      <c r="AH30" s="92"/>
    </row>
    <row r="31" spans="1:34" x14ac:dyDescent="0.3">
      <c r="A31">
        <v>81</v>
      </c>
      <c r="B31">
        <v>73.86</v>
      </c>
      <c r="C31">
        <v>25</v>
      </c>
      <c r="D31">
        <v>13.6</v>
      </c>
      <c r="E31">
        <v>3</v>
      </c>
      <c r="S31">
        <v>73.86</v>
      </c>
      <c r="T31">
        <v>13.6</v>
      </c>
      <c r="U31">
        <v>3</v>
      </c>
      <c r="W31" s="92"/>
      <c r="X31" s="92"/>
      <c r="Y31" s="92"/>
      <c r="Z31" s="92"/>
      <c r="AA31" s="92"/>
      <c r="AB31" s="92"/>
      <c r="AC31" s="92"/>
      <c r="AD31" s="92"/>
      <c r="AE31" s="92"/>
      <c r="AF31" s="92"/>
      <c r="AG31" s="92"/>
      <c r="AH31" s="92"/>
    </row>
    <row r="32" spans="1:34" x14ac:dyDescent="0.3">
      <c r="A32">
        <v>70</v>
      </c>
      <c r="B32">
        <v>87.18</v>
      </c>
      <c r="C32">
        <v>33</v>
      </c>
      <c r="D32">
        <v>17.7</v>
      </c>
      <c r="E32">
        <v>5</v>
      </c>
      <c r="S32">
        <v>87.18</v>
      </c>
      <c r="T32">
        <v>17.7</v>
      </c>
      <c r="U32">
        <v>5</v>
      </c>
    </row>
    <row r="33" spans="1:21" x14ac:dyDescent="0.3">
      <c r="A33">
        <v>74</v>
      </c>
      <c r="B33">
        <v>61.64</v>
      </c>
      <c r="C33">
        <v>34</v>
      </c>
      <c r="D33">
        <v>9.1999999999999993</v>
      </c>
      <c r="E33">
        <v>1</v>
      </c>
      <c r="S33">
        <v>61.64</v>
      </c>
      <c r="T33">
        <v>9.1999999999999993</v>
      </c>
      <c r="U33">
        <v>1</v>
      </c>
    </row>
    <row r="34" spans="1:21" x14ac:dyDescent="0.3">
      <c r="A34">
        <v>83</v>
      </c>
      <c r="B34">
        <v>61.37</v>
      </c>
      <c r="C34">
        <v>22</v>
      </c>
      <c r="D34">
        <v>9.1999999999999993</v>
      </c>
      <c r="E34">
        <v>1</v>
      </c>
      <c r="S34">
        <v>61.37</v>
      </c>
      <c r="T34">
        <v>9.1999999999999993</v>
      </c>
      <c r="U34">
        <v>1</v>
      </c>
    </row>
    <row r="35" spans="1:21" x14ac:dyDescent="0.3">
      <c r="A35">
        <v>22</v>
      </c>
      <c r="B35">
        <v>81.31</v>
      </c>
      <c r="C35">
        <v>21</v>
      </c>
      <c r="D35">
        <v>15.5</v>
      </c>
      <c r="E35">
        <v>4</v>
      </c>
      <c r="S35">
        <v>81.31</v>
      </c>
      <c r="T35">
        <v>15.5</v>
      </c>
      <c r="U35">
        <v>4</v>
      </c>
    </row>
    <row r="36" spans="1:21" x14ac:dyDescent="0.3">
      <c r="A36">
        <v>70</v>
      </c>
      <c r="B36">
        <v>68.239999999999995</v>
      </c>
      <c r="C36">
        <v>35</v>
      </c>
      <c r="D36">
        <v>11.4</v>
      </c>
      <c r="E36">
        <v>2</v>
      </c>
      <c r="S36">
        <v>68.239999999999995</v>
      </c>
      <c r="T36">
        <v>11.4</v>
      </c>
      <c r="U36">
        <v>2</v>
      </c>
    </row>
    <row r="37" spans="1:21" x14ac:dyDescent="0.3">
      <c r="A37">
        <v>26</v>
      </c>
      <c r="B37">
        <v>61.28</v>
      </c>
      <c r="C37">
        <v>36</v>
      </c>
      <c r="D37">
        <v>9.1999999999999993</v>
      </c>
      <c r="E37">
        <v>1</v>
      </c>
      <c r="S37">
        <v>61.28</v>
      </c>
      <c r="T37">
        <v>9.1999999999999993</v>
      </c>
      <c r="U37">
        <v>1</v>
      </c>
    </row>
    <row r="38" spans="1:21" x14ac:dyDescent="0.3">
      <c r="A38">
        <v>40</v>
      </c>
      <c r="B38">
        <v>54.13</v>
      </c>
      <c r="C38">
        <v>21</v>
      </c>
      <c r="D38">
        <v>6.4</v>
      </c>
      <c r="E38">
        <v>0</v>
      </c>
      <c r="S38">
        <v>54.13</v>
      </c>
      <c r="T38">
        <v>6.4</v>
      </c>
      <c r="U38">
        <v>0</v>
      </c>
    </row>
    <row r="39" spans="1:21" x14ac:dyDescent="0.3">
      <c r="A39">
        <v>92</v>
      </c>
      <c r="B39">
        <v>87.13</v>
      </c>
      <c r="C39">
        <v>24</v>
      </c>
      <c r="D39">
        <v>17.5</v>
      </c>
      <c r="E39">
        <v>5</v>
      </c>
      <c r="S39">
        <v>87.13</v>
      </c>
      <c r="T39">
        <v>17.5</v>
      </c>
      <c r="U39">
        <v>5</v>
      </c>
    </row>
    <row r="40" spans="1:21" x14ac:dyDescent="0.3">
      <c r="A40">
        <v>58</v>
      </c>
      <c r="B40">
        <v>87.02</v>
      </c>
      <c r="C40">
        <v>27</v>
      </c>
      <c r="D40">
        <v>17.399999999999999</v>
      </c>
      <c r="E40">
        <v>5</v>
      </c>
      <c r="S40">
        <v>87.02</v>
      </c>
      <c r="T40">
        <v>17.399999999999999</v>
      </c>
      <c r="U40">
        <v>5</v>
      </c>
    </row>
    <row r="41" spans="1:21" x14ac:dyDescent="0.3">
      <c r="A41">
        <v>37</v>
      </c>
      <c r="B41">
        <v>81.19</v>
      </c>
      <c r="C41">
        <v>35</v>
      </c>
      <c r="D41">
        <v>15.5</v>
      </c>
      <c r="E41">
        <v>4</v>
      </c>
      <c r="S41">
        <v>81.19</v>
      </c>
      <c r="T41">
        <v>15.5</v>
      </c>
      <c r="U41">
        <v>4</v>
      </c>
    </row>
    <row r="42" spans="1:21" x14ac:dyDescent="0.3">
      <c r="A42">
        <v>23</v>
      </c>
      <c r="B42">
        <v>94.2</v>
      </c>
      <c r="C42">
        <v>36</v>
      </c>
      <c r="D42">
        <v>19.8</v>
      </c>
      <c r="E42">
        <v>6</v>
      </c>
      <c r="S42">
        <v>94.2</v>
      </c>
      <c r="T42">
        <v>19.8</v>
      </c>
      <c r="U42">
        <v>6</v>
      </c>
    </row>
    <row r="43" spans="1:21" x14ac:dyDescent="0.3">
      <c r="A43">
        <v>79</v>
      </c>
      <c r="B43">
        <v>94.13</v>
      </c>
      <c r="C43">
        <v>21</v>
      </c>
      <c r="D43">
        <v>19.600000000000001</v>
      </c>
      <c r="E43">
        <v>6</v>
      </c>
      <c r="S43">
        <v>94.13</v>
      </c>
      <c r="T43">
        <v>19.600000000000001</v>
      </c>
      <c r="U43">
        <v>6</v>
      </c>
    </row>
    <row r="44" spans="1:21" x14ac:dyDescent="0.3">
      <c r="A44">
        <v>33</v>
      </c>
      <c r="B44">
        <v>73.83</v>
      </c>
      <c r="C44">
        <v>27</v>
      </c>
      <c r="D44">
        <v>13.6</v>
      </c>
      <c r="E44">
        <v>3</v>
      </c>
      <c r="S44">
        <v>73.83</v>
      </c>
      <c r="T44">
        <v>13.6</v>
      </c>
      <c r="U44">
        <v>3</v>
      </c>
    </row>
    <row r="45" spans="1:21" x14ac:dyDescent="0.3">
      <c r="A45">
        <v>28</v>
      </c>
      <c r="B45">
        <v>81.099999999999994</v>
      </c>
      <c r="C45">
        <v>18</v>
      </c>
      <c r="D45">
        <v>15.5</v>
      </c>
      <c r="E45">
        <v>4</v>
      </c>
      <c r="S45">
        <v>81.099999999999994</v>
      </c>
      <c r="T45">
        <v>15.5</v>
      </c>
      <c r="U45">
        <v>4</v>
      </c>
    </row>
    <row r="46" spans="1:21" x14ac:dyDescent="0.3">
      <c r="A46">
        <v>72</v>
      </c>
      <c r="B46">
        <v>73.63</v>
      </c>
      <c r="C46">
        <v>35</v>
      </c>
      <c r="D46">
        <v>13.6</v>
      </c>
      <c r="E46">
        <v>3</v>
      </c>
      <c r="S46">
        <v>73.63</v>
      </c>
      <c r="T46">
        <v>13.6</v>
      </c>
      <c r="U46">
        <v>3</v>
      </c>
    </row>
    <row r="47" spans="1:21" x14ac:dyDescent="0.3">
      <c r="A47">
        <v>21</v>
      </c>
      <c r="B47">
        <v>93.85</v>
      </c>
      <c r="C47">
        <v>22</v>
      </c>
      <c r="D47">
        <v>19.600000000000001</v>
      </c>
      <c r="E47">
        <v>6</v>
      </c>
      <c r="S47">
        <v>93.85</v>
      </c>
      <c r="T47">
        <v>19.600000000000001</v>
      </c>
      <c r="U47">
        <v>6</v>
      </c>
    </row>
    <row r="48" spans="1:21" x14ac:dyDescent="0.3">
      <c r="A48">
        <v>79</v>
      </c>
      <c r="B48">
        <v>81.08</v>
      </c>
      <c r="C48">
        <v>32</v>
      </c>
      <c r="D48">
        <v>15.5</v>
      </c>
      <c r="E48">
        <v>4</v>
      </c>
      <c r="S48">
        <v>81.08</v>
      </c>
      <c r="T48">
        <v>15.5</v>
      </c>
      <c r="U48">
        <v>4</v>
      </c>
    </row>
    <row r="49" spans="1:21" x14ac:dyDescent="0.3">
      <c r="A49">
        <v>90</v>
      </c>
      <c r="B49">
        <v>80.739999999999995</v>
      </c>
      <c r="C49">
        <v>34</v>
      </c>
      <c r="D49">
        <v>15.5</v>
      </c>
      <c r="E49">
        <v>4</v>
      </c>
      <c r="S49">
        <v>80.739999999999995</v>
      </c>
      <c r="T49">
        <v>15.5</v>
      </c>
      <c r="U49">
        <v>4</v>
      </c>
    </row>
    <row r="50" spans="1:21" x14ac:dyDescent="0.3">
      <c r="A50">
        <v>63</v>
      </c>
      <c r="B50">
        <v>80.150000000000006</v>
      </c>
      <c r="C50">
        <v>20</v>
      </c>
      <c r="D50">
        <v>15.4</v>
      </c>
      <c r="E50">
        <v>4</v>
      </c>
      <c r="S50">
        <v>80.150000000000006</v>
      </c>
      <c r="T50">
        <v>15.4</v>
      </c>
      <c r="U50">
        <v>4</v>
      </c>
    </row>
    <row r="51" spans="1:21" x14ac:dyDescent="0.3">
      <c r="A51">
        <v>27</v>
      </c>
      <c r="B51">
        <v>93.55</v>
      </c>
      <c r="C51">
        <v>29</v>
      </c>
      <c r="D51">
        <v>19.5</v>
      </c>
      <c r="E51">
        <v>6</v>
      </c>
      <c r="S51">
        <v>93.55</v>
      </c>
      <c r="T51">
        <v>19.5</v>
      </c>
      <c r="U51">
        <v>6</v>
      </c>
    </row>
    <row r="52" spans="1:21" x14ac:dyDescent="0.3">
      <c r="A52">
        <v>66</v>
      </c>
      <c r="B52">
        <v>73.510000000000005</v>
      </c>
      <c r="C52">
        <v>19</v>
      </c>
      <c r="D52">
        <v>13.4</v>
      </c>
      <c r="E52">
        <v>3</v>
      </c>
      <c r="S52">
        <v>73.510000000000005</v>
      </c>
      <c r="T52">
        <v>13.4</v>
      </c>
      <c r="U52">
        <v>3</v>
      </c>
    </row>
    <row r="53" spans="1:21" x14ac:dyDescent="0.3">
      <c r="A53">
        <v>54</v>
      </c>
      <c r="B53">
        <v>73.510000000000005</v>
      </c>
      <c r="C53">
        <v>18</v>
      </c>
      <c r="D53">
        <v>13.4</v>
      </c>
      <c r="E53">
        <v>3</v>
      </c>
      <c r="S53">
        <v>73.510000000000005</v>
      </c>
      <c r="T53">
        <v>13.4</v>
      </c>
      <c r="U53">
        <v>3</v>
      </c>
    </row>
    <row r="54" spans="1:21" x14ac:dyDescent="0.3">
      <c r="A54">
        <v>55</v>
      </c>
      <c r="B54">
        <v>79.8</v>
      </c>
      <c r="C54">
        <v>38</v>
      </c>
      <c r="D54">
        <v>15.4</v>
      </c>
      <c r="E54">
        <v>4</v>
      </c>
      <c r="S54">
        <v>79.8</v>
      </c>
      <c r="T54">
        <v>15.4</v>
      </c>
      <c r="U54">
        <v>4</v>
      </c>
    </row>
    <row r="55" spans="1:21" x14ac:dyDescent="0.3">
      <c r="A55">
        <v>69</v>
      </c>
      <c r="B55">
        <v>61.04</v>
      </c>
      <c r="C55">
        <v>34</v>
      </c>
      <c r="D55">
        <v>9.1999999999999993</v>
      </c>
      <c r="E55">
        <v>1</v>
      </c>
      <c r="S55">
        <v>61.04</v>
      </c>
      <c r="T55">
        <v>9.1999999999999993</v>
      </c>
      <c r="U55">
        <v>1</v>
      </c>
    </row>
    <row r="56" spans="1:21" x14ac:dyDescent="0.3">
      <c r="A56">
        <v>23</v>
      </c>
      <c r="B56">
        <v>68.2</v>
      </c>
      <c r="C56">
        <v>39</v>
      </c>
      <c r="D56">
        <v>11.3</v>
      </c>
      <c r="E56">
        <v>2</v>
      </c>
      <c r="S56">
        <v>68.2</v>
      </c>
      <c r="T56">
        <v>11.3</v>
      </c>
      <c r="U56">
        <v>2</v>
      </c>
    </row>
    <row r="57" spans="1:21" x14ac:dyDescent="0.3">
      <c r="A57">
        <v>21</v>
      </c>
      <c r="B57">
        <v>93.3</v>
      </c>
      <c r="C57">
        <v>33</v>
      </c>
      <c r="D57">
        <v>19.5</v>
      </c>
      <c r="E57">
        <v>6</v>
      </c>
      <c r="S57">
        <v>93.3</v>
      </c>
      <c r="T57">
        <v>19.5</v>
      </c>
      <c r="U57">
        <v>6</v>
      </c>
    </row>
    <row r="58" spans="1:21" x14ac:dyDescent="0.3">
      <c r="A58">
        <v>25</v>
      </c>
      <c r="B58">
        <v>68.2</v>
      </c>
      <c r="C58">
        <v>22</v>
      </c>
      <c r="D58">
        <v>11.3</v>
      </c>
      <c r="E58">
        <v>2</v>
      </c>
      <c r="S58">
        <v>68.2</v>
      </c>
      <c r="T58">
        <v>11.3</v>
      </c>
      <c r="U58">
        <v>2</v>
      </c>
    </row>
    <row r="59" spans="1:21" x14ac:dyDescent="0.3">
      <c r="A59">
        <v>73</v>
      </c>
      <c r="B59">
        <v>68.11</v>
      </c>
      <c r="C59">
        <v>32</v>
      </c>
      <c r="D59">
        <v>11.2</v>
      </c>
      <c r="E59">
        <v>2</v>
      </c>
      <c r="S59">
        <v>68.11</v>
      </c>
      <c r="T59">
        <v>11.2</v>
      </c>
      <c r="U59">
        <v>2</v>
      </c>
    </row>
    <row r="60" spans="1:21" x14ac:dyDescent="0.3">
      <c r="A60">
        <v>23</v>
      </c>
      <c r="B60">
        <v>73.459999999999994</v>
      </c>
      <c r="C60">
        <v>20</v>
      </c>
      <c r="D60">
        <v>13.3</v>
      </c>
      <c r="E60">
        <v>3</v>
      </c>
      <c r="S60">
        <v>73.459999999999994</v>
      </c>
      <c r="T60">
        <v>13.3</v>
      </c>
      <c r="U60">
        <v>3</v>
      </c>
    </row>
    <row r="61" spans="1:21" x14ac:dyDescent="0.3">
      <c r="A61">
        <v>73</v>
      </c>
      <c r="B61">
        <v>73.459999999999994</v>
      </c>
      <c r="C61">
        <v>24</v>
      </c>
      <c r="D61">
        <v>13.3</v>
      </c>
      <c r="E61">
        <v>3</v>
      </c>
      <c r="S61">
        <v>73.459999999999994</v>
      </c>
      <c r="T61">
        <v>13.3</v>
      </c>
      <c r="U61">
        <v>3</v>
      </c>
    </row>
    <row r="62" spans="1:21" x14ac:dyDescent="0.3">
      <c r="A62">
        <v>82</v>
      </c>
      <c r="B62">
        <v>60.74</v>
      </c>
      <c r="C62">
        <v>28</v>
      </c>
      <c r="D62">
        <v>9.1999999999999993</v>
      </c>
      <c r="E62">
        <v>1</v>
      </c>
      <c r="S62">
        <v>60.74</v>
      </c>
      <c r="T62">
        <v>9.1999999999999993</v>
      </c>
      <c r="U62">
        <v>1</v>
      </c>
    </row>
    <row r="63" spans="1:21" x14ac:dyDescent="0.3">
      <c r="A63">
        <v>37</v>
      </c>
      <c r="B63">
        <v>68.069999999999993</v>
      </c>
      <c r="C63">
        <v>27</v>
      </c>
      <c r="D63">
        <v>11.1</v>
      </c>
      <c r="E63">
        <v>2</v>
      </c>
      <c r="S63">
        <v>68.069999999999993</v>
      </c>
      <c r="T63">
        <v>11.1</v>
      </c>
      <c r="U63">
        <v>2</v>
      </c>
    </row>
    <row r="64" spans="1:21" x14ac:dyDescent="0.3">
      <c r="A64">
        <v>63</v>
      </c>
      <c r="B64">
        <v>67.92</v>
      </c>
      <c r="C64">
        <v>26</v>
      </c>
      <c r="D64">
        <v>11</v>
      </c>
      <c r="E64">
        <v>2</v>
      </c>
      <c r="S64">
        <v>67.92</v>
      </c>
      <c r="T64">
        <v>11</v>
      </c>
      <c r="U64">
        <v>2</v>
      </c>
    </row>
    <row r="65" spans="1:21" x14ac:dyDescent="0.3">
      <c r="A65">
        <v>53</v>
      </c>
      <c r="B65">
        <v>79.77</v>
      </c>
      <c r="C65">
        <v>31</v>
      </c>
      <c r="D65">
        <v>15.4</v>
      </c>
      <c r="E65">
        <v>4</v>
      </c>
      <c r="S65">
        <v>79.77</v>
      </c>
      <c r="T65">
        <v>15.4</v>
      </c>
      <c r="U65">
        <v>4</v>
      </c>
    </row>
    <row r="66" spans="1:21" x14ac:dyDescent="0.3">
      <c r="A66">
        <v>93</v>
      </c>
      <c r="B66">
        <v>73.41</v>
      </c>
      <c r="C66">
        <v>30</v>
      </c>
      <c r="D66">
        <v>13.2</v>
      </c>
      <c r="E66">
        <v>3</v>
      </c>
      <c r="S66">
        <v>73.41</v>
      </c>
      <c r="T66">
        <v>13.2</v>
      </c>
      <c r="U66">
        <v>3</v>
      </c>
    </row>
    <row r="67" spans="1:21" x14ac:dyDescent="0.3">
      <c r="A67">
        <v>81</v>
      </c>
      <c r="B67">
        <v>67.849999999999994</v>
      </c>
      <c r="C67">
        <v>19</v>
      </c>
      <c r="D67">
        <v>10.8</v>
      </c>
      <c r="E67">
        <v>2</v>
      </c>
      <c r="S67">
        <v>67.849999999999994</v>
      </c>
      <c r="T67">
        <v>10.8</v>
      </c>
      <c r="U67">
        <v>2</v>
      </c>
    </row>
    <row r="68" spans="1:21" x14ac:dyDescent="0.3">
      <c r="A68">
        <v>33</v>
      </c>
      <c r="B68">
        <v>86.9</v>
      </c>
      <c r="C68">
        <v>20</v>
      </c>
      <c r="D68">
        <v>17.3</v>
      </c>
      <c r="E68">
        <v>5</v>
      </c>
      <c r="S68">
        <v>86.9</v>
      </c>
      <c r="T68">
        <v>17.3</v>
      </c>
      <c r="U68">
        <v>5</v>
      </c>
    </row>
    <row r="69" spans="1:21" x14ac:dyDescent="0.3">
      <c r="A69">
        <v>67</v>
      </c>
      <c r="B69">
        <v>60.38</v>
      </c>
      <c r="C69">
        <v>24</v>
      </c>
      <c r="D69">
        <v>9.1</v>
      </c>
      <c r="E69">
        <v>1</v>
      </c>
      <c r="S69">
        <v>60.38</v>
      </c>
      <c r="T69">
        <v>9.1</v>
      </c>
      <c r="U69">
        <v>1</v>
      </c>
    </row>
    <row r="70" spans="1:21" x14ac:dyDescent="0.3">
      <c r="A70">
        <v>34</v>
      </c>
      <c r="B70">
        <v>86.84</v>
      </c>
      <c r="C70">
        <v>38</v>
      </c>
      <c r="D70">
        <v>17.3</v>
      </c>
      <c r="E70">
        <v>5</v>
      </c>
      <c r="S70">
        <v>86.84</v>
      </c>
      <c r="T70">
        <v>17.3</v>
      </c>
      <c r="U70">
        <v>5</v>
      </c>
    </row>
    <row r="71" spans="1:21" x14ac:dyDescent="0.3">
      <c r="A71">
        <v>91</v>
      </c>
      <c r="B71">
        <v>86.68</v>
      </c>
      <c r="C71">
        <v>35</v>
      </c>
      <c r="D71">
        <v>17.3</v>
      </c>
      <c r="E71">
        <v>5</v>
      </c>
      <c r="S71">
        <v>86.68</v>
      </c>
      <c r="T71">
        <v>17.3</v>
      </c>
      <c r="U71">
        <v>5</v>
      </c>
    </row>
    <row r="72" spans="1:21" x14ac:dyDescent="0.3">
      <c r="A72">
        <v>81</v>
      </c>
      <c r="B72">
        <v>93.29</v>
      </c>
      <c r="C72">
        <v>20</v>
      </c>
      <c r="D72">
        <v>19.5</v>
      </c>
      <c r="E72">
        <v>6</v>
      </c>
      <c r="S72">
        <v>93.29</v>
      </c>
      <c r="T72">
        <v>19.5</v>
      </c>
      <c r="U72">
        <v>6</v>
      </c>
    </row>
    <row r="73" spans="1:21" x14ac:dyDescent="0.3">
      <c r="A73">
        <v>59</v>
      </c>
      <c r="B73">
        <v>93.26</v>
      </c>
      <c r="C73">
        <v>27</v>
      </c>
      <c r="D73">
        <v>19.5</v>
      </c>
      <c r="E73">
        <v>6</v>
      </c>
      <c r="S73">
        <v>93.26</v>
      </c>
      <c r="T73">
        <v>19.5</v>
      </c>
      <c r="U73">
        <v>6</v>
      </c>
    </row>
    <row r="74" spans="1:21" x14ac:dyDescent="0.3">
      <c r="A74">
        <v>72</v>
      </c>
      <c r="B74">
        <v>60.29</v>
      </c>
      <c r="C74">
        <v>39</v>
      </c>
      <c r="D74">
        <v>8.8000000000000007</v>
      </c>
      <c r="E74">
        <v>1</v>
      </c>
      <c r="S74">
        <v>60.29</v>
      </c>
      <c r="T74">
        <v>8.8000000000000007</v>
      </c>
      <c r="U74">
        <v>1</v>
      </c>
    </row>
    <row r="75" spans="1:21" x14ac:dyDescent="0.3">
      <c r="A75">
        <v>43</v>
      </c>
      <c r="B75">
        <v>86.33</v>
      </c>
      <c r="C75">
        <v>24</v>
      </c>
      <c r="D75">
        <v>17.2</v>
      </c>
      <c r="E75">
        <v>5</v>
      </c>
      <c r="S75">
        <v>86.33</v>
      </c>
      <c r="T75">
        <v>17.2</v>
      </c>
      <c r="U75">
        <v>5</v>
      </c>
    </row>
    <row r="76" spans="1:21" x14ac:dyDescent="0.3">
      <c r="A76">
        <v>45</v>
      </c>
      <c r="B76">
        <v>67.650000000000006</v>
      </c>
      <c r="C76">
        <v>26</v>
      </c>
      <c r="D76">
        <v>10.8</v>
      </c>
      <c r="E76">
        <v>2</v>
      </c>
      <c r="S76">
        <v>67.650000000000006</v>
      </c>
      <c r="T76">
        <v>10.8</v>
      </c>
      <c r="U76">
        <v>2</v>
      </c>
    </row>
    <row r="77" spans="1:21" x14ac:dyDescent="0.3">
      <c r="A77">
        <v>79</v>
      </c>
      <c r="B77">
        <v>73.319999999999993</v>
      </c>
      <c r="C77">
        <v>34</v>
      </c>
      <c r="D77">
        <v>13.2</v>
      </c>
      <c r="E77">
        <v>3</v>
      </c>
      <c r="S77">
        <v>73.319999999999993</v>
      </c>
      <c r="T77">
        <v>13.2</v>
      </c>
      <c r="U77">
        <v>3</v>
      </c>
    </row>
    <row r="78" spans="1:21" x14ac:dyDescent="0.3">
      <c r="A78">
        <v>60</v>
      </c>
      <c r="B78">
        <v>59.88</v>
      </c>
      <c r="C78">
        <v>28</v>
      </c>
      <c r="D78">
        <v>8.6999999999999993</v>
      </c>
      <c r="E78">
        <v>1</v>
      </c>
      <c r="S78">
        <v>59.88</v>
      </c>
      <c r="T78">
        <v>8.6999999999999993</v>
      </c>
      <c r="U78">
        <v>1</v>
      </c>
    </row>
    <row r="79" spans="1:21" x14ac:dyDescent="0.3">
      <c r="A79">
        <v>48</v>
      </c>
      <c r="B79">
        <v>79.260000000000005</v>
      </c>
      <c r="C79">
        <v>24</v>
      </c>
      <c r="D79">
        <v>15.3</v>
      </c>
      <c r="E79">
        <v>4</v>
      </c>
      <c r="S79">
        <v>79.260000000000005</v>
      </c>
      <c r="T79">
        <v>15.3</v>
      </c>
      <c r="U79">
        <v>4</v>
      </c>
    </row>
    <row r="80" spans="1:21" x14ac:dyDescent="0.3">
      <c r="A80">
        <v>34</v>
      </c>
      <c r="B80">
        <v>86.18</v>
      </c>
      <c r="C80">
        <v>31</v>
      </c>
      <c r="D80">
        <v>17.2</v>
      </c>
      <c r="E80">
        <v>5</v>
      </c>
      <c r="S80">
        <v>86.18</v>
      </c>
      <c r="T80">
        <v>17.2</v>
      </c>
      <c r="U80">
        <v>5</v>
      </c>
    </row>
    <row r="81" spans="1:21" x14ac:dyDescent="0.3">
      <c r="A81">
        <v>64</v>
      </c>
      <c r="B81">
        <v>59.81</v>
      </c>
      <c r="C81">
        <v>36</v>
      </c>
      <c r="D81">
        <v>8.4</v>
      </c>
      <c r="E81">
        <v>1</v>
      </c>
      <c r="S81">
        <v>59.81</v>
      </c>
      <c r="T81">
        <v>8.4</v>
      </c>
      <c r="U81">
        <v>1</v>
      </c>
    </row>
    <row r="82" spans="1:21" x14ac:dyDescent="0.3">
      <c r="A82">
        <v>84</v>
      </c>
      <c r="B82">
        <v>54.07</v>
      </c>
      <c r="C82">
        <v>21</v>
      </c>
      <c r="D82">
        <v>6.3</v>
      </c>
      <c r="E82">
        <v>0</v>
      </c>
      <c r="S82">
        <v>54.07</v>
      </c>
      <c r="T82">
        <v>6.3</v>
      </c>
      <c r="U82">
        <v>0</v>
      </c>
    </row>
    <row r="83" spans="1:21" x14ac:dyDescent="0.3">
      <c r="A83">
        <v>90</v>
      </c>
      <c r="B83">
        <v>53.98</v>
      </c>
      <c r="C83">
        <v>23</v>
      </c>
      <c r="D83">
        <v>6.3</v>
      </c>
      <c r="E83">
        <v>0</v>
      </c>
      <c r="S83">
        <v>53.98</v>
      </c>
      <c r="T83">
        <v>6.3</v>
      </c>
      <c r="U83">
        <v>0</v>
      </c>
    </row>
    <row r="84" spans="1:21" x14ac:dyDescent="0.3">
      <c r="A84">
        <v>28</v>
      </c>
      <c r="B84">
        <v>93.14</v>
      </c>
      <c r="C84">
        <v>27</v>
      </c>
      <c r="D84">
        <v>19.399999999999999</v>
      </c>
      <c r="E84">
        <v>6</v>
      </c>
      <c r="S84">
        <v>93.14</v>
      </c>
      <c r="T84">
        <v>19.399999999999999</v>
      </c>
      <c r="U84">
        <v>6</v>
      </c>
    </row>
    <row r="85" spans="1:21" x14ac:dyDescent="0.3">
      <c r="A85">
        <v>20</v>
      </c>
      <c r="B85">
        <v>73.22</v>
      </c>
      <c r="C85">
        <v>24</v>
      </c>
      <c r="D85">
        <v>13.2</v>
      </c>
      <c r="E85">
        <v>3</v>
      </c>
      <c r="S85">
        <v>73.22</v>
      </c>
      <c r="T85">
        <v>13.2</v>
      </c>
      <c r="U85">
        <v>3</v>
      </c>
    </row>
    <row r="86" spans="1:21" x14ac:dyDescent="0.3">
      <c r="A86">
        <v>27</v>
      </c>
      <c r="B86">
        <v>67.62</v>
      </c>
      <c r="C86">
        <v>30</v>
      </c>
      <c r="D86">
        <v>10.8</v>
      </c>
      <c r="E86">
        <v>2</v>
      </c>
      <c r="S86">
        <v>67.62</v>
      </c>
      <c r="T86">
        <v>10.8</v>
      </c>
      <c r="U86">
        <v>2</v>
      </c>
    </row>
    <row r="87" spans="1:21" x14ac:dyDescent="0.3">
      <c r="A87">
        <v>82</v>
      </c>
      <c r="B87">
        <v>73.19</v>
      </c>
      <c r="C87">
        <v>31</v>
      </c>
      <c r="D87">
        <v>13.1</v>
      </c>
      <c r="E87">
        <v>3</v>
      </c>
      <c r="S87">
        <v>73.19</v>
      </c>
      <c r="T87">
        <v>13.1</v>
      </c>
      <c r="U87">
        <v>3</v>
      </c>
    </row>
    <row r="88" spans="1:21" x14ac:dyDescent="0.3">
      <c r="A88">
        <v>30</v>
      </c>
      <c r="B88">
        <v>73.06</v>
      </c>
      <c r="C88">
        <v>21</v>
      </c>
      <c r="D88">
        <v>13.1</v>
      </c>
      <c r="E88">
        <v>3</v>
      </c>
      <c r="S88">
        <v>73.06</v>
      </c>
      <c r="T88">
        <v>13.1</v>
      </c>
      <c r="U88">
        <v>3</v>
      </c>
    </row>
    <row r="89" spans="1:21" x14ac:dyDescent="0.3">
      <c r="A89">
        <v>27</v>
      </c>
      <c r="B89">
        <v>72.41</v>
      </c>
      <c r="C89">
        <v>25</v>
      </c>
      <c r="D89">
        <v>13</v>
      </c>
      <c r="E89">
        <v>3</v>
      </c>
      <c r="S89">
        <v>72.41</v>
      </c>
      <c r="T89">
        <v>13</v>
      </c>
      <c r="U89">
        <v>3</v>
      </c>
    </row>
    <row r="90" spans="1:21" x14ac:dyDescent="0.3">
      <c r="A90">
        <v>54</v>
      </c>
      <c r="B90">
        <v>72.39</v>
      </c>
      <c r="C90">
        <v>22</v>
      </c>
      <c r="D90">
        <v>13</v>
      </c>
      <c r="E90">
        <v>3</v>
      </c>
      <c r="S90">
        <v>72.39</v>
      </c>
      <c r="T90">
        <v>13</v>
      </c>
      <c r="U90">
        <v>3</v>
      </c>
    </row>
    <row r="91" spans="1:21" x14ac:dyDescent="0.3">
      <c r="A91">
        <v>54</v>
      </c>
      <c r="B91">
        <v>79.099999999999994</v>
      </c>
      <c r="C91">
        <v>18</v>
      </c>
      <c r="D91">
        <v>15.2</v>
      </c>
      <c r="E91">
        <v>4</v>
      </c>
      <c r="S91">
        <v>79.099999999999994</v>
      </c>
      <c r="T91">
        <v>15.2</v>
      </c>
      <c r="U91">
        <v>4</v>
      </c>
    </row>
    <row r="92" spans="1:21" x14ac:dyDescent="0.3">
      <c r="A92">
        <v>52</v>
      </c>
      <c r="B92">
        <v>79.03</v>
      </c>
      <c r="C92">
        <v>21</v>
      </c>
      <c r="D92">
        <v>15.1</v>
      </c>
      <c r="E92">
        <v>4</v>
      </c>
      <c r="S92">
        <v>79.03</v>
      </c>
      <c r="T92">
        <v>15.1</v>
      </c>
      <c r="U92">
        <v>4</v>
      </c>
    </row>
    <row r="93" spans="1:21" x14ac:dyDescent="0.3">
      <c r="A93">
        <v>24</v>
      </c>
      <c r="B93">
        <v>93.12</v>
      </c>
      <c r="C93">
        <v>20</v>
      </c>
      <c r="D93">
        <v>19.399999999999999</v>
      </c>
      <c r="E93">
        <v>6</v>
      </c>
      <c r="S93">
        <v>93.12</v>
      </c>
      <c r="T93">
        <v>19.399999999999999</v>
      </c>
      <c r="U93">
        <v>6</v>
      </c>
    </row>
    <row r="94" spans="1:21" x14ac:dyDescent="0.3">
      <c r="A94">
        <v>60</v>
      </c>
      <c r="B94">
        <v>59.73</v>
      </c>
      <c r="C94">
        <v>26</v>
      </c>
      <c r="D94">
        <v>8.1999999999999993</v>
      </c>
      <c r="E94">
        <v>1</v>
      </c>
      <c r="S94">
        <v>59.73</v>
      </c>
      <c r="T94">
        <v>8.1999999999999993</v>
      </c>
      <c r="U94">
        <v>1</v>
      </c>
    </row>
    <row r="95" spans="1:21" x14ac:dyDescent="0.3">
      <c r="A95">
        <v>47</v>
      </c>
      <c r="B95">
        <v>53.9</v>
      </c>
      <c r="C95">
        <v>25</v>
      </c>
      <c r="D95">
        <v>6.3</v>
      </c>
      <c r="E95">
        <v>0</v>
      </c>
      <c r="S95">
        <v>53.9</v>
      </c>
      <c r="T95">
        <v>6.3</v>
      </c>
      <c r="U95">
        <v>0</v>
      </c>
    </row>
    <row r="96" spans="1:21" x14ac:dyDescent="0.3">
      <c r="A96">
        <v>26</v>
      </c>
      <c r="B96">
        <v>72.239999999999995</v>
      </c>
      <c r="C96">
        <v>18</v>
      </c>
      <c r="D96">
        <v>12.9</v>
      </c>
      <c r="E96">
        <v>3</v>
      </c>
      <c r="S96">
        <v>72.239999999999995</v>
      </c>
      <c r="T96">
        <v>12.9</v>
      </c>
      <c r="U96">
        <v>3</v>
      </c>
    </row>
    <row r="97" spans="1:21" x14ac:dyDescent="0.3">
      <c r="A97">
        <v>92</v>
      </c>
      <c r="B97">
        <v>93.08</v>
      </c>
      <c r="C97">
        <v>23</v>
      </c>
      <c r="D97">
        <v>19.399999999999999</v>
      </c>
      <c r="E97">
        <v>6</v>
      </c>
      <c r="S97">
        <v>93.08</v>
      </c>
      <c r="T97">
        <v>19.399999999999999</v>
      </c>
      <c r="U97">
        <v>6</v>
      </c>
    </row>
    <row r="98" spans="1:21" x14ac:dyDescent="0.3">
      <c r="A98">
        <v>91</v>
      </c>
      <c r="B98">
        <v>58.69</v>
      </c>
      <c r="C98">
        <v>26</v>
      </c>
      <c r="D98">
        <v>7.9</v>
      </c>
      <c r="E98">
        <v>1</v>
      </c>
      <c r="S98">
        <v>58.69</v>
      </c>
      <c r="T98">
        <v>7.9</v>
      </c>
      <c r="U98">
        <v>1</v>
      </c>
    </row>
    <row r="99" spans="1:21" x14ac:dyDescent="0.3">
      <c r="A99">
        <v>31</v>
      </c>
      <c r="B99">
        <v>53.78</v>
      </c>
      <c r="C99">
        <v>24</v>
      </c>
      <c r="D99">
        <v>6.3</v>
      </c>
      <c r="E99">
        <v>0</v>
      </c>
      <c r="S99">
        <v>53.78</v>
      </c>
      <c r="T99">
        <v>6.3</v>
      </c>
      <c r="U99">
        <v>0</v>
      </c>
    </row>
    <row r="100" spans="1:21" x14ac:dyDescent="0.3">
      <c r="A100">
        <v>53</v>
      </c>
      <c r="B100">
        <v>86.03</v>
      </c>
      <c r="C100">
        <v>21</v>
      </c>
      <c r="D100">
        <v>17.2</v>
      </c>
      <c r="E100">
        <v>5</v>
      </c>
      <c r="S100">
        <v>86.03</v>
      </c>
      <c r="T100">
        <v>17.2</v>
      </c>
      <c r="U100">
        <v>5</v>
      </c>
    </row>
    <row r="101" spans="1:21" x14ac:dyDescent="0.3">
      <c r="A101">
        <v>52</v>
      </c>
      <c r="B101">
        <v>67.599999999999994</v>
      </c>
      <c r="C101">
        <v>30</v>
      </c>
      <c r="D101">
        <v>10.8</v>
      </c>
      <c r="E101">
        <v>2</v>
      </c>
      <c r="S101">
        <v>67.599999999999994</v>
      </c>
      <c r="T101">
        <v>10.8</v>
      </c>
      <c r="U101">
        <v>2</v>
      </c>
    </row>
    <row r="102" spans="1:21" x14ac:dyDescent="0.3">
      <c r="A102">
        <v>67</v>
      </c>
      <c r="B102">
        <v>79</v>
      </c>
      <c r="C102">
        <v>34</v>
      </c>
      <c r="D102">
        <v>14.9</v>
      </c>
      <c r="E102">
        <v>4</v>
      </c>
      <c r="S102">
        <v>79</v>
      </c>
      <c r="T102">
        <v>14.9</v>
      </c>
      <c r="U102">
        <v>4</v>
      </c>
    </row>
    <row r="103" spans="1:21" x14ac:dyDescent="0.3">
      <c r="A103">
        <v>42</v>
      </c>
      <c r="B103">
        <v>85.91</v>
      </c>
      <c r="C103">
        <v>19</v>
      </c>
      <c r="D103">
        <v>17.2</v>
      </c>
      <c r="E103">
        <v>5</v>
      </c>
      <c r="S103">
        <v>85.91</v>
      </c>
      <c r="T103">
        <v>17.2</v>
      </c>
      <c r="U103">
        <v>5</v>
      </c>
    </row>
    <row r="104" spans="1:21" x14ac:dyDescent="0.3">
      <c r="A104">
        <v>81</v>
      </c>
      <c r="B104">
        <v>53.5</v>
      </c>
      <c r="C104">
        <v>22</v>
      </c>
      <c r="D104">
        <v>6.2</v>
      </c>
      <c r="E104">
        <v>0</v>
      </c>
      <c r="S104">
        <v>53.5</v>
      </c>
      <c r="T104">
        <v>6.2</v>
      </c>
      <c r="U104">
        <v>0</v>
      </c>
    </row>
    <row r="105" spans="1:21" x14ac:dyDescent="0.3">
      <c r="A105">
        <v>56</v>
      </c>
      <c r="B105">
        <v>85.79</v>
      </c>
      <c r="C105">
        <v>29</v>
      </c>
      <c r="D105">
        <v>17.2</v>
      </c>
      <c r="E105">
        <v>5</v>
      </c>
      <c r="S105">
        <v>85.79</v>
      </c>
      <c r="T105">
        <v>17.2</v>
      </c>
      <c r="U105">
        <v>5</v>
      </c>
    </row>
    <row r="106" spans="1:21" x14ac:dyDescent="0.3">
      <c r="A106">
        <v>63</v>
      </c>
      <c r="B106">
        <v>67.28</v>
      </c>
      <c r="C106">
        <v>38</v>
      </c>
      <c r="D106">
        <v>10.6</v>
      </c>
      <c r="E106">
        <v>2</v>
      </c>
      <c r="S106">
        <v>67.28</v>
      </c>
      <c r="T106">
        <v>10.6</v>
      </c>
      <c r="U106">
        <v>2</v>
      </c>
    </row>
    <row r="107" spans="1:21" x14ac:dyDescent="0.3">
      <c r="A107">
        <v>54</v>
      </c>
      <c r="B107">
        <v>93.04</v>
      </c>
      <c r="C107">
        <v>25</v>
      </c>
      <c r="D107">
        <v>19.399999999999999</v>
      </c>
      <c r="E107">
        <v>6</v>
      </c>
      <c r="S107">
        <v>93.04</v>
      </c>
      <c r="T107">
        <v>19.399999999999999</v>
      </c>
      <c r="U107">
        <v>6</v>
      </c>
    </row>
    <row r="108" spans="1:21" x14ac:dyDescent="0.3">
      <c r="A108">
        <v>84</v>
      </c>
      <c r="B108">
        <v>53.42</v>
      </c>
      <c r="C108">
        <v>23</v>
      </c>
      <c r="D108">
        <v>6.2</v>
      </c>
      <c r="E108">
        <v>0</v>
      </c>
      <c r="S108">
        <v>53.42</v>
      </c>
      <c r="T108">
        <v>6.2</v>
      </c>
      <c r="U108">
        <v>0</v>
      </c>
    </row>
    <row r="109" spans="1:21" x14ac:dyDescent="0.3">
      <c r="A109">
        <v>66</v>
      </c>
      <c r="B109">
        <v>85.55</v>
      </c>
      <c r="C109">
        <v>25</v>
      </c>
      <c r="D109">
        <v>17.100000000000001</v>
      </c>
      <c r="E109">
        <v>5</v>
      </c>
      <c r="S109">
        <v>85.55</v>
      </c>
      <c r="T109">
        <v>17.100000000000001</v>
      </c>
      <c r="U109">
        <v>5</v>
      </c>
    </row>
    <row r="110" spans="1:21" x14ac:dyDescent="0.3">
      <c r="A110">
        <v>22</v>
      </c>
      <c r="B110">
        <v>78.75</v>
      </c>
      <c r="C110">
        <v>35</v>
      </c>
      <c r="D110">
        <v>14.9</v>
      </c>
      <c r="E110">
        <v>4</v>
      </c>
      <c r="S110">
        <v>78.75</v>
      </c>
      <c r="T110">
        <v>14.9</v>
      </c>
      <c r="U110">
        <v>4</v>
      </c>
    </row>
    <row r="111" spans="1:21" x14ac:dyDescent="0.3">
      <c r="A111">
        <v>20</v>
      </c>
      <c r="B111">
        <v>78.680000000000007</v>
      </c>
      <c r="C111">
        <v>20</v>
      </c>
      <c r="D111">
        <v>14.7</v>
      </c>
      <c r="E111">
        <v>4</v>
      </c>
      <c r="S111">
        <v>78.680000000000007</v>
      </c>
      <c r="T111">
        <v>14.7</v>
      </c>
      <c r="U111">
        <v>4</v>
      </c>
    </row>
    <row r="112" spans="1:21" x14ac:dyDescent="0.3">
      <c r="A112">
        <v>24</v>
      </c>
      <c r="B112">
        <v>58.67</v>
      </c>
      <c r="C112">
        <v>39</v>
      </c>
      <c r="D112">
        <v>7.8</v>
      </c>
      <c r="E112">
        <v>1</v>
      </c>
      <c r="S112">
        <v>58.67</v>
      </c>
      <c r="T112">
        <v>7.8</v>
      </c>
      <c r="U112">
        <v>1</v>
      </c>
    </row>
    <row r="113" spans="1:21" x14ac:dyDescent="0.3">
      <c r="A113">
        <v>33</v>
      </c>
      <c r="B113">
        <v>85.5</v>
      </c>
      <c r="C113">
        <v>29</v>
      </c>
      <c r="D113">
        <v>17.100000000000001</v>
      </c>
      <c r="E113">
        <v>5</v>
      </c>
      <c r="S113">
        <v>85.5</v>
      </c>
      <c r="T113">
        <v>17.100000000000001</v>
      </c>
      <c r="U113">
        <v>5</v>
      </c>
    </row>
    <row r="114" spans="1:21" x14ac:dyDescent="0.3">
      <c r="A114">
        <v>46</v>
      </c>
      <c r="B114">
        <v>72.099999999999994</v>
      </c>
      <c r="C114">
        <v>20</v>
      </c>
      <c r="D114">
        <v>12.8</v>
      </c>
      <c r="E114">
        <v>3</v>
      </c>
      <c r="S114">
        <v>72.099999999999994</v>
      </c>
      <c r="T114">
        <v>12.8</v>
      </c>
      <c r="U114">
        <v>3</v>
      </c>
    </row>
    <row r="115" spans="1:21" x14ac:dyDescent="0.3">
      <c r="A115">
        <v>28</v>
      </c>
      <c r="B115">
        <v>85.09</v>
      </c>
      <c r="C115">
        <v>39</v>
      </c>
      <c r="D115">
        <v>17.100000000000001</v>
      </c>
      <c r="E115">
        <v>5</v>
      </c>
      <c r="S115">
        <v>85.09</v>
      </c>
      <c r="T115">
        <v>17.100000000000001</v>
      </c>
      <c r="U115">
        <v>5</v>
      </c>
    </row>
    <row r="116" spans="1:21" x14ac:dyDescent="0.3">
      <c r="A116">
        <v>34</v>
      </c>
      <c r="B116">
        <v>92.99</v>
      </c>
      <c r="C116">
        <v>23</v>
      </c>
      <c r="D116">
        <v>19.3</v>
      </c>
      <c r="E116">
        <v>6</v>
      </c>
      <c r="S116">
        <v>92.99</v>
      </c>
      <c r="T116">
        <v>19.3</v>
      </c>
      <c r="U116">
        <v>6</v>
      </c>
    </row>
    <row r="117" spans="1:21" x14ac:dyDescent="0.3">
      <c r="A117">
        <v>61</v>
      </c>
      <c r="B117">
        <v>53.15</v>
      </c>
      <c r="C117">
        <v>19</v>
      </c>
      <c r="D117">
        <v>6.2</v>
      </c>
      <c r="E117">
        <v>0</v>
      </c>
      <c r="S117">
        <v>53.15</v>
      </c>
      <c r="T117">
        <v>6.2</v>
      </c>
      <c r="U117">
        <v>0</v>
      </c>
    </row>
    <row r="118" spans="1:21" x14ac:dyDescent="0.3">
      <c r="A118">
        <v>70</v>
      </c>
      <c r="B118">
        <v>53.07</v>
      </c>
      <c r="C118">
        <v>29</v>
      </c>
      <c r="D118">
        <v>6.1</v>
      </c>
      <c r="E118">
        <v>0</v>
      </c>
      <c r="S118">
        <v>53.07</v>
      </c>
      <c r="T118">
        <v>6.1</v>
      </c>
      <c r="U118">
        <v>0</v>
      </c>
    </row>
    <row r="119" spans="1:21" x14ac:dyDescent="0.3">
      <c r="A119">
        <v>82</v>
      </c>
      <c r="B119">
        <v>92.93</v>
      </c>
      <c r="C119">
        <v>19</v>
      </c>
      <c r="D119">
        <v>19.3</v>
      </c>
      <c r="E119">
        <v>6</v>
      </c>
      <c r="S119">
        <v>92.93</v>
      </c>
      <c r="T119">
        <v>19.3</v>
      </c>
      <c r="U119">
        <v>6</v>
      </c>
    </row>
    <row r="120" spans="1:21" x14ac:dyDescent="0.3">
      <c r="A120">
        <v>71</v>
      </c>
      <c r="B120">
        <v>84.82</v>
      </c>
      <c r="C120">
        <v>23</v>
      </c>
      <c r="D120">
        <v>17</v>
      </c>
      <c r="E120">
        <v>5</v>
      </c>
      <c r="S120">
        <v>84.82</v>
      </c>
      <c r="T120">
        <v>17</v>
      </c>
      <c r="U120">
        <v>5</v>
      </c>
    </row>
    <row r="121" spans="1:21" x14ac:dyDescent="0.3">
      <c r="A121">
        <v>23</v>
      </c>
      <c r="B121">
        <v>92.72</v>
      </c>
      <c r="C121">
        <v>34</v>
      </c>
      <c r="D121">
        <v>19.3</v>
      </c>
      <c r="E121">
        <v>6</v>
      </c>
      <c r="S121">
        <v>92.72</v>
      </c>
      <c r="T121">
        <v>19.3</v>
      </c>
      <c r="U121">
        <v>6</v>
      </c>
    </row>
    <row r="122" spans="1:21" x14ac:dyDescent="0.3">
      <c r="A122">
        <v>42</v>
      </c>
      <c r="B122">
        <v>67.28</v>
      </c>
      <c r="C122">
        <v>20</v>
      </c>
      <c r="D122">
        <v>10.6</v>
      </c>
      <c r="E122">
        <v>2</v>
      </c>
      <c r="S122">
        <v>67.28</v>
      </c>
      <c r="T122">
        <v>10.6</v>
      </c>
      <c r="U122">
        <v>2</v>
      </c>
    </row>
    <row r="123" spans="1:21" x14ac:dyDescent="0.3">
      <c r="A123">
        <v>34</v>
      </c>
      <c r="B123">
        <v>91.97</v>
      </c>
      <c r="C123">
        <v>19</v>
      </c>
      <c r="D123">
        <v>19.3</v>
      </c>
      <c r="E123">
        <v>6</v>
      </c>
      <c r="S123">
        <v>91.97</v>
      </c>
      <c r="T123">
        <v>19.3</v>
      </c>
      <c r="U123">
        <v>6</v>
      </c>
    </row>
    <row r="124" spans="1:21" x14ac:dyDescent="0.3">
      <c r="A124">
        <v>62</v>
      </c>
      <c r="B124">
        <v>78.489999999999995</v>
      </c>
      <c r="C124">
        <v>37</v>
      </c>
      <c r="D124">
        <v>14.7</v>
      </c>
      <c r="E124">
        <v>4</v>
      </c>
      <c r="S124">
        <v>78.489999999999995</v>
      </c>
      <c r="T124">
        <v>14.7</v>
      </c>
      <c r="U124">
        <v>4</v>
      </c>
    </row>
    <row r="125" spans="1:21" x14ac:dyDescent="0.3">
      <c r="A125">
        <v>48</v>
      </c>
      <c r="B125">
        <v>91.92</v>
      </c>
      <c r="C125">
        <v>25</v>
      </c>
      <c r="D125">
        <v>19.3</v>
      </c>
      <c r="E125">
        <v>6</v>
      </c>
      <c r="S125">
        <v>91.92</v>
      </c>
      <c r="T125">
        <v>19.3</v>
      </c>
      <c r="U125">
        <v>6</v>
      </c>
    </row>
    <row r="126" spans="1:21" x14ac:dyDescent="0.3">
      <c r="A126">
        <v>55</v>
      </c>
      <c r="B126">
        <v>53.02</v>
      </c>
      <c r="C126">
        <v>39</v>
      </c>
      <c r="D126">
        <v>6.1</v>
      </c>
      <c r="E126">
        <v>0</v>
      </c>
      <c r="S126">
        <v>53.02</v>
      </c>
      <c r="T126">
        <v>6.1</v>
      </c>
      <c r="U126">
        <v>0</v>
      </c>
    </row>
    <row r="127" spans="1:21" x14ac:dyDescent="0.3">
      <c r="A127">
        <v>32</v>
      </c>
      <c r="B127">
        <v>78.34</v>
      </c>
      <c r="C127">
        <v>29</v>
      </c>
      <c r="D127">
        <v>14.6</v>
      </c>
      <c r="E127">
        <v>4</v>
      </c>
      <c r="S127">
        <v>78.34</v>
      </c>
      <c r="T127">
        <v>14.6</v>
      </c>
      <c r="U127">
        <v>4</v>
      </c>
    </row>
    <row r="128" spans="1:21" x14ac:dyDescent="0.3">
      <c r="A128">
        <v>51</v>
      </c>
      <c r="B128">
        <v>52.92</v>
      </c>
      <c r="C128">
        <v>21</v>
      </c>
      <c r="D128">
        <v>6.1</v>
      </c>
      <c r="E128">
        <v>0</v>
      </c>
      <c r="S128">
        <v>52.92</v>
      </c>
      <c r="T128">
        <v>6.1</v>
      </c>
      <c r="U128">
        <v>0</v>
      </c>
    </row>
    <row r="129" spans="1:21" x14ac:dyDescent="0.3">
      <c r="A129">
        <v>90</v>
      </c>
      <c r="B129">
        <v>58.51</v>
      </c>
      <c r="C129">
        <v>22</v>
      </c>
      <c r="D129">
        <v>7.7</v>
      </c>
      <c r="E129">
        <v>1</v>
      </c>
      <c r="S129">
        <v>58.51</v>
      </c>
      <c r="T129">
        <v>7.7</v>
      </c>
      <c r="U129">
        <v>1</v>
      </c>
    </row>
    <row r="130" spans="1:21" x14ac:dyDescent="0.3">
      <c r="A130">
        <v>78</v>
      </c>
      <c r="B130">
        <v>71.819999999999993</v>
      </c>
      <c r="C130">
        <v>30</v>
      </c>
      <c r="D130">
        <v>12.8</v>
      </c>
      <c r="E130">
        <v>3</v>
      </c>
      <c r="S130">
        <v>71.819999999999993</v>
      </c>
      <c r="T130">
        <v>12.8</v>
      </c>
      <c r="U130">
        <v>3</v>
      </c>
    </row>
    <row r="131" spans="1:21" x14ac:dyDescent="0.3">
      <c r="A131">
        <v>47</v>
      </c>
      <c r="B131">
        <v>52.77</v>
      </c>
      <c r="C131">
        <v>32</v>
      </c>
      <c r="D131">
        <v>6.1</v>
      </c>
      <c r="E131">
        <v>0</v>
      </c>
      <c r="S131">
        <v>52.77</v>
      </c>
      <c r="T131">
        <v>6.1</v>
      </c>
      <c r="U131">
        <v>0</v>
      </c>
    </row>
    <row r="132" spans="1:21" x14ac:dyDescent="0.3">
      <c r="A132">
        <v>85</v>
      </c>
      <c r="B132">
        <v>78.05</v>
      </c>
      <c r="C132">
        <v>33</v>
      </c>
      <c r="D132">
        <v>14.6</v>
      </c>
      <c r="E132">
        <v>4</v>
      </c>
      <c r="S132">
        <v>78.05</v>
      </c>
      <c r="T132">
        <v>14.6</v>
      </c>
      <c r="U132">
        <v>4</v>
      </c>
    </row>
    <row r="133" spans="1:21" x14ac:dyDescent="0.3">
      <c r="A133">
        <v>61</v>
      </c>
      <c r="B133">
        <v>58.35</v>
      </c>
      <c r="C133">
        <v>27</v>
      </c>
      <c r="D133">
        <v>7.6</v>
      </c>
      <c r="E133">
        <v>1</v>
      </c>
      <c r="S133">
        <v>58.35</v>
      </c>
      <c r="T133">
        <v>7.6</v>
      </c>
      <c r="U133">
        <v>1</v>
      </c>
    </row>
    <row r="134" spans="1:21" x14ac:dyDescent="0.3">
      <c r="A134">
        <v>64</v>
      </c>
      <c r="B134">
        <v>52.47</v>
      </c>
      <c r="C134">
        <v>33</v>
      </c>
      <c r="D134">
        <v>6</v>
      </c>
      <c r="E134">
        <v>0</v>
      </c>
      <c r="S134">
        <v>52.47</v>
      </c>
      <c r="T134">
        <v>6</v>
      </c>
      <c r="U134">
        <v>0</v>
      </c>
    </row>
    <row r="135" spans="1:21" x14ac:dyDescent="0.3">
      <c r="A135">
        <v>81</v>
      </c>
      <c r="B135">
        <v>66.95</v>
      </c>
      <c r="C135">
        <v>29</v>
      </c>
      <c r="D135">
        <v>10.6</v>
      </c>
      <c r="E135">
        <v>2</v>
      </c>
      <c r="S135">
        <v>66.95</v>
      </c>
      <c r="T135">
        <v>10.6</v>
      </c>
      <c r="U135">
        <v>2</v>
      </c>
    </row>
    <row r="136" spans="1:21" x14ac:dyDescent="0.3">
      <c r="A136">
        <v>76</v>
      </c>
      <c r="B136">
        <v>91.85</v>
      </c>
      <c r="C136">
        <v>34</v>
      </c>
      <c r="D136">
        <v>19.2</v>
      </c>
      <c r="E136">
        <v>6</v>
      </c>
      <c r="S136">
        <v>91.85</v>
      </c>
      <c r="T136">
        <v>19.2</v>
      </c>
      <c r="U136">
        <v>6</v>
      </c>
    </row>
    <row r="137" spans="1:21" x14ac:dyDescent="0.3">
      <c r="A137">
        <v>25</v>
      </c>
      <c r="B137">
        <v>71.77</v>
      </c>
      <c r="C137">
        <v>33</v>
      </c>
      <c r="D137">
        <v>12.8</v>
      </c>
      <c r="E137">
        <v>3</v>
      </c>
      <c r="S137">
        <v>71.77</v>
      </c>
      <c r="T137">
        <v>12.8</v>
      </c>
      <c r="U137">
        <v>3</v>
      </c>
    </row>
    <row r="138" spans="1:21" x14ac:dyDescent="0.3">
      <c r="A138">
        <v>47</v>
      </c>
      <c r="B138">
        <v>52.37</v>
      </c>
      <c r="C138">
        <v>29</v>
      </c>
      <c r="D138">
        <v>5.9</v>
      </c>
      <c r="E138">
        <v>0</v>
      </c>
      <c r="S138">
        <v>52.37</v>
      </c>
      <c r="T138">
        <v>5.9</v>
      </c>
      <c r="U138">
        <v>0</v>
      </c>
    </row>
    <row r="139" spans="1:21" x14ac:dyDescent="0.3">
      <c r="A139">
        <v>47</v>
      </c>
      <c r="B139">
        <v>58.3</v>
      </c>
      <c r="C139">
        <v>25</v>
      </c>
      <c r="D139">
        <v>7.6</v>
      </c>
      <c r="E139">
        <v>1</v>
      </c>
      <c r="S139">
        <v>58.3</v>
      </c>
      <c r="T139">
        <v>7.6</v>
      </c>
      <c r="U139">
        <v>1</v>
      </c>
    </row>
    <row r="140" spans="1:21" x14ac:dyDescent="0.3">
      <c r="A140">
        <v>63</v>
      </c>
      <c r="B140">
        <v>66.41</v>
      </c>
      <c r="C140">
        <v>37</v>
      </c>
      <c r="D140">
        <v>10.6</v>
      </c>
      <c r="E140">
        <v>2</v>
      </c>
      <c r="S140">
        <v>66.41</v>
      </c>
      <c r="T140">
        <v>10.6</v>
      </c>
      <c r="U140">
        <v>2</v>
      </c>
    </row>
    <row r="141" spans="1:21" x14ac:dyDescent="0.3">
      <c r="A141">
        <v>49</v>
      </c>
      <c r="B141">
        <v>84.69</v>
      </c>
      <c r="C141">
        <v>20</v>
      </c>
      <c r="D141">
        <v>16.899999999999999</v>
      </c>
      <c r="E141">
        <v>5</v>
      </c>
      <c r="S141">
        <v>84.69</v>
      </c>
      <c r="T141">
        <v>16.899999999999999</v>
      </c>
      <c r="U141">
        <v>5</v>
      </c>
    </row>
    <row r="142" spans="1:21" x14ac:dyDescent="0.3">
      <c r="A142">
        <v>81</v>
      </c>
      <c r="B142">
        <v>58.19</v>
      </c>
      <c r="C142">
        <v>33</v>
      </c>
      <c r="D142">
        <v>7.5</v>
      </c>
      <c r="E142">
        <v>1</v>
      </c>
      <c r="S142">
        <v>58.19</v>
      </c>
      <c r="T142">
        <v>7.5</v>
      </c>
      <c r="U142">
        <v>1</v>
      </c>
    </row>
    <row r="143" spans="1:21" x14ac:dyDescent="0.3">
      <c r="A143">
        <v>94</v>
      </c>
      <c r="B143">
        <v>91.2</v>
      </c>
      <c r="C143">
        <v>30</v>
      </c>
      <c r="D143">
        <v>19.2</v>
      </c>
      <c r="E143">
        <v>6</v>
      </c>
      <c r="S143">
        <v>91.2</v>
      </c>
      <c r="T143">
        <v>19.2</v>
      </c>
      <c r="U143">
        <v>6</v>
      </c>
    </row>
    <row r="144" spans="1:21" x14ac:dyDescent="0.3">
      <c r="A144">
        <v>81</v>
      </c>
      <c r="B144">
        <v>58.08</v>
      </c>
      <c r="C144">
        <v>36</v>
      </c>
      <c r="D144">
        <v>7.4</v>
      </c>
      <c r="E144">
        <v>1</v>
      </c>
      <c r="S144">
        <v>58.08</v>
      </c>
      <c r="T144">
        <v>7.4</v>
      </c>
      <c r="U144">
        <v>1</v>
      </c>
    </row>
    <row r="145" spans="1:21" x14ac:dyDescent="0.3">
      <c r="A145">
        <v>20</v>
      </c>
      <c r="B145">
        <v>66.34</v>
      </c>
      <c r="C145">
        <v>25</v>
      </c>
      <c r="D145">
        <v>10.6</v>
      </c>
      <c r="E145">
        <v>2</v>
      </c>
      <c r="S145">
        <v>66.34</v>
      </c>
      <c r="T145">
        <v>10.6</v>
      </c>
      <c r="U145">
        <v>2</v>
      </c>
    </row>
    <row r="146" spans="1:21" x14ac:dyDescent="0.3">
      <c r="A146">
        <v>46</v>
      </c>
      <c r="B146">
        <v>57.82</v>
      </c>
      <c r="C146">
        <v>39</v>
      </c>
      <c r="D146">
        <v>7.4</v>
      </c>
      <c r="E146">
        <v>1</v>
      </c>
      <c r="S146">
        <v>57.82</v>
      </c>
      <c r="T146">
        <v>7.4</v>
      </c>
      <c r="U146">
        <v>1</v>
      </c>
    </row>
    <row r="147" spans="1:21" x14ac:dyDescent="0.3">
      <c r="A147">
        <v>81</v>
      </c>
      <c r="B147">
        <v>66.319999999999993</v>
      </c>
      <c r="C147">
        <v>22</v>
      </c>
      <c r="D147">
        <v>10.6</v>
      </c>
      <c r="E147">
        <v>2</v>
      </c>
      <c r="S147">
        <v>66.319999999999993</v>
      </c>
      <c r="T147">
        <v>10.6</v>
      </c>
      <c r="U147">
        <v>2</v>
      </c>
    </row>
    <row r="148" spans="1:21" x14ac:dyDescent="0.3">
      <c r="A148">
        <v>22</v>
      </c>
      <c r="B148">
        <v>52.32</v>
      </c>
      <c r="C148">
        <v>37</v>
      </c>
      <c r="D148">
        <v>5.8</v>
      </c>
      <c r="E148">
        <v>0</v>
      </c>
      <c r="S148">
        <v>52.32</v>
      </c>
      <c r="T148">
        <v>5.8</v>
      </c>
      <c r="U148">
        <v>0</v>
      </c>
    </row>
    <row r="149" spans="1:21" x14ac:dyDescent="0.3">
      <c r="A149">
        <v>89</v>
      </c>
      <c r="B149">
        <v>65.92</v>
      </c>
      <c r="C149">
        <v>25</v>
      </c>
      <c r="D149">
        <v>10.6</v>
      </c>
      <c r="E149">
        <v>2</v>
      </c>
      <c r="S149">
        <v>65.92</v>
      </c>
      <c r="T149">
        <v>10.6</v>
      </c>
      <c r="U149">
        <v>2</v>
      </c>
    </row>
    <row r="150" spans="1:21" x14ac:dyDescent="0.3">
      <c r="A150">
        <v>91</v>
      </c>
      <c r="B150">
        <v>65.819999999999993</v>
      </c>
      <c r="C150">
        <v>29</v>
      </c>
      <c r="D150">
        <v>10.6</v>
      </c>
      <c r="E150">
        <v>2</v>
      </c>
      <c r="S150">
        <v>65.819999999999993</v>
      </c>
      <c r="T150">
        <v>10.6</v>
      </c>
      <c r="U150">
        <v>2</v>
      </c>
    </row>
    <row r="151" spans="1:21" x14ac:dyDescent="0.3">
      <c r="A151">
        <v>46</v>
      </c>
      <c r="B151">
        <v>71.650000000000006</v>
      </c>
      <c r="C151">
        <v>18</v>
      </c>
      <c r="D151">
        <v>12.7</v>
      </c>
      <c r="E151">
        <v>3</v>
      </c>
      <c r="S151">
        <v>71.650000000000006</v>
      </c>
      <c r="T151">
        <v>12.7</v>
      </c>
      <c r="U151">
        <v>3</v>
      </c>
    </row>
    <row r="152" spans="1:21" x14ac:dyDescent="0.3">
      <c r="A152">
        <v>28</v>
      </c>
      <c r="B152">
        <v>65.53</v>
      </c>
      <c r="C152">
        <v>38</v>
      </c>
      <c r="D152">
        <v>10.6</v>
      </c>
      <c r="E152">
        <v>2</v>
      </c>
      <c r="S152">
        <v>65.53</v>
      </c>
      <c r="T152">
        <v>10.6</v>
      </c>
      <c r="U152">
        <v>2</v>
      </c>
    </row>
    <row r="153" spans="1:21" x14ac:dyDescent="0.3">
      <c r="A153">
        <v>81</v>
      </c>
      <c r="B153">
        <v>65.5</v>
      </c>
      <c r="C153">
        <v>37</v>
      </c>
      <c r="D153">
        <v>10.4</v>
      </c>
      <c r="E153">
        <v>2</v>
      </c>
      <c r="S153">
        <v>65.5</v>
      </c>
      <c r="T153">
        <v>10.4</v>
      </c>
      <c r="U153">
        <v>2</v>
      </c>
    </row>
    <row r="154" spans="1:21" x14ac:dyDescent="0.3">
      <c r="A154">
        <v>56</v>
      </c>
      <c r="B154">
        <v>84.69</v>
      </c>
      <c r="C154">
        <v>23</v>
      </c>
      <c r="D154">
        <v>16.899999999999999</v>
      </c>
      <c r="E154">
        <v>5</v>
      </c>
      <c r="S154">
        <v>84.69</v>
      </c>
      <c r="T154">
        <v>16.899999999999999</v>
      </c>
      <c r="U154">
        <v>5</v>
      </c>
    </row>
    <row r="155" spans="1:21" x14ac:dyDescent="0.3">
      <c r="A155">
        <v>70</v>
      </c>
      <c r="B155">
        <v>52.2</v>
      </c>
      <c r="C155">
        <v>39</v>
      </c>
      <c r="D155">
        <v>5.8</v>
      </c>
      <c r="E155">
        <v>0</v>
      </c>
      <c r="S155">
        <v>52.2</v>
      </c>
      <c r="T155">
        <v>5.8</v>
      </c>
      <c r="U155">
        <v>0</v>
      </c>
    </row>
    <row r="156" spans="1:21" x14ac:dyDescent="0.3">
      <c r="A156">
        <v>63</v>
      </c>
      <c r="B156">
        <v>90.97</v>
      </c>
      <c r="C156">
        <v>35</v>
      </c>
      <c r="D156">
        <v>19.100000000000001</v>
      </c>
      <c r="E156">
        <v>6</v>
      </c>
      <c r="S156">
        <v>90.97</v>
      </c>
      <c r="T156">
        <v>19.100000000000001</v>
      </c>
      <c r="U156">
        <v>6</v>
      </c>
    </row>
    <row r="157" spans="1:21" x14ac:dyDescent="0.3">
      <c r="A157">
        <v>43</v>
      </c>
      <c r="B157">
        <v>71.59</v>
      </c>
      <c r="C157">
        <v>25</v>
      </c>
      <c r="D157">
        <v>12.7</v>
      </c>
      <c r="E157">
        <v>3</v>
      </c>
      <c r="S157">
        <v>71.59</v>
      </c>
      <c r="T157">
        <v>12.7</v>
      </c>
      <c r="U157">
        <v>3</v>
      </c>
    </row>
    <row r="158" spans="1:21" x14ac:dyDescent="0.3">
      <c r="A158">
        <v>78</v>
      </c>
      <c r="B158">
        <v>84.69</v>
      </c>
      <c r="C158">
        <v>24</v>
      </c>
      <c r="D158">
        <v>16.899999999999999</v>
      </c>
      <c r="E158">
        <v>5</v>
      </c>
      <c r="S158">
        <v>84.69</v>
      </c>
      <c r="T158">
        <v>16.899999999999999</v>
      </c>
      <c r="U158">
        <v>5</v>
      </c>
    </row>
    <row r="159" spans="1:21" x14ac:dyDescent="0.3">
      <c r="A159">
        <v>51</v>
      </c>
      <c r="B159">
        <v>78.03</v>
      </c>
      <c r="C159">
        <v>18</v>
      </c>
      <c r="D159">
        <v>14.6</v>
      </c>
      <c r="E159">
        <v>4</v>
      </c>
      <c r="S159">
        <v>78.03</v>
      </c>
      <c r="T159">
        <v>14.6</v>
      </c>
      <c r="U159">
        <v>4</v>
      </c>
    </row>
    <row r="160" spans="1:21" x14ac:dyDescent="0.3">
      <c r="A160">
        <v>71</v>
      </c>
      <c r="B160">
        <v>52.11</v>
      </c>
      <c r="C160">
        <v>38</v>
      </c>
      <c r="D160">
        <v>5.7</v>
      </c>
      <c r="E160">
        <v>0</v>
      </c>
      <c r="S160">
        <v>52.11</v>
      </c>
      <c r="T160">
        <v>5.7</v>
      </c>
      <c r="U160">
        <v>0</v>
      </c>
    </row>
    <row r="161" spans="1:21" x14ac:dyDescent="0.3">
      <c r="A161">
        <v>81</v>
      </c>
      <c r="B161">
        <v>52.03</v>
      </c>
      <c r="C161">
        <v>33</v>
      </c>
      <c r="D161">
        <v>5.7</v>
      </c>
      <c r="E161">
        <v>0</v>
      </c>
      <c r="S161">
        <v>52.03</v>
      </c>
      <c r="T161">
        <v>5.7</v>
      </c>
      <c r="U161">
        <v>0</v>
      </c>
    </row>
    <row r="162" spans="1:21" x14ac:dyDescent="0.3">
      <c r="A162">
        <v>77</v>
      </c>
      <c r="B162">
        <v>77.47</v>
      </c>
      <c r="C162">
        <v>29</v>
      </c>
      <c r="D162">
        <v>14.5</v>
      </c>
      <c r="E162">
        <v>4</v>
      </c>
      <c r="S162">
        <v>77.47</v>
      </c>
      <c r="T162">
        <v>14.5</v>
      </c>
      <c r="U162">
        <v>4</v>
      </c>
    </row>
    <row r="163" spans="1:21" x14ac:dyDescent="0.3">
      <c r="A163">
        <v>71</v>
      </c>
      <c r="B163">
        <v>90.89</v>
      </c>
      <c r="C163">
        <v>23</v>
      </c>
      <c r="D163">
        <v>19.100000000000001</v>
      </c>
      <c r="E163">
        <v>6</v>
      </c>
      <c r="S163">
        <v>90.89</v>
      </c>
      <c r="T163">
        <v>19.100000000000001</v>
      </c>
      <c r="U163">
        <v>6</v>
      </c>
    </row>
    <row r="164" spans="1:21" x14ac:dyDescent="0.3">
      <c r="A164">
        <v>31</v>
      </c>
      <c r="B164">
        <v>65.14</v>
      </c>
      <c r="C164">
        <v>37</v>
      </c>
      <c r="D164">
        <v>10.4</v>
      </c>
      <c r="E164">
        <v>2</v>
      </c>
      <c r="S164">
        <v>65.14</v>
      </c>
      <c r="T164">
        <v>10.4</v>
      </c>
      <c r="U164">
        <v>2</v>
      </c>
    </row>
    <row r="165" spans="1:21" x14ac:dyDescent="0.3">
      <c r="A165">
        <v>58</v>
      </c>
      <c r="B165">
        <v>84.16</v>
      </c>
      <c r="C165">
        <v>19</v>
      </c>
      <c r="D165">
        <v>16.8</v>
      </c>
      <c r="E165">
        <v>5</v>
      </c>
      <c r="S165">
        <v>84.16</v>
      </c>
      <c r="T165">
        <v>16.8</v>
      </c>
      <c r="U165">
        <v>5</v>
      </c>
    </row>
    <row r="166" spans="1:21" x14ac:dyDescent="0.3">
      <c r="A166">
        <v>21</v>
      </c>
      <c r="B166">
        <v>57.29</v>
      </c>
      <c r="C166">
        <v>31</v>
      </c>
      <c r="D166">
        <v>7.3</v>
      </c>
      <c r="E166">
        <v>1</v>
      </c>
      <c r="S166">
        <v>57.29</v>
      </c>
      <c r="T166">
        <v>7.3</v>
      </c>
      <c r="U166">
        <v>1</v>
      </c>
    </row>
    <row r="167" spans="1:21" x14ac:dyDescent="0.3">
      <c r="A167">
        <v>22</v>
      </c>
      <c r="B167">
        <v>71.45</v>
      </c>
      <c r="C167">
        <v>21</v>
      </c>
      <c r="D167">
        <v>12.6</v>
      </c>
      <c r="E167">
        <v>3</v>
      </c>
      <c r="S167">
        <v>71.45</v>
      </c>
      <c r="T167">
        <v>12.6</v>
      </c>
      <c r="U167">
        <v>3</v>
      </c>
    </row>
    <row r="168" spans="1:21" x14ac:dyDescent="0.3">
      <c r="A168">
        <v>75</v>
      </c>
      <c r="B168">
        <v>57.22</v>
      </c>
      <c r="C168">
        <v>18</v>
      </c>
      <c r="D168">
        <v>7.3</v>
      </c>
      <c r="E168">
        <v>1</v>
      </c>
      <c r="S168">
        <v>57.22</v>
      </c>
      <c r="T168">
        <v>7.3</v>
      </c>
      <c r="U168">
        <v>1</v>
      </c>
    </row>
    <row r="169" spans="1:21" x14ac:dyDescent="0.3">
      <c r="A169">
        <v>78</v>
      </c>
      <c r="B169">
        <v>77.040000000000006</v>
      </c>
      <c r="C169">
        <v>35</v>
      </c>
      <c r="D169">
        <v>14.5</v>
      </c>
      <c r="E169">
        <v>4</v>
      </c>
      <c r="S169">
        <v>77.040000000000006</v>
      </c>
      <c r="T169">
        <v>14.5</v>
      </c>
      <c r="U169">
        <v>4</v>
      </c>
    </row>
    <row r="170" spans="1:21" x14ac:dyDescent="0.3">
      <c r="A170">
        <v>21</v>
      </c>
      <c r="B170">
        <v>52</v>
      </c>
      <c r="C170">
        <v>30</v>
      </c>
      <c r="D170">
        <v>5.7</v>
      </c>
      <c r="E170">
        <v>0</v>
      </c>
      <c r="S170">
        <v>52</v>
      </c>
      <c r="T170">
        <v>5.7</v>
      </c>
      <c r="U170">
        <v>0</v>
      </c>
    </row>
    <row r="171" spans="1:21" x14ac:dyDescent="0.3">
      <c r="A171">
        <v>21</v>
      </c>
      <c r="B171">
        <v>90.79</v>
      </c>
      <c r="C171">
        <v>19</v>
      </c>
      <c r="D171">
        <v>19</v>
      </c>
      <c r="E171">
        <v>6</v>
      </c>
      <c r="S171">
        <v>90.79</v>
      </c>
      <c r="T171">
        <v>19</v>
      </c>
      <c r="U171">
        <v>6</v>
      </c>
    </row>
    <row r="172" spans="1:21" x14ac:dyDescent="0.3">
      <c r="A172">
        <v>73</v>
      </c>
      <c r="B172">
        <v>51.99</v>
      </c>
      <c r="C172">
        <v>26</v>
      </c>
      <c r="D172">
        <v>5.7</v>
      </c>
      <c r="E172">
        <v>0</v>
      </c>
      <c r="S172">
        <v>51.99</v>
      </c>
      <c r="T172">
        <v>5.7</v>
      </c>
      <c r="U172">
        <v>0</v>
      </c>
    </row>
    <row r="173" spans="1:21" x14ac:dyDescent="0.3">
      <c r="A173">
        <v>20</v>
      </c>
      <c r="B173">
        <v>71.34</v>
      </c>
      <c r="C173">
        <v>38</v>
      </c>
      <c r="D173">
        <v>12.5</v>
      </c>
      <c r="E173">
        <v>3</v>
      </c>
      <c r="S173">
        <v>71.34</v>
      </c>
      <c r="T173">
        <v>12.5</v>
      </c>
      <c r="U173">
        <v>3</v>
      </c>
    </row>
    <row r="174" spans="1:21" x14ac:dyDescent="0.3">
      <c r="A174">
        <v>38</v>
      </c>
      <c r="B174">
        <v>51.69</v>
      </c>
      <c r="C174">
        <v>19</v>
      </c>
      <c r="D174">
        <v>5.6</v>
      </c>
      <c r="E174">
        <v>0</v>
      </c>
      <c r="S174">
        <v>51.69</v>
      </c>
      <c r="T174">
        <v>5.6</v>
      </c>
      <c r="U174">
        <v>0</v>
      </c>
    </row>
    <row r="175" spans="1:21" x14ac:dyDescent="0.3">
      <c r="A175">
        <v>21</v>
      </c>
      <c r="B175">
        <v>51.65</v>
      </c>
      <c r="C175">
        <v>26</v>
      </c>
      <c r="D175">
        <v>5.6</v>
      </c>
      <c r="E175">
        <v>0</v>
      </c>
      <c r="S175">
        <v>51.65</v>
      </c>
      <c r="T175">
        <v>5.6</v>
      </c>
      <c r="U175">
        <v>0</v>
      </c>
    </row>
    <row r="176" spans="1:21" x14ac:dyDescent="0.3">
      <c r="A176">
        <v>72</v>
      </c>
      <c r="B176">
        <v>71.290000000000006</v>
      </c>
      <c r="C176">
        <v>18</v>
      </c>
      <c r="D176">
        <v>12.5</v>
      </c>
      <c r="E176">
        <v>3</v>
      </c>
      <c r="S176">
        <v>71.290000000000006</v>
      </c>
      <c r="T176">
        <v>12.5</v>
      </c>
      <c r="U176">
        <v>3</v>
      </c>
    </row>
    <row r="177" spans="1:21" x14ac:dyDescent="0.3">
      <c r="A177">
        <v>63</v>
      </c>
      <c r="B177">
        <v>84.13</v>
      </c>
      <c r="C177">
        <v>28</v>
      </c>
      <c r="D177">
        <v>16.7</v>
      </c>
      <c r="E177">
        <v>5</v>
      </c>
      <c r="S177">
        <v>84.13</v>
      </c>
      <c r="T177">
        <v>16.7</v>
      </c>
      <c r="U177">
        <v>5</v>
      </c>
    </row>
    <row r="178" spans="1:21" x14ac:dyDescent="0.3">
      <c r="A178">
        <v>51</v>
      </c>
      <c r="B178">
        <v>84.05</v>
      </c>
      <c r="C178">
        <v>20</v>
      </c>
      <c r="D178">
        <v>16.600000000000001</v>
      </c>
      <c r="E178">
        <v>5</v>
      </c>
      <c r="S178">
        <v>84.05</v>
      </c>
      <c r="T178">
        <v>16.600000000000001</v>
      </c>
      <c r="U178">
        <v>5</v>
      </c>
    </row>
    <row r="179" spans="1:21" x14ac:dyDescent="0.3">
      <c r="A179">
        <v>89</v>
      </c>
      <c r="B179">
        <v>71.2</v>
      </c>
      <c r="C179">
        <v>37</v>
      </c>
      <c r="D179">
        <v>12.4</v>
      </c>
      <c r="E179">
        <v>3</v>
      </c>
      <c r="S179">
        <v>71.2</v>
      </c>
      <c r="T179">
        <v>12.4</v>
      </c>
      <c r="U179">
        <v>3</v>
      </c>
    </row>
    <row r="180" spans="1:21" x14ac:dyDescent="0.3">
      <c r="A180">
        <v>51</v>
      </c>
      <c r="B180">
        <v>90.67</v>
      </c>
      <c r="C180">
        <v>21</v>
      </c>
      <c r="D180">
        <v>19</v>
      </c>
      <c r="E180">
        <v>6</v>
      </c>
      <c r="S180">
        <v>90.67</v>
      </c>
      <c r="T180">
        <v>19</v>
      </c>
      <c r="U180">
        <v>6</v>
      </c>
    </row>
    <row r="181" spans="1:21" x14ac:dyDescent="0.3">
      <c r="A181">
        <v>87</v>
      </c>
      <c r="B181">
        <v>76.92</v>
      </c>
      <c r="C181">
        <v>35</v>
      </c>
      <c r="D181">
        <v>14.4</v>
      </c>
      <c r="E181">
        <v>4</v>
      </c>
      <c r="S181">
        <v>76.92</v>
      </c>
      <c r="T181">
        <v>14.4</v>
      </c>
      <c r="U181">
        <v>4</v>
      </c>
    </row>
    <row r="182" spans="1:21" x14ac:dyDescent="0.3">
      <c r="A182">
        <v>74</v>
      </c>
      <c r="B182">
        <v>51.59</v>
      </c>
      <c r="C182">
        <v>23</v>
      </c>
      <c r="D182">
        <v>5.6</v>
      </c>
      <c r="E182">
        <v>0</v>
      </c>
      <c r="S182">
        <v>51.59</v>
      </c>
      <c r="T182">
        <v>5.6</v>
      </c>
      <c r="U182">
        <v>0</v>
      </c>
    </row>
    <row r="183" spans="1:21" x14ac:dyDescent="0.3">
      <c r="A183">
        <v>94</v>
      </c>
      <c r="B183">
        <v>90.65</v>
      </c>
      <c r="C183">
        <v>20</v>
      </c>
      <c r="D183">
        <v>19</v>
      </c>
      <c r="E183">
        <v>6</v>
      </c>
      <c r="S183">
        <v>90.65</v>
      </c>
      <c r="T183">
        <v>19</v>
      </c>
      <c r="U183">
        <v>6</v>
      </c>
    </row>
    <row r="184" spans="1:21" x14ac:dyDescent="0.3">
      <c r="A184">
        <v>75</v>
      </c>
      <c r="B184">
        <v>51.57</v>
      </c>
      <c r="C184">
        <v>39</v>
      </c>
      <c r="D184">
        <v>5.5</v>
      </c>
      <c r="E184">
        <v>0</v>
      </c>
      <c r="S184">
        <v>51.57</v>
      </c>
      <c r="T184">
        <v>5.5</v>
      </c>
      <c r="U184">
        <v>0</v>
      </c>
    </row>
    <row r="185" spans="1:21" x14ac:dyDescent="0.3">
      <c r="A185">
        <v>36</v>
      </c>
      <c r="B185">
        <v>76.88</v>
      </c>
      <c r="C185">
        <v>28</v>
      </c>
      <c r="D185">
        <v>14.4</v>
      </c>
      <c r="E185">
        <v>4</v>
      </c>
      <c r="S185">
        <v>76.88</v>
      </c>
      <c r="T185">
        <v>14.4</v>
      </c>
      <c r="U185">
        <v>4</v>
      </c>
    </row>
    <row r="186" spans="1:21" x14ac:dyDescent="0.3">
      <c r="A186">
        <v>57</v>
      </c>
      <c r="B186">
        <v>83.92</v>
      </c>
      <c r="C186">
        <v>32</v>
      </c>
      <c r="D186">
        <v>16.5</v>
      </c>
      <c r="E186">
        <v>5</v>
      </c>
      <c r="S186">
        <v>83.92</v>
      </c>
      <c r="T186">
        <v>16.5</v>
      </c>
      <c r="U186">
        <v>5</v>
      </c>
    </row>
    <row r="187" spans="1:21" x14ac:dyDescent="0.3">
      <c r="A187">
        <v>43</v>
      </c>
      <c r="B187">
        <v>90.53</v>
      </c>
      <c r="C187">
        <v>39</v>
      </c>
      <c r="D187">
        <v>18.899999999999999</v>
      </c>
      <c r="E187">
        <v>6</v>
      </c>
      <c r="S187">
        <v>90.53</v>
      </c>
      <c r="T187">
        <v>18.899999999999999</v>
      </c>
      <c r="U187">
        <v>6</v>
      </c>
    </row>
    <row r="188" spans="1:21" x14ac:dyDescent="0.3">
      <c r="A188">
        <v>88</v>
      </c>
      <c r="B188">
        <v>65.11</v>
      </c>
      <c r="C188">
        <v>22</v>
      </c>
      <c r="D188">
        <v>10.3</v>
      </c>
      <c r="E188">
        <v>2</v>
      </c>
      <c r="S188">
        <v>65.11</v>
      </c>
      <c r="T188">
        <v>10.3</v>
      </c>
      <c r="U188">
        <v>2</v>
      </c>
    </row>
    <row r="189" spans="1:21" x14ac:dyDescent="0.3">
      <c r="A189">
        <v>89</v>
      </c>
      <c r="B189">
        <v>65.03</v>
      </c>
      <c r="C189">
        <v>37</v>
      </c>
      <c r="D189">
        <v>10.3</v>
      </c>
      <c r="E189">
        <v>2</v>
      </c>
      <c r="S189">
        <v>65.03</v>
      </c>
      <c r="T189">
        <v>10.3</v>
      </c>
      <c r="U189">
        <v>2</v>
      </c>
    </row>
    <row r="190" spans="1:21" x14ac:dyDescent="0.3">
      <c r="A190">
        <v>30</v>
      </c>
      <c r="B190">
        <v>64.81</v>
      </c>
      <c r="C190">
        <v>27</v>
      </c>
      <c r="D190">
        <v>10.3</v>
      </c>
      <c r="E190">
        <v>2</v>
      </c>
      <c r="S190">
        <v>64.81</v>
      </c>
      <c r="T190">
        <v>10.3</v>
      </c>
      <c r="U190">
        <v>2</v>
      </c>
    </row>
    <row r="191" spans="1:21" x14ac:dyDescent="0.3">
      <c r="A191">
        <v>35</v>
      </c>
      <c r="B191">
        <v>83.65</v>
      </c>
      <c r="C191">
        <v>29</v>
      </c>
      <c r="D191">
        <v>16.399999999999999</v>
      </c>
      <c r="E191">
        <v>5</v>
      </c>
      <c r="S191">
        <v>83.65</v>
      </c>
      <c r="T191">
        <v>16.399999999999999</v>
      </c>
      <c r="U191">
        <v>5</v>
      </c>
    </row>
    <row r="192" spans="1:21" x14ac:dyDescent="0.3">
      <c r="A192">
        <v>92</v>
      </c>
      <c r="B192">
        <v>83.53</v>
      </c>
      <c r="C192">
        <v>32</v>
      </c>
      <c r="D192">
        <v>16.399999999999999</v>
      </c>
      <c r="E192">
        <v>5</v>
      </c>
      <c r="S192">
        <v>83.53</v>
      </c>
      <c r="T192">
        <v>16.399999999999999</v>
      </c>
      <c r="U192">
        <v>5</v>
      </c>
    </row>
    <row r="193" spans="1:21" x14ac:dyDescent="0.3">
      <c r="A193">
        <v>78</v>
      </c>
      <c r="B193">
        <v>76.510000000000005</v>
      </c>
      <c r="C193">
        <v>34</v>
      </c>
      <c r="D193">
        <v>14.4</v>
      </c>
      <c r="E193">
        <v>4</v>
      </c>
      <c r="S193">
        <v>76.510000000000005</v>
      </c>
      <c r="T193">
        <v>14.4</v>
      </c>
      <c r="U193">
        <v>4</v>
      </c>
    </row>
    <row r="194" spans="1:21" x14ac:dyDescent="0.3">
      <c r="A194">
        <v>89</v>
      </c>
      <c r="B194">
        <v>51.54</v>
      </c>
      <c r="C194">
        <v>27</v>
      </c>
      <c r="D194">
        <v>5.5</v>
      </c>
      <c r="E194">
        <v>0</v>
      </c>
      <c r="S194">
        <v>51.54</v>
      </c>
      <c r="T194">
        <v>5.5</v>
      </c>
      <c r="U194">
        <v>0</v>
      </c>
    </row>
    <row r="195" spans="1:21" x14ac:dyDescent="0.3">
      <c r="A195">
        <v>22</v>
      </c>
      <c r="B195">
        <v>76.48</v>
      </c>
      <c r="C195">
        <v>23</v>
      </c>
      <c r="D195">
        <v>14.4</v>
      </c>
      <c r="E195">
        <v>4</v>
      </c>
      <c r="S195">
        <v>76.48</v>
      </c>
      <c r="T195">
        <v>14.4</v>
      </c>
      <c r="U195">
        <v>4</v>
      </c>
    </row>
    <row r="196" spans="1:21" x14ac:dyDescent="0.3">
      <c r="A196">
        <v>39</v>
      </c>
      <c r="B196">
        <v>76.47</v>
      </c>
      <c r="C196">
        <v>35</v>
      </c>
      <c r="D196">
        <v>14.3</v>
      </c>
      <c r="E196">
        <v>4</v>
      </c>
      <c r="S196">
        <v>76.47</v>
      </c>
      <c r="T196">
        <v>14.3</v>
      </c>
      <c r="U196">
        <v>4</v>
      </c>
    </row>
    <row r="197" spans="1:21" x14ac:dyDescent="0.3">
      <c r="A197">
        <v>78</v>
      </c>
      <c r="B197">
        <v>83.45</v>
      </c>
      <c r="C197">
        <v>30</v>
      </c>
      <c r="D197">
        <v>16.3</v>
      </c>
      <c r="E197">
        <v>5</v>
      </c>
      <c r="S197">
        <v>83.45</v>
      </c>
      <c r="T197">
        <v>16.3</v>
      </c>
      <c r="U197">
        <v>5</v>
      </c>
    </row>
    <row r="198" spans="1:21" x14ac:dyDescent="0.3">
      <c r="A198">
        <v>55</v>
      </c>
      <c r="B198">
        <v>64.69</v>
      </c>
      <c r="C198">
        <v>20</v>
      </c>
      <c r="D198">
        <v>10.1</v>
      </c>
      <c r="E198">
        <v>2</v>
      </c>
      <c r="S198">
        <v>64.69</v>
      </c>
      <c r="T198">
        <v>10.1</v>
      </c>
      <c r="U198">
        <v>2</v>
      </c>
    </row>
    <row r="199" spans="1:21" x14ac:dyDescent="0.3">
      <c r="A199">
        <v>38</v>
      </c>
      <c r="B199">
        <v>57.08</v>
      </c>
      <c r="C199">
        <v>27</v>
      </c>
      <c r="D199">
        <v>7.1</v>
      </c>
      <c r="E199">
        <v>1</v>
      </c>
      <c r="S199">
        <v>57.08</v>
      </c>
      <c r="T199">
        <v>7.1</v>
      </c>
      <c r="U199">
        <v>1</v>
      </c>
    </row>
    <row r="200" spans="1:21" x14ac:dyDescent="0.3">
      <c r="A200">
        <v>86</v>
      </c>
      <c r="B200">
        <v>50.83</v>
      </c>
      <c r="C200">
        <v>31</v>
      </c>
      <c r="D200">
        <v>5.4</v>
      </c>
      <c r="E200">
        <v>0</v>
      </c>
      <c r="S200">
        <v>50.83</v>
      </c>
      <c r="T200">
        <v>5.4</v>
      </c>
      <c r="U200">
        <v>0</v>
      </c>
    </row>
    <row r="201" spans="1:21" x14ac:dyDescent="0.3">
      <c r="A201">
        <v>38</v>
      </c>
      <c r="B201">
        <v>83.38</v>
      </c>
      <c r="C201">
        <v>23</v>
      </c>
      <c r="D201">
        <v>16.3</v>
      </c>
      <c r="E201">
        <v>5</v>
      </c>
      <c r="S201">
        <v>83.38</v>
      </c>
      <c r="T201">
        <v>16.3</v>
      </c>
      <c r="U201">
        <v>5</v>
      </c>
    </row>
    <row r="202" spans="1:21" x14ac:dyDescent="0.3">
      <c r="A202">
        <v>39</v>
      </c>
      <c r="B202">
        <v>64.16</v>
      </c>
      <c r="C202">
        <v>20</v>
      </c>
      <c r="D202">
        <v>10.1</v>
      </c>
      <c r="E202">
        <v>2</v>
      </c>
      <c r="S202">
        <v>64.16</v>
      </c>
      <c r="T202">
        <v>10.1</v>
      </c>
      <c r="U202">
        <v>2</v>
      </c>
    </row>
    <row r="203" spans="1:21" x14ac:dyDescent="0.3">
      <c r="A203">
        <v>90</v>
      </c>
      <c r="B203">
        <v>90.38</v>
      </c>
      <c r="C203">
        <v>33</v>
      </c>
      <c r="D203">
        <v>18.7</v>
      </c>
      <c r="E203">
        <v>6</v>
      </c>
      <c r="S203">
        <v>90.38</v>
      </c>
      <c r="T203">
        <v>18.7</v>
      </c>
      <c r="U203">
        <v>6</v>
      </c>
    </row>
    <row r="204" spans="1:21" x14ac:dyDescent="0.3">
      <c r="A204">
        <v>71</v>
      </c>
      <c r="B204">
        <v>56.96</v>
      </c>
      <c r="C204">
        <v>24</v>
      </c>
      <c r="D204">
        <v>7.1</v>
      </c>
      <c r="E204">
        <v>1</v>
      </c>
      <c r="S204">
        <v>56.96</v>
      </c>
      <c r="T204">
        <v>7.1</v>
      </c>
      <c r="U204">
        <v>1</v>
      </c>
    </row>
    <row r="205" spans="1:21" x14ac:dyDescent="0.3">
      <c r="A205">
        <v>52</v>
      </c>
      <c r="B205">
        <v>56.3</v>
      </c>
      <c r="C205">
        <v>37</v>
      </c>
      <c r="D205">
        <v>6.9</v>
      </c>
      <c r="E205">
        <v>1</v>
      </c>
      <c r="S205">
        <v>56.3</v>
      </c>
      <c r="T205">
        <v>6.9</v>
      </c>
      <c r="U205">
        <v>1</v>
      </c>
    </row>
    <row r="206" spans="1:21" x14ac:dyDescent="0.3">
      <c r="A206">
        <v>59</v>
      </c>
      <c r="B206">
        <v>83.2</v>
      </c>
      <c r="C206">
        <v>31</v>
      </c>
      <c r="D206">
        <v>16.3</v>
      </c>
      <c r="E206">
        <v>5</v>
      </c>
      <c r="S206">
        <v>83.2</v>
      </c>
      <c r="T206">
        <v>16.3</v>
      </c>
      <c r="U206">
        <v>5</v>
      </c>
    </row>
    <row r="207" spans="1:21" x14ac:dyDescent="0.3">
      <c r="A207">
        <v>58</v>
      </c>
      <c r="B207">
        <v>71.03</v>
      </c>
      <c r="C207">
        <v>26</v>
      </c>
      <c r="D207">
        <v>12.4</v>
      </c>
      <c r="E207">
        <v>3</v>
      </c>
      <c r="S207">
        <v>71.03</v>
      </c>
      <c r="T207">
        <v>12.4</v>
      </c>
      <c r="U207">
        <v>3</v>
      </c>
    </row>
    <row r="208" spans="1:21" x14ac:dyDescent="0.3">
      <c r="A208">
        <v>20</v>
      </c>
      <c r="B208">
        <v>50.43</v>
      </c>
      <c r="C208">
        <v>32</v>
      </c>
      <c r="D208">
        <v>5.4</v>
      </c>
      <c r="E208">
        <v>0</v>
      </c>
      <c r="S208">
        <v>50.43</v>
      </c>
      <c r="T208">
        <v>5.4</v>
      </c>
      <c r="U208">
        <v>0</v>
      </c>
    </row>
    <row r="209" spans="1:21" x14ac:dyDescent="0.3">
      <c r="A209">
        <v>30</v>
      </c>
      <c r="B209">
        <v>56.08</v>
      </c>
      <c r="C209">
        <v>38</v>
      </c>
      <c r="D209">
        <v>6.8</v>
      </c>
      <c r="E209">
        <v>1</v>
      </c>
      <c r="S209">
        <v>56.08</v>
      </c>
      <c r="T209">
        <v>6.8</v>
      </c>
      <c r="U209">
        <v>1</v>
      </c>
    </row>
    <row r="210" spans="1:21" x14ac:dyDescent="0.3">
      <c r="A210">
        <v>76</v>
      </c>
      <c r="B210">
        <v>83.08</v>
      </c>
      <c r="C210">
        <v>20</v>
      </c>
      <c r="D210">
        <v>16.3</v>
      </c>
      <c r="E210">
        <v>5</v>
      </c>
      <c r="S210">
        <v>83.08</v>
      </c>
      <c r="T210">
        <v>16.3</v>
      </c>
      <c r="U210">
        <v>5</v>
      </c>
    </row>
    <row r="211" spans="1:21" x14ac:dyDescent="0.3">
      <c r="A211">
        <v>69</v>
      </c>
      <c r="B211">
        <v>83.03</v>
      </c>
      <c r="C211">
        <v>19</v>
      </c>
      <c r="D211">
        <v>16.3</v>
      </c>
      <c r="E211">
        <v>5</v>
      </c>
      <c r="S211">
        <v>83.03</v>
      </c>
      <c r="T211">
        <v>16.3</v>
      </c>
      <c r="U211">
        <v>5</v>
      </c>
    </row>
    <row r="212" spans="1:21" x14ac:dyDescent="0.3">
      <c r="A212">
        <v>42</v>
      </c>
      <c r="B212">
        <v>64.08</v>
      </c>
      <c r="C212">
        <v>19</v>
      </c>
      <c r="D212">
        <v>9.9</v>
      </c>
      <c r="E212">
        <v>2</v>
      </c>
      <c r="S212">
        <v>64.08</v>
      </c>
      <c r="T212">
        <v>9.9</v>
      </c>
      <c r="U212">
        <v>2</v>
      </c>
    </row>
    <row r="213" spans="1:21" x14ac:dyDescent="0.3">
      <c r="A213">
        <v>50</v>
      </c>
      <c r="B213">
        <v>90.27</v>
      </c>
      <c r="C213">
        <v>20</v>
      </c>
      <c r="D213">
        <v>18.7</v>
      </c>
      <c r="E213">
        <v>6</v>
      </c>
      <c r="S213">
        <v>90.27</v>
      </c>
      <c r="T213">
        <v>18.7</v>
      </c>
      <c r="U213">
        <v>6</v>
      </c>
    </row>
    <row r="214" spans="1:21" x14ac:dyDescent="0.3">
      <c r="A214">
        <v>61</v>
      </c>
      <c r="B214">
        <v>70.95</v>
      </c>
      <c r="C214">
        <v>35</v>
      </c>
      <c r="D214">
        <v>12.4</v>
      </c>
      <c r="E214">
        <v>3</v>
      </c>
      <c r="S214">
        <v>70.95</v>
      </c>
      <c r="T214">
        <v>12.4</v>
      </c>
      <c r="U214">
        <v>3</v>
      </c>
    </row>
    <row r="215" spans="1:21" x14ac:dyDescent="0.3">
      <c r="A215">
        <v>26</v>
      </c>
      <c r="B215">
        <v>50.41</v>
      </c>
      <c r="C215">
        <v>31</v>
      </c>
      <c r="D215">
        <v>5.4</v>
      </c>
      <c r="E215">
        <v>0</v>
      </c>
      <c r="S215">
        <v>50.41</v>
      </c>
      <c r="T215">
        <v>5.4</v>
      </c>
      <c r="U215">
        <v>0</v>
      </c>
    </row>
    <row r="216" spans="1:21" x14ac:dyDescent="0.3">
      <c r="A216">
        <v>35</v>
      </c>
      <c r="B216">
        <v>76.13</v>
      </c>
      <c r="C216">
        <v>37</v>
      </c>
      <c r="D216">
        <v>14.3</v>
      </c>
      <c r="E216">
        <v>4</v>
      </c>
      <c r="S216">
        <v>76.13</v>
      </c>
      <c r="T216">
        <v>14.3</v>
      </c>
      <c r="U216">
        <v>4</v>
      </c>
    </row>
    <row r="217" spans="1:21" x14ac:dyDescent="0.3">
      <c r="A217">
        <v>79</v>
      </c>
      <c r="B217">
        <v>90.25</v>
      </c>
      <c r="C217">
        <v>35</v>
      </c>
      <c r="D217">
        <v>18.7</v>
      </c>
      <c r="E217">
        <v>6</v>
      </c>
      <c r="S217">
        <v>90.25</v>
      </c>
      <c r="T217">
        <v>18.7</v>
      </c>
      <c r="U217">
        <v>6</v>
      </c>
    </row>
    <row r="218" spans="1:21" x14ac:dyDescent="0.3">
      <c r="A218">
        <v>21</v>
      </c>
      <c r="B218">
        <v>89.82</v>
      </c>
      <c r="C218">
        <v>27</v>
      </c>
      <c r="D218">
        <v>18.600000000000001</v>
      </c>
      <c r="E218">
        <v>6</v>
      </c>
      <c r="S218">
        <v>89.82</v>
      </c>
      <c r="T218">
        <v>18.600000000000001</v>
      </c>
      <c r="U218">
        <v>6</v>
      </c>
    </row>
    <row r="219" spans="1:21" x14ac:dyDescent="0.3">
      <c r="A219">
        <v>20</v>
      </c>
      <c r="B219">
        <v>63.37</v>
      </c>
      <c r="C219">
        <v>19</v>
      </c>
      <c r="D219">
        <v>9.8000000000000007</v>
      </c>
      <c r="E219">
        <v>2</v>
      </c>
      <c r="S219">
        <v>63.37</v>
      </c>
      <c r="T219">
        <v>9.8000000000000007</v>
      </c>
      <c r="U219">
        <v>2</v>
      </c>
    </row>
    <row r="220" spans="1:21" x14ac:dyDescent="0.3">
      <c r="A220">
        <v>67</v>
      </c>
      <c r="B220">
        <v>55.95</v>
      </c>
      <c r="C220">
        <v>39</v>
      </c>
      <c r="D220">
        <v>6.8</v>
      </c>
      <c r="E220">
        <v>1</v>
      </c>
      <c r="S220">
        <v>55.95</v>
      </c>
      <c r="T220">
        <v>6.8</v>
      </c>
      <c r="U220">
        <v>1</v>
      </c>
    </row>
    <row r="221" spans="1:21" x14ac:dyDescent="0.3">
      <c r="A221">
        <v>31</v>
      </c>
      <c r="B221">
        <v>55.78</v>
      </c>
      <c r="C221">
        <v>18</v>
      </c>
      <c r="D221">
        <v>6.8</v>
      </c>
      <c r="E221">
        <v>1</v>
      </c>
      <c r="S221">
        <v>55.78</v>
      </c>
      <c r="T221">
        <v>6.8</v>
      </c>
      <c r="U221">
        <v>1</v>
      </c>
    </row>
    <row r="222" spans="1:21" x14ac:dyDescent="0.3">
      <c r="A222">
        <v>88</v>
      </c>
      <c r="B222">
        <v>62.75</v>
      </c>
      <c r="C222">
        <v>21</v>
      </c>
      <c r="D222">
        <v>9.8000000000000007</v>
      </c>
      <c r="E222">
        <v>2</v>
      </c>
      <c r="S222">
        <v>62.75</v>
      </c>
      <c r="T222">
        <v>9.8000000000000007</v>
      </c>
      <c r="U222">
        <v>2</v>
      </c>
    </row>
    <row r="223" spans="1:21" x14ac:dyDescent="0.3">
      <c r="A223">
        <v>56</v>
      </c>
      <c r="B223">
        <v>82.95</v>
      </c>
      <c r="C223">
        <v>31</v>
      </c>
      <c r="D223">
        <v>16.2</v>
      </c>
      <c r="E223">
        <v>5</v>
      </c>
      <c r="S223">
        <v>82.95</v>
      </c>
      <c r="T223">
        <v>16.2</v>
      </c>
      <c r="U223">
        <v>5</v>
      </c>
    </row>
    <row r="224" spans="1:21" x14ac:dyDescent="0.3">
      <c r="A224">
        <v>51</v>
      </c>
      <c r="B224">
        <v>55.6</v>
      </c>
      <c r="C224">
        <v>18</v>
      </c>
      <c r="D224">
        <v>6.8</v>
      </c>
      <c r="E224">
        <v>1</v>
      </c>
      <c r="S224">
        <v>55.6</v>
      </c>
      <c r="T224">
        <v>6.8</v>
      </c>
      <c r="U224">
        <v>1</v>
      </c>
    </row>
    <row r="225" spans="1:21" x14ac:dyDescent="0.3">
      <c r="A225">
        <v>28</v>
      </c>
      <c r="B225">
        <v>70.849999999999994</v>
      </c>
      <c r="C225">
        <v>31</v>
      </c>
      <c r="D225">
        <v>12.1</v>
      </c>
      <c r="E225">
        <v>3</v>
      </c>
      <c r="S225">
        <v>70.849999999999994</v>
      </c>
      <c r="T225">
        <v>12.1</v>
      </c>
      <c r="U225">
        <v>3</v>
      </c>
    </row>
    <row r="226" spans="1:21" x14ac:dyDescent="0.3">
      <c r="A226">
        <v>38</v>
      </c>
      <c r="B226">
        <v>50.24</v>
      </c>
      <c r="C226">
        <v>33</v>
      </c>
      <c r="D226">
        <v>5.3</v>
      </c>
      <c r="E226">
        <v>0</v>
      </c>
      <c r="S226">
        <v>50.24</v>
      </c>
      <c r="T226">
        <v>5.3</v>
      </c>
      <c r="U226">
        <v>0</v>
      </c>
    </row>
    <row r="227" spans="1:21" x14ac:dyDescent="0.3">
      <c r="A227">
        <v>67</v>
      </c>
      <c r="B227">
        <v>89.79</v>
      </c>
      <c r="C227">
        <v>39</v>
      </c>
      <c r="D227">
        <v>18.600000000000001</v>
      </c>
      <c r="E227">
        <v>6</v>
      </c>
      <c r="S227">
        <v>89.79</v>
      </c>
      <c r="T227">
        <v>18.600000000000001</v>
      </c>
      <c r="U227">
        <v>6</v>
      </c>
    </row>
    <row r="228" spans="1:21" x14ac:dyDescent="0.3">
      <c r="A228">
        <v>22</v>
      </c>
      <c r="B228">
        <v>89.73</v>
      </c>
      <c r="C228">
        <v>31</v>
      </c>
      <c r="D228">
        <v>18.600000000000001</v>
      </c>
      <c r="E228">
        <v>6</v>
      </c>
      <c r="S228">
        <v>89.73</v>
      </c>
      <c r="T228">
        <v>18.600000000000001</v>
      </c>
      <c r="U228">
        <v>6</v>
      </c>
    </row>
    <row r="229" spans="1:21" x14ac:dyDescent="0.3">
      <c r="A229">
        <v>39</v>
      </c>
      <c r="B229">
        <v>70.790000000000006</v>
      </c>
      <c r="C229">
        <v>37</v>
      </c>
      <c r="D229">
        <v>12.1</v>
      </c>
      <c r="E229">
        <v>3</v>
      </c>
      <c r="S229">
        <v>70.790000000000006</v>
      </c>
      <c r="T229">
        <v>12.1</v>
      </c>
      <c r="U229">
        <v>3</v>
      </c>
    </row>
    <row r="230" spans="1:21" x14ac:dyDescent="0.3">
      <c r="A230">
        <v>43</v>
      </c>
      <c r="B230">
        <v>55.42</v>
      </c>
      <c r="C230">
        <v>20</v>
      </c>
      <c r="D230">
        <v>6.7</v>
      </c>
      <c r="E230">
        <v>1</v>
      </c>
      <c r="S230">
        <v>55.42</v>
      </c>
      <c r="T230">
        <v>6.7</v>
      </c>
      <c r="U230">
        <v>1</v>
      </c>
    </row>
    <row r="231" spans="1:21" x14ac:dyDescent="0.3">
      <c r="A231">
        <v>73</v>
      </c>
      <c r="B231">
        <v>89.67</v>
      </c>
      <c r="C231">
        <v>20</v>
      </c>
      <c r="D231">
        <v>18.5</v>
      </c>
      <c r="E231">
        <v>6</v>
      </c>
      <c r="S231">
        <v>89.67</v>
      </c>
      <c r="T231">
        <v>18.5</v>
      </c>
      <c r="U231">
        <v>6</v>
      </c>
    </row>
    <row r="232" spans="1:21" x14ac:dyDescent="0.3">
      <c r="A232">
        <v>52</v>
      </c>
      <c r="B232">
        <v>75.8</v>
      </c>
      <c r="C232">
        <v>26</v>
      </c>
      <c r="D232">
        <v>14.3</v>
      </c>
      <c r="E232">
        <v>4</v>
      </c>
      <c r="S232">
        <v>75.8</v>
      </c>
      <c r="T232">
        <v>14.3</v>
      </c>
      <c r="U232">
        <v>4</v>
      </c>
    </row>
    <row r="233" spans="1:21" x14ac:dyDescent="0.3">
      <c r="A233">
        <v>43</v>
      </c>
      <c r="B233">
        <v>50.23</v>
      </c>
      <c r="C233">
        <v>23</v>
      </c>
      <c r="D233">
        <v>5.3</v>
      </c>
      <c r="E233">
        <v>0</v>
      </c>
      <c r="S233">
        <v>50.23</v>
      </c>
      <c r="T233">
        <v>5.3</v>
      </c>
      <c r="U233">
        <v>0</v>
      </c>
    </row>
    <row r="234" spans="1:21" x14ac:dyDescent="0.3">
      <c r="A234">
        <v>94</v>
      </c>
      <c r="B234">
        <v>50.23</v>
      </c>
      <c r="C234">
        <v>30</v>
      </c>
      <c r="D234">
        <v>5.2</v>
      </c>
      <c r="E234">
        <v>0</v>
      </c>
      <c r="S234">
        <v>50.23</v>
      </c>
      <c r="T234">
        <v>5.2</v>
      </c>
      <c r="U234">
        <v>0</v>
      </c>
    </row>
    <row r="235" spans="1:21" x14ac:dyDescent="0.3">
      <c r="A235">
        <v>91</v>
      </c>
      <c r="B235">
        <v>89.56</v>
      </c>
      <c r="C235">
        <v>38</v>
      </c>
      <c r="D235">
        <v>18.5</v>
      </c>
      <c r="E235">
        <v>6</v>
      </c>
      <c r="S235">
        <v>89.56</v>
      </c>
      <c r="T235">
        <v>18.5</v>
      </c>
      <c r="U235">
        <v>6</v>
      </c>
    </row>
    <row r="236" spans="1:21" x14ac:dyDescent="0.3">
      <c r="A236">
        <v>55</v>
      </c>
      <c r="B236">
        <v>62.66</v>
      </c>
      <c r="C236">
        <v>19</v>
      </c>
      <c r="D236">
        <v>9.8000000000000007</v>
      </c>
      <c r="E236">
        <v>2</v>
      </c>
      <c r="S236">
        <v>62.66</v>
      </c>
      <c r="T236">
        <v>9.8000000000000007</v>
      </c>
      <c r="U236">
        <v>2</v>
      </c>
    </row>
    <row r="237" spans="1:21" x14ac:dyDescent="0.3">
      <c r="A237">
        <v>57</v>
      </c>
      <c r="B237">
        <v>89.45</v>
      </c>
      <c r="C237">
        <v>25</v>
      </c>
      <c r="D237">
        <v>18.399999999999999</v>
      </c>
      <c r="E237">
        <v>6</v>
      </c>
      <c r="S237">
        <v>89.45</v>
      </c>
      <c r="T237">
        <v>18.399999999999999</v>
      </c>
      <c r="U237">
        <v>6</v>
      </c>
    </row>
    <row r="238" spans="1:21" x14ac:dyDescent="0.3">
      <c r="A238">
        <v>44</v>
      </c>
      <c r="B238">
        <v>62.48</v>
      </c>
      <c r="C238">
        <v>38</v>
      </c>
      <c r="D238">
        <v>9.8000000000000007</v>
      </c>
      <c r="E238">
        <v>2</v>
      </c>
      <c r="S238">
        <v>62.48</v>
      </c>
      <c r="T238">
        <v>9.8000000000000007</v>
      </c>
      <c r="U238">
        <v>2</v>
      </c>
    </row>
    <row r="239" spans="1:21" x14ac:dyDescent="0.3">
      <c r="A239">
        <v>37</v>
      </c>
      <c r="B239">
        <v>89.07</v>
      </c>
      <c r="C239">
        <v>19</v>
      </c>
      <c r="D239">
        <v>18.399999999999999</v>
      </c>
      <c r="E239">
        <v>6</v>
      </c>
      <c r="S239">
        <v>89.07</v>
      </c>
      <c r="T239">
        <v>18.399999999999999</v>
      </c>
      <c r="U239">
        <v>6</v>
      </c>
    </row>
    <row r="240" spans="1:21" x14ac:dyDescent="0.3">
      <c r="A240">
        <v>85</v>
      </c>
      <c r="B240">
        <v>75.760000000000005</v>
      </c>
      <c r="C240">
        <v>21</v>
      </c>
      <c r="D240">
        <v>14.2</v>
      </c>
      <c r="E240">
        <v>4</v>
      </c>
      <c r="S240">
        <v>75.760000000000005</v>
      </c>
      <c r="T240">
        <v>14.2</v>
      </c>
      <c r="U240">
        <v>4</v>
      </c>
    </row>
    <row r="241" spans="1:21" x14ac:dyDescent="0.3">
      <c r="A241">
        <v>73</v>
      </c>
      <c r="B241">
        <v>82.95</v>
      </c>
      <c r="C241">
        <v>32</v>
      </c>
      <c r="D241">
        <v>16.100000000000001</v>
      </c>
      <c r="E241">
        <v>5</v>
      </c>
      <c r="S241">
        <v>82.95</v>
      </c>
      <c r="T241">
        <v>16.100000000000001</v>
      </c>
      <c r="U241">
        <v>5</v>
      </c>
    </row>
    <row r="242" spans="1:21" x14ac:dyDescent="0.3">
      <c r="A242">
        <v>54</v>
      </c>
      <c r="B242">
        <v>50.15</v>
      </c>
      <c r="C242">
        <v>21</v>
      </c>
      <c r="D242">
        <v>5.2</v>
      </c>
      <c r="E242">
        <v>0</v>
      </c>
      <c r="S242">
        <v>50.15</v>
      </c>
      <c r="T242">
        <v>5.2</v>
      </c>
      <c r="U242">
        <v>0</v>
      </c>
    </row>
    <row r="243" spans="1:21" x14ac:dyDescent="0.3">
      <c r="A243">
        <v>80</v>
      </c>
      <c r="B243">
        <v>88.9</v>
      </c>
      <c r="C243">
        <v>30</v>
      </c>
      <c r="D243">
        <v>18.399999999999999</v>
      </c>
      <c r="E243">
        <v>6</v>
      </c>
      <c r="S243">
        <v>88.9</v>
      </c>
      <c r="T243">
        <v>18.399999999999999</v>
      </c>
      <c r="U243">
        <v>6</v>
      </c>
    </row>
    <row r="244" spans="1:21" x14ac:dyDescent="0.3">
      <c r="A244">
        <v>60</v>
      </c>
      <c r="B244">
        <v>75.709999999999994</v>
      </c>
      <c r="C244">
        <v>29</v>
      </c>
      <c r="D244">
        <v>14.2</v>
      </c>
      <c r="E244">
        <v>4</v>
      </c>
      <c r="S244">
        <v>75.709999999999994</v>
      </c>
      <c r="T244">
        <v>14.2</v>
      </c>
      <c r="U244">
        <v>4</v>
      </c>
    </row>
    <row r="245" spans="1:21" x14ac:dyDescent="0.3">
      <c r="A245">
        <v>52</v>
      </c>
      <c r="B245">
        <v>62.28</v>
      </c>
      <c r="C245">
        <v>30</v>
      </c>
      <c r="D245">
        <v>9.8000000000000007</v>
      </c>
      <c r="E245">
        <v>2</v>
      </c>
      <c r="S245">
        <v>62.28</v>
      </c>
      <c r="T245">
        <v>9.8000000000000007</v>
      </c>
      <c r="U245">
        <v>2</v>
      </c>
    </row>
    <row r="246" spans="1:21" x14ac:dyDescent="0.3">
      <c r="A246">
        <v>87</v>
      </c>
      <c r="B246">
        <v>62.23</v>
      </c>
      <c r="C246">
        <v>31</v>
      </c>
      <c r="D246">
        <v>9.6</v>
      </c>
      <c r="E246">
        <v>2</v>
      </c>
      <c r="S246">
        <v>62.23</v>
      </c>
      <c r="T246">
        <v>9.6</v>
      </c>
      <c r="U246">
        <v>2</v>
      </c>
    </row>
    <row r="247" spans="1:21" x14ac:dyDescent="0.3">
      <c r="A247">
        <v>52</v>
      </c>
      <c r="B247">
        <v>50.11</v>
      </c>
      <c r="C247">
        <v>37</v>
      </c>
      <c r="D247">
        <v>5.2</v>
      </c>
      <c r="E247">
        <v>0</v>
      </c>
      <c r="S247">
        <v>50.11</v>
      </c>
      <c r="T247">
        <v>5.2</v>
      </c>
      <c r="U247">
        <v>0</v>
      </c>
    </row>
    <row r="248" spans="1:21" x14ac:dyDescent="0.3">
      <c r="A248">
        <v>33</v>
      </c>
      <c r="B248">
        <v>70.69</v>
      </c>
      <c r="C248">
        <v>35</v>
      </c>
      <c r="D248">
        <v>12</v>
      </c>
      <c r="E248">
        <v>3</v>
      </c>
      <c r="S248">
        <v>70.69</v>
      </c>
      <c r="T248">
        <v>12</v>
      </c>
      <c r="U248">
        <v>3</v>
      </c>
    </row>
    <row r="249" spans="1:21" x14ac:dyDescent="0.3">
      <c r="A249">
        <v>40</v>
      </c>
      <c r="B249">
        <v>88.75</v>
      </c>
      <c r="C249">
        <v>23</v>
      </c>
      <c r="D249">
        <v>18.399999999999999</v>
      </c>
      <c r="E249">
        <v>6</v>
      </c>
      <c r="S249">
        <v>88.75</v>
      </c>
      <c r="T249">
        <v>18.399999999999999</v>
      </c>
      <c r="U249">
        <v>6</v>
      </c>
    </row>
    <row r="250" spans="1:21" x14ac:dyDescent="0.3">
      <c r="A250">
        <v>67</v>
      </c>
      <c r="B250">
        <v>55.42</v>
      </c>
      <c r="C250">
        <v>28</v>
      </c>
      <c r="D250">
        <v>6.7</v>
      </c>
      <c r="E250">
        <v>1</v>
      </c>
      <c r="S250">
        <v>55.42</v>
      </c>
      <c r="T250">
        <v>6.7</v>
      </c>
      <c r="U250">
        <v>1</v>
      </c>
    </row>
    <row r="251" spans="1:21" x14ac:dyDescent="0.3">
      <c r="A251">
        <v>39</v>
      </c>
      <c r="B251">
        <v>62.15</v>
      </c>
      <c r="C251">
        <v>19</v>
      </c>
      <c r="D251">
        <v>9.4</v>
      </c>
      <c r="E251">
        <v>2</v>
      </c>
      <c r="S251">
        <v>62.15</v>
      </c>
      <c r="T251">
        <v>9.4</v>
      </c>
      <c r="U251">
        <v>2</v>
      </c>
    </row>
    <row r="252" spans="1:21" x14ac:dyDescent="0.3">
      <c r="A252">
        <v>27</v>
      </c>
      <c r="B252">
        <v>82.9</v>
      </c>
      <c r="C252">
        <v>36</v>
      </c>
      <c r="D252">
        <v>16.100000000000001</v>
      </c>
      <c r="E252">
        <v>5</v>
      </c>
      <c r="S252">
        <v>82.9</v>
      </c>
      <c r="T252">
        <v>16.100000000000001</v>
      </c>
      <c r="U252">
        <v>5</v>
      </c>
    </row>
    <row r="253" spans="1:21" x14ac:dyDescent="0.3">
      <c r="A253">
        <v>26</v>
      </c>
      <c r="B253">
        <v>82.58</v>
      </c>
      <c r="C253">
        <v>36</v>
      </c>
      <c r="D253">
        <v>16</v>
      </c>
      <c r="E253">
        <v>5</v>
      </c>
      <c r="S253">
        <v>82.58</v>
      </c>
      <c r="T253">
        <v>16</v>
      </c>
      <c r="U253">
        <v>5</v>
      </c>
    </row>
    <row r="254" spans="1:21" x14ac:dyDescent="0.3">
      <c r="A254">
        <v>86</v>
      </c>
      <c r="B254">
        <v>61.99</v>
      </c>
      <c r="C254">
        <v>22</v>
      </c>
      <c r="D254">
        <v>9.4</v>
      </c>
      <c r="E254">
        <v>2</v>
      </c>
      <c r="S254">
        <v>61.99</v>
      </c>
      <c r="T254">
        <v>9.4</v>
      </c>
      <c r="U254">
        <v>2</v>
      </c>
    </row>
    <row r="255" spans="1:21" x14ac:dyDescent="0.3">
      <c r="A255">
        <v>36</v>
      </c>
      <c r="B255">
        <v>70.58</v>
      </c>
      <c r="C255">
        <v>36</v>
      </c>
      <c r="D255">
        <v>12</v>
      </c>
      <c r="E255">
        <v>3</v>
      </c>
      <c r="S255">
        <v>70.58</v>
      </c>
      <c r="T255">
        <v>12</v>
      </c>
      <c r="U255">
        <v>3</v>
      </c>
    </row>
    <row r="256" spans="1:21" x14ac:dyDescent="0.3">
      <c r="A256">
        <v>52</v>
      </c>
      <c r="B256">
        <v>70.48</v>
      </c>
      <c r="C256">
        <v>19</v>
      </c>
      <c r="D256">
        <v>12</v>
      </c>
      <c r="E256">
        <v>3</v>
      </c>
      <c r="S256">
        <v>70.48</v>
      </c>
      <c r="T256">
        <v>12</v>
      </c>
      <c r="U256">
        <v>3</v>
      </c>
    </row>
    <row r="257" spans="1:21" x14ac:dyDescent="0.3">
      <c r="A257">
        <v>67</v>
      </c>
      <c r="B257">
        <v>75.459999999999994</v>
      </c>
      <c r="C257">
        <v>27</v>
      </c>
      <c r="D257">
        <v>14.2</v>
      </c>
      <c r="E257">
        <v>4</v>
      </c>
      <c r="S257">
        <v>75.459999999999994</v>
      </c>
      <c r="T257">
        <v>14.2</v>
      </c>
      <c r="U257">
        <v>4</v>
      </c>
    </row>
    <row r="258" spans="1:21" x14ac:dyDescent="0.3">
      <c r="A258">
        <v>78</v>
      </c>
      <c r="B258">
        <v>82.47</v>
      </c>
      <c r="C258">
        <v>19</v>
      </c>
      <c r="D258">
        <v>15.9</v>
      </c>
      <c r="E258">
        <v>5</v>
      </c>
      <c r="S258">
        <v>82.47</v>
      </c>
      <c r="T258">
        <v>15.9</v>
      </c>
      <c r="U258">
        <v>5</v>
      </c>
    </row>
    <row r="259" spans="1:21" x14ac:dyDescent="0.3">
      <c r="A259">
        <v>41</v>
      </c>
      <c r="B259">
        <v>75.23</v>
      </c>
      <c r="C259">
        <v>28</v>
      </c>
      <c r="D259">
        <v>14.2</v>
      </c>
      <c r="E259">
        <v>4</v>
      </c>
      <c r="S259">
        <v>75.23</v>
      </c>
      <c r="T259">
        <v>14.2</v>
      </c>
      <c r="U259">
        <v>4</v>
      </c>
    </row>
    <row r="260" spans="1:21" x14ac:dyDescent="0.3">
      <c r="A260">
        <v>49</v>
      </c>
      <c r="B260">
        <v>82.41</v>
      </c>
      <c r="C260">
        <v>35</v>
      </c>
      <c r="D260">
        <v>15.9</v>
      </c>
      <c r="E260">
        <v>5</v>
      </c>
      <c r="S260">
        <v>82.41</v>
      </c>
      <c r="T260">
        <v>15.9</v>
      </c>
      <c r="U260">
        <v>5</v>
      </c>
    </row>
    <row r="261" spans="1:21" x14ac:dyDescent="0.3">
      <c r="A261">
        <v>57</v>
      </c>
      <c r="B261">
        <v>88.71</v>
      </c>
      <c r="C261">
        <v>32</v>
      </c>
      <c r="D261">
        <v>18.3</v>
      </c>
      <c r="E261">
        <v>6</v>
      </c>
      <c r="S261">
        <v>88.71</v>
      </c>
      <c r="T261">
        <v>18.3</v>
      </c>
      <c r="U261">
        <v>6</v>
      </c>
    </row>
    <row r="262" spans="1:21" x14ac:dyDescent="0.3">
      <c r="A262">
        <v>70</v>
      </c>
      <c r="B262">
        <v>88.38</v>
      </c>
      <c r="C262">
        <v>26</v>
      </c>
      <c r="D262">
        <v>18.2</v>
      </c>
      <c r="E262">
        <v>6</v>
      </c>
      <c r="S262">
        <v>88.38</v>
      </c>
      <c r="T262">
        <v>18.2</v>
      </c>
      <c r="U262">
        <v>6</v>
      </c>
    </row>
    <row r="263" spans="1:21" x14ac:dyDescent="0.3">
      <c r="A263">
        <v>73</v>
      </c>
      <c r="B263">
        <v>55.21</v>
      </c>
      <c r="C263">
        <v>36</v>
      </c>
      <c r="D263">
        <v>6.5</v>
      </c>
      <c r="E263">
        <v>1</v>
      </c>
      <c r="S263">
        <v>55.21</v>
      </c>
      <c r="T263">
        <v>6.5</v>
      </c>
      <c r="U263">
        <v>1</v>
      </c>
    </row>
    <row r="264" spans="1:21" x14ac:dyDescent="0.3">
      <c r="A264">
        <v>27</v>
      </c>
      <c r="B264">
        <v>88.35</v>
      </c>
      <c r="C264">
        <v>26</v>
      </c>
      <c r="D264">
        <v>18.2</v>
      </c>
      <c r="E264">
        <v>6</v>
      </c>
      <c r="S264">
        <v>88.35</v>
      </c>
      <c r="T264">
        <v>18.2</v>
      </c>
      <c r="U264">
        <v>6</v>
      </c>
    </row>
    <row r="265" spans="1:21" x14ac:dyDescent="0.3">
      <c r="A265">
        <v>46</v>
      </c>
      <c r="B265">
        <v>55.19</v>
      </c>
      <c r="C265">
        <v>20</v>
      </c>
      <c r="D265">
        <v>6.5</v>
      </c>
      <c r="E265">
        <v>1</v>
      </c>
      <c r="S265">
        <v>55.19</v>
      </c>
      <c r="T265">
        <v>6.5</v>
      </c>
      <c r="U265">
        <v>1</v>
      </c>
    </row>
    <row r="266" spans="1:21" x14ac:dyDescent="0.3">
      <c r="A266">
        <v>46</v>
      </c>
      <c r="B266">
        <v>88.09</v>
      </c>
      <c r="C266">
        <v>38</v>
      </c>
      <c r="D266">
        <v>18</v>
      </c>
      <c r="E266">
        <v>6</v>
      </c>
      <c r="S266">
        <v>88.09</v>
      </c>
      <c r="T266">
        <v>18</v>
      </c>
      <c r="U266">
        <v>6</v>
      </c>
    </row>
    <row r="267" spans="1:21" x14ac:dyDescent="0.3">
      <c r="A267">
        <v>40</v>
      </c>
      <c r="B267">
        <v>50.05</v>
      </c>
      <c r="C267">
        <v>26</v>
      </c>
      <c r="D267">
        <v>5.2</v>
      </c>
      <c r="E267">
        <v>0</v>
      </c>
      <c r="S267">
        <v>50.05</v>
      </c>
      <c r="T267">
        <v>5.2</v>
      </c>
      <c r="U267">
        <v>0</v>
      </c>
    </row>
    <row r="268" spans="1:21" x14ac:dyDescent="0.3">
      <c r="A268">
        <v>49</v>
      </c>
      <c r="B268">
        <v>87.87</v>
      </c>
      <c r="C268">
        <v>31</v>
      </c>
      <c r="D268">
        <v>18</v>
      </c>
      <c r="E268">
        <v>6</v>
      </c>
      <c r="S268">
        <v>87.87</v>
      </c>
      <c r="T268">
        <v>18</v>
      </c>
      <c r="U268">
        <v>6</v>
      </c>
    </row>
    <row r="269" spans="1:21" x14ac:dyDescent="0.3">
      <c r="A269">
        <v>47</v>
      </c>
      <c r="B269">
        <v>75.19</v>
      </c>
      <c r="C269">
        <v>36</v>
      </c>
      <c r="D269">
        <v>13.9</v>
      </c>
      <c r="E269">
        <v>4</v>
      </c>
      <c r="S269">
        <v>75.19</v>
      </c>
      <c r="T269">
        <v>13.9</v>
      </c>
      <c r="U269">
        <v>4</v>
      </c>
    </row>
    <row r="270" spans="1:21" x14ac:dyDescent="0.3">
      <c r="A270">
        <v>83</v>
      </c>
      <c r="B270">
        <v>61.87</v>
      </c>
      <c r="C270">
        <v>24</v>
      </c>
      <c r="D270">
        <v>9.4</v>
      </c>
      <c r="E270">
        <v>2</v>
      </c>
      <c r="S270">
        <v>61.87</v>
      </c>
      <c r="T270">
        <v>9.4</v>
      </c>
      <c r="U270">
        <v>2</v>
      </c>
    </row>
    <row r="271" spans="1:21" x14ac:dyDescent="0.3">
      <c r="A271">
        <v>88</v>
      </c>
      <c r="B271">
        <v>75.03</v>
      </c>
      <c r="C271">
        <v>33</v>
      </c>
      <c r="D271">
        <v>13.9</v>
      </c>
      <c r="E271">
        <v>4</v>
      </c>
      <c r="S271">
        <v>75.03</v>
      </c>
      <c r="T271">
        <v>13.9</v>
      </c>
      <c r="U271">
        <v>4</v>
      </c>
    </row>
    <row r="272" spans="1:21" x14ac:dyDescent="0.3">
      <c r="A272">
        <v>80</v>
      </c>
      <c r="B272">
        <v>61.71</v>
      </c>
      <c r="C272">
        <v>33</v>
      </c>
      <c r="D272">
        <v>9.3000000000000007</v>
      </c>
      <c r="E272">
        <v>2</v>
      </c>
      <c r="S272">
        <v>61.71</v>
      </c>
      <c r="T272">
        <v>9.3000000000000007</v>
      </c>
      <c r="U272">
        <v>2</v>
      </c>
    </row>
    <row r="273" spans="1:21" x14ac:dyDescent="0.3">
      <c r="A273">
        <v>67</v>
      </c>
      <c r="B273">
        <v>69.849999999999994</v>
      </c>
      <c r="C273">
        <v>18</v>
      </c>
      <c r="D273">
        <v>11.9</v>
      </c>
      <c r="E273">
        <v>3</v>
      </c>
      <c r="S273">
        <v>69.849999999999994</v>
      </c>
      <c r="T273">
        <v>11.9</v>
      </c>
      <c r="U273">
        <v>3</v>
      </c>
    </row>
    <row r="274" spans="1:21" x14ac:dyDescent="0.3">
      <c r="A274">
        <v>38</v>
      </c>
      <c r="B274">
        <v>75.010000000000005</v>
      </c>
      <c r="C274">
        <v>21</v>
      </c>
      <c r="D274">
        <v>13.8</v>
      </c>
      <c r="E274">
        <v>4</v>
      </c>
      <c r="S274">
        <v>75.010000000000005</v>
      </c>
      <c r="T274">
        <v>13.8</v>
      </c>
      <c r="U274">
        <v>4</v>
      </c>
    </row>
    <row r="275" spans="1:21" x14ac:dyDescent="0.3">
      <c r="A275">
        <v>23</v>
      </c>
      <c r="B275">
        <v>69.67</v>
      </c>
      <c r="C275">
        <v>21</v>
      </c>
      <c r="D275">
        <v>11.8</v>
      </c>
      <c r="E275">
        <v>3</v>
      </c>
      <c r="S275">
        <v>69.67</v>
      </c>
      <c r="T275">
        <v>11.8</v>
      </c>
      <c r="U275">
        <v>3</v>
      </c>
    </row>
    <row r="276" spans="1:21" x14ac:dyDescent="0.3">
      <c r="A276">
        <v>54</v>
      </c>
      <c r="B276">
        <v>55.14</v>
      </c>
      <c r="C276">
        <v>24</v>
      </c>
      <c r="D276">
        <v>6.5</v>
      </c>
      <c r="E276">
        <v>1</v>
      </c>
      <c r="S276">
        <v>55.14</v>
      </c>
      <c r="T276">
        <v>6.5</v>
      </c>
      <c r="U276">
        <v>1</v>
      </c>
    </row>
    <row r="277" spans="1:21" x14ac:dyDescent="0.3">
      <c r="A277">
        <v>83</v>
      </c>
      <c r="B277">
        <v>54.93</v>
      </c>
      <c r="C277">
        <v>25</v>
      </c>
      <c r="D277">
        <v>6.5</v>
      </c>
      <c r="E277">
        <v>1</v>
      </c>
      <c r="S277">
        <v>54.93</v>
      </c>
      <c r="T277">
        <v>6.5</v>
      </c>
      <c r="U277">
        <v>1</v>
      </c>
    </row>
    <row r="278" spans="1:21" x14ac:dyDescent="0.3">
      <c r="A278">
        <v>68</v>
      </c>
      <c r="B278">
        <v>50.01</v>
      </c>
      <c r="C278">
        <v>34</v>
      </c>
      <c r="D278">
        <v>5.2</v>
      </c>
      <c r="E278">
        <v>0</v>
      </c>
      <c r="S278">
        <v>50.01</v>
      </c>
      <c r="T278">
        <v>5.2</v>
      </c>
      <c r="U278">
        <v>0</v>
      </c>
    </row>
    <row r="279" spans="1:21" x14ac:dyDescent="0.3">
      <c r="A279">
        <v>36</v>
      </c>
      <c r="B279">
        <v>87.81</v>
      </c>
      <c r="C279">
        <v>22</v>
      </c>
      <c r="D279">
        <v>18</v>
      </c>
      <c r="E279">
        <v>6</v>
      </c>
      <c r="S279">
        <v>87.81</v>
      </c>
      <c r="T279">
        <v>18</v>
      </c>
      <c r="U279">
        <v>6</v>
      </c>
    </row>
    <row r="280" spans="1:21" x14ac:dyDescent="0.3">
      <c r="A280">
        <v>63</v>
      </c>
      <c r="B280">
        <v>74.47</v>
      </c>
      <c r="C280">
        <v>24</v>
      </c>
      <c r="D280">
        <v>13.8</v>
      </c>
      <c r="E280">
        <v>4</v>
      </c>
      <c r="S280">
        <v>74.47</v>
      </c>
      <c r="T280">
        <v>13.8</v>
      </c>
      <c r="U280">
        <v>4</v>
      </c>
    </row>
    <row r="281" spans="1:21" x14ac:dyDescent="0.3">
      <c r="A281">
        <v>49</v>
      </c>
      <c r="B281">
        <v>69.45</v>
      </c>
      <c r="C281">
        <v>37</v>
      </c>
      <c r="D281">
        <v>11.8</v>
      </c>
      <c r="E281">
        <v>3</v>
      </c>
      <c r="S281">
        <v>69.45</v>
      </c>
      <c r="T281">
        <v>11.8</v>
      </c>
      <c r="U281">
        <v>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14229-9973-4CA3-8623-E12ADECD2ADC}">
  <dimension ref="A1:S19"/>
  <sheetViews>
    <sheetView workbookViewId="0"/>
  </sheetViews>
  <sheetFormatPr defaultRowHeight="14.4" x14ac:dyDescent="0.3"/>
  <cols>
    <col min="1" max="1" width="24.44140625" bestFit="1" customWidth="1"/>
    <col min="2" max="2" width="12.6640625" bestFit="1" customWidth="1"/>
    <col min="3" max="3" width="14.5546875" bestFit="1" customWidth="1"/>
    <col min="4" max="4" width="12.6640625" bestFit="1" customWidth="1"/>
    <col min="5" max="5" width="12" bestFit="1" customWidth="1"/>
    <col min="6" max="6" width="13.44140625" bestFit="1" customWidth="1"/>
    <col min="7" max="9" width="12.6640625" bestFit="1" customWidth="1"/>
    <col min="11" max="11" width="23.109375" bestFit="1" customWidth="1"/>
    <col min="12" max="12" width="12.6640625" bestFit="1" customWidth="1"/>
    <col min="13" max="13" width="14.5546875" bestFit="1" customWidth="1"/>
    <col min="14" max="14" width="12.6640625" bestFit="1" customWidth="1"/>
    <col min="15" max="15" width="12" bestFit="1" customWidth="1"/>
    <col min="16" max="16" width="13.44140625" bestFit="1" customWidth="1"/>
    <col min="17" max="19" width="12.6640625" bestFit="1" customWidth="1"/>
  </cols>
  <sheetData>
    <row r="1" spans="1:19" x14ac:dyDescent="0.3">
      <c r="A1" s="93" t="s">
        <v>731</v>
      </c>
      <c r="B1" s="93"/>
      <c r="K1" t="s">
        <v>730</v>
      </c>
    </row>
    <row r="2" spans="1:19" x14ac:dyDescent="0.3">
      <c r="A2" s="94" t="s">
        <v>732</v>
      </c>
      <c r="B2" s="94">
        <v>0.98930673003279357</v>
      </c>
    </row>
    <row r="3" spans="1:19" x14ac:dyDescent="0.3">
      <c r="A3" s="94" t="s">
        <v>733</v>
      </c>
      <c r="B3" s="95">
        <v>0.97872780608817866</v>
      </c>
      <c r="C3" s="9">
        <f>100*B3</f>
        <v>97.872780608817862</v>
      </c>
      <c r="K3" s="93" t="s">
        <v>731</v>
      </c>
      <c r="L3" s="93"/>
    </row>
    <row r="4" spans="1:19" x14ac:dyDescent="0.3">
      <c r="A4" s="94" t="s">
        <v>734</v>
      </c>
      <c r="B4" s="94">
        <v>0.9784183923585521</v>
      </c>
      <c r="K4" s="94" t="s">
        <v>732</v>
      </c>
      <c r="L4" s="94">
        <v>0.98929452889056235</v>
      </c>
    </row>
    <row r="5" spans="1:19" x14ac:dyDescent="0.3">
      <c r="A5" s="94" t="s">
        <v>735</v>
      </c>
      <c r="B5" s="94">
        <v>0.29911354659612149</v>
      </c>
      <c r="K5" s="94" t="s">
        <v>733</v>
      </c>
      <c r="L5" s="95">
        <v>0.9787036648927997</v>
      </c>
      <c r="M5" s="9">
        <f>100*L5</f>
        <v>97.870366489279974</v>
      </c>
    </row>
    <row r="6" spans="1:19" x14ac:dyDescent="0.3">
      <c r="A6" s="94" t="s">
        <v>736</v>
      </c>
      <c r="B6" s="94">
        <v>280</v>
      </c>
      <c r="K6" s="94" t="s">
        <v>734</v>
      </c>
      <c r="L6" s="94">
        <v>0.97854990074040105</v>
      </c>
    </row>
    <row r="7" spans="1:19" x14ac:dyDescent="0.3">
      <c r="K7" s="94" t="s">
        <v>735</v>
      </c>
      <c r="L7" s="94">
        <v>0.29820082391568076</v>
      </c>
    </row>
    <row r="8" spans="1:19" x14ac:dyDescent="0.3">
      <c r="A8" s="94" t="s">
        <v>737</v>
      </c>
      <c r="B8" s="94"/>
      <c r="C8" s="94"/>
      <c r="D8" s="94"/>
      <c r="E8" s="94"/>
      <c r="F8" s="94"/>
      <c r="K8" s="94" t="s">
        <v>736</v>
      </c>
      <c r="L8" s="94">
        <v>280</v>
      </c>
    </row>
    <row r="9" spans="1:19" x14ac:dyDescent="0.3">
      <c r="A9" s="96"/>
      <c r="B9" s="96" t="s">
        <v>739</v>
      </c>
      <c r="C9" s="96" t="s">
        <v>740</v>
      </c>
      <c r="D9" s="96" t="s">
        <v>741</v>
      </c>
      <c r="E9" s="96" t="s">
        <v>742</v>
      </c>
      <c r="F9" s="96" t="s">
        <v>743</v>
      </c>
    </row>
    <row r="10" spans="1:19" x14ac:dyDescent="0.3">
      <c r="A10" s="94" t="s">
        <v>744</v>
      </c>
      <c r="B10" s="94">
        <v>4</v>
      </c>
      <c r="C10" s="94">
        <v>1132.0210487167396</v>
      </c>
      <c r="D10" s="94">
        <v>283.00526217918491</v>
      </c>
      <c r="E10" s="94">
        <v>3163.1686391862754</v>
      </c>
      <c r="F10" s="94">
        <v>1.608306421570188E-228</v>
      </c>
      <c r="K10" s="20" t="s">
        <v>737</v>
      </c>
      <c r="L10" s="20"/>
      <c r="M10" s="20"/>
      <c r="N10" s="20"/>
      <c r="O10" s="20"/>
      <c r="P10" s="20"/>
    </row>
    <row r="11" spans="1:19" x14ac:dyDescent="0.3">
      <c r="A11" s="94" t="s">
        <v>745</v>
      </c>
      <c r="B11" s="94">
        <v>275</v>
      </c>
      <c r="C11" s="94">
        <v>24.603951283260287</v>
      </c>
      <c r="D11" s="94">
        <v>8.9468913757310128E-2</v>
      </c>
      <c r="E11" s="94"/>
      <c r="F11" s="94"/>
      <c r="K11" s="96"/>
      <c r="L11" s="96" t="s">
        <v>739</v>
      </c>
      <c r="M11" s="96" t="s">
        <v>740</v>
      </c>
      <c r="N11" s="96" t="s">
        <v>741</v>
      </c>
      <c r="O11" s="96" t="s">
        <v>742</v>
      </c>
      <c r="P11" s="96" t="s">
        <v>743</v>
      </c>
    </row>
    <row r="12" spans="1:19" x14ac:dyDescent="0.3">
      <c r="A12" s="94" t="s">
        <v>746</v>
      </c>
      <c r="B12" s="94">
        <v>279</v>
      </c>
      <c r="C12" s="94">
        <v>1156.625</v>
      </c>
      <c r="D12" s="94"/>
      <c r="E12" s="94"/>
      <c r="F12" s="94"/>
      <c r="K12" s="20" t="s">
        <v>744</v>
      </c>
      <c r="L12" s="20">
        <v>2</v>
      </c>
      <c r="M12" s="20">
        <v>1131.9931264066345</v>
      </c>
      <c r="N12" s="20">
        <v>565.99656320331724</v>
      </c>
      <c r="O12" s="20">
        <v>6364.9664087894425</v>
      </c>
      <c r="P12" s="20">
        <v>2.952737039098368E-232</v>
      </c>
    </row>
    <row r="13" spans="1:19" ht="15" thickBot="1" x14ac:dyDescent="0.35">
      <c r="K13" s="20" t="s">
        <v>745</v>
      </c>
      <c r="L13" s="20">
        <v>277</v>
      </c>
      <c r="M13" s="20">
        <v>24.631873593365466</v>
      </c>
      <c r="N13" s="20">
        <v>8.8923731383990845E-2</v>
      </c>
      <c r="O13" s="20"/>
      <c r="P13" s="20"/>
    </row>
    <row r="14" spans="1:19" x14ac:dyDescent="0.3">
      <c r="A14" s="96"/>
      <c r="B14" s="96" t="s">
        <v>747</v>
      </c>
      <c r="C14" s="96" t="s">
        <v>735</v>
      </c>
      <c r="D14" s="96" t="s">
        <v>748</v>
      </c>
      <c r="E14" s="96" t="s">
        <v>749</v>
      </c>
      <c r="F14" s="96" t="s">
        <v>750</v>
      </c>
      <c r="G14" s="96" t="s">
        <v>751</v>
      </c>
      <c r="H14" s="24" t="s">
        <v>752</v>
      </c>
      <c r="I14" s="24" t="s">
        <v>753</v>
      </c>
      <c r="K14" s="20" t="s">
        <v>746</v>
      </c>
      <c r="L14" s="20">
        <v>279</v>
      </c>
      <c r="M14" s="20">
        <v>1156.625</v>
      </c>
      <c r="N14" s="20"/>
      <c r="O14" s="20"/>
      <c r="P14" s="20"/>
    </row>
    <row r="15" spans="1:19" ht="15" thickBot="1" x14ac:dyDescent="0.35">
      <c r="A15" s="97" t="s">
        <v>754</v>
      </c>
      <c r="B15" s="94">
        <v>-4.2795190455248449</v>
      </c>
      <c r="C15" s="94">
        <v>0.93288725142828965</v>
      </c>
      <c r="D15" s="94">
        <v>-4.5873914977107049</v>
      </c>
      <c r="E15" s="94">
        <v>6.8266253287673131E-6</v>
      </c>
      <c r="F15" s="94">
        <v>-6.1160268890449005</v>
      </c>
      <c r="G15" s="94">
        <v>-2.4430112020047892</v>
      </c>
      <c r="H15">
        <v>-6.1160268890449005</v>
      </c>
      <c r="I15">
        <v>-2.4430112020047892</v>
      </c>
    </row>
    <row r="16" spans="1:19" x14ac:dyDescent="0.3">
      <c r="A16" s="98" t="s">
        <v>6</v>
      </c>
      <c r="B16" s="94">
        <v>-4.0108810027687195E-4</v>
      </c>
      <c r="C16" s="94">
        <v>8.0851376557440657E-4</v>
      </c>
      <c r="D16" s="94">
        <v>-0.4960807315283246</v>
      </c>
      <c r="E16" s="94">
        <v>0.62023370199320094</v>
      </c>
      <c r="F16" s="94">
        <v>-1.9927508331505153E-3</v>
      </c>
      <c r="G16" s="94">
        <v>1.1905746325967716E-3</v>
      </c>
      <c r="H16">
        <v>-1.9927508331505153E-3</v>
      </c>
      <c r="I16">
        <v>1.1905746325967716E-3</v>
      </c>
      <c r="K16" s="96"/>
      <c r="L16" s="96" t="s">
        <v>747</v>
      </c>
      <c r="M16" s="96" t="s">
        <v>735</v>
      </c>
      <c r="N16" s="96" t="s">
        <v>748</v>
      </c>
      <c r="O16" s="96" t="s">
        <v>749</v>
      </c>
      <c r="P16" s="96" t="s">
        <v>750</v>
      </c>
      <c r="Q16" s="96" t="s">
        <v>751</v>
      </c>
      <c r="R16" s="24" t="s">
        <v>752</v>
      </c>
      <c r="S16" s="24" t="s">
        <v>753</v>
      </c>
    </row>
    <row r="17" spans="1:19" x14ac:dyDescent="0.3">
      <c r="A17" s="99" t="s">
        <v>9</v>
      </c>
      <c r="B17" s="94">
        <v>5.1563072192822003E-2</v>
      </c>
      <c r="C17" s="94">
        <v>2.66763393837866E-2</v>
      </c>
      <c r="D17" s="94">
        <v>1.9329140873114365</v>
      </c>
      <c r="E17" s="95">
        <v>5.4273371260321633E-2</v>
      </c>
      <c r="F17" s="94">
        <v>-9.5271301028727884E-4</v>
      </c>
      <c r="G17" s="94">
        <v>0.10407885739593128</v>
      </c>
      <c r="H17">
        <v>-9.5271301028727884E-4</v>
      </c>
      <c r="I17">
        <v>0.10407885739593128</v>
      </c>
      <c r="K17" s="101" t="s">
        <v>754</v>
      </c>
      <c r="L17" s="20">
        <v>-4.3065994440705122</v>
      </c>
      <c r="M17" s="20">
        <v>0.92864594922403498</v>
      </c>
      <c r="N17" s="20">
        <v>-4.6375041507143315</v>
      </c>
      <c r="O17" s="20">
        <v>5.4413911886803292E-6</v>
      </c>
      <c r="P17" s="20">
        <v>-6.1346994002132771</v>
      </c>
      <c r="Q17" s="20">
        <v>-2.4784994879277473</v>
      </c>
      <c r="R17">
        <v>-6.1346994002132771</v>
      </c>
      <c r="S17">
        <v>-2.4784994879277473</v>
      </c>
    </row>
    <row r="18" spans="1:19" x14ac:dyDescent="0.3">
      <c r="A18" s="100" t="s">
        <v>19</v>
      </c>
      <c r="B18" s="94">
        <v>-6.4202291926273279E-4</v>
      </c>
      <c r="C18" s="94">
        <v>2.7543288854297099E-3</v>
      </c>
      <c r="D18" s="94">
        <v>-0.23309595403040226</v>
      </c>
      <c r="E18" s="94">
        <v>0.81586029913151781</v>
      </c>
      <c r="F18" s="94">
        <v>-6.0642715286000062E-3</v>
      </c>
      <c r="G18" s="94">
        <v>4.7802256900745408E-3</v>
      </c>
      <c r="H18">
        <v>-6.0642715286000062E-3</v>
      </c>
      <c r="I18">
        <v>4.7802256900745408E-3</v>
      </c>
      <c r="K18" s="102" t="s">
        <v>9</v>
      </c>
      <c r="L18" s="20">
        <v>5.1114101059227743E-2</v>
      </c>
      <c r="M18" s="20">
        <v>2.6563876927751987E-2</v>
      </c>
      <c r="N18" s="20">
        <v>1.9241958242107156</v>
      </c>
      <c r="O18" s="103">
        <v>5.5354425994923892E-2</v>
      </c>
      <c r="P18" s="20">
        <v>-1.1786185581706132E-3</v>
      </c>
      <c r="Q18" s="20">
        <v>0.1034068206766261</v>
      </c>
      <c r="R18">
        <v>-1.1786185581706132E-3</v>
      </c>
      <c r="S18">
        <v>0.1034068206766261</v>
      </c>
    </row>
    <row r="19" spans="1:19" ht="15" thickBot="1" x14ac:dyDescent="0.35">
      <c r="A19" s="95" t="s">
        <v>773</v>
      </c>
      <c r="B19" s="94">
        <v>0.28889034024416033</v>
      </c>
      <c r="C19" s="94">
        <v>7.8932576485724298E-2</v>
      </c>
      <c r="D19" s="94">
        <v>3.6599633903551707</v>
      </c>
      <c r="E19" s="95">
        <v>3.0237187348770671E-4</v>
      </c>
      <c r="F19" s="94">
        <v>0.13350147025656101</v>
      </c>
      <c r="G19" s="94">
        <v>0.44427921023175965</v>
      </c>
      <c r="H19" s="23">
        <v>0.13350147025656101</v>
      </c>
      <c r="I19" s="23">
        <v>0.44427921023175965</v>
      </c>
      <c r="K19" s="103" t="s">
        <v>773</v>
      </c>
      <c r="L19" s="20">
        <v>0.29039511060850448</v>
      </c>
      <c r="M19" s="20">
        <v>7.8583827956882069E-2</v>
      </c>
      <c r="N19" s="20">
        <v>3.6953546061390714</v>
      </c>
      <c r="O19" s="103">
        <v>2.6459038048279001E-4</v>
      </c>
      <c r="P19" s="20">
        <v>0.1356977336786353</v>
      </c>
      <c r="Q19" s="20">
        <v>0.44509248753837366</v>
      </c>
      <c r="R19" s="23">
        <v>0.1356977336786353</v>
      </c>
      <c r="S19" s="23">
        <v>0.44509248753837366</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2651C-413F-4430-8392-6958B08CC7EF}">
  <dimension ref="A1:Q281"/>
  <sheetViews>
    <sheetView workbookViewId="0"/>
  </sheetViews>
  <sheetFormatPr defaultRowHeight="14.4" x14ac:dyDescent="0.3"/>
  <cols>
    <col min="1" max="1" width="8.44140625" bestFit="1" customWidth="1"/>
    <col min="2" max="2" width="8.6640625" bestFit="1" customWidth="1"/>
    <col min="3" max="3" width="4.44140625" bestFit="1" customWidth="1"/>
    <col min="4" max="4" width="8.109375" bestFit="1" customWidth="1"/>
    <col min="5" max="5" width="7" bestFit="1" customWidth="1"/>
    <col min="7" max="7" width="18.5546875" bestFit="1" customWidth="1"/>
    <col min="8" max="8" width="4.44140625" bestFit="1" customWidth="1"/>
    <col min="9" max="9" width="7" bestFit="1" customWidth="1"/>
    <col min="10" max="10" width="23.33203125" bestFit="1" customWidth="1"/>
    <col min="11" max="13" width="24.88671875" bestFit="1" customWidth="1"/>
    <col min="14" max="14" width="17.5546875" bestFit="1" customWidth="1"/>
    <col min="15" max="15" width="13.44140625" bestFit="1" customWidth="1"/>
    <col min="16" max="16" width="23.33203125" bestFit="1" customWidth="1"/>
    <col min="17" max="17" width="7.44140625" bestFit="1" customWidth="1"/>
    <col min="18" max="18" width="13.44140625" bestFit="1" customWidth="1"/>
    <col min="20" max="20" width="7.44140625" bestFit="1" customWidth="1"/>
  </cols>
  <sheetData>
    <row r="1" spans="1:17" ht="57.6" x14ac:dyDescent="0.3">
      <c r="A1" s="91" t="s">
        <v>6</v>
      </c>
      <c r="B1" s="90" t="s">
        <v>9</v>
      </c>
      <c r="C1" s="89" t="s">
        <v>19</v>
      </c>
      <c r="D1" s="88" t="s">
        <v>10</v>
      </c>
      <c r="E1" s="87" t="s">
        <v>8</v>
      </c>
      <c r="G1" s="91" t="s">
        <v>6</v>
      </c>
      <c r="H1" s="89" t="s">
        <v>19</v>
      </c>
      <c r="I1" s="87" t="s">
        <v>8</v>
      </c>
      <c r="J1" s="88" t="s">
        <v>10</v>
      </c>
      <c r="L1" s="96"/>
      <c r="M1" s="96" t="s">
        <v>6</v>
      </c>
      <c r="N1" s="96" t="s">
        <v>9</v>
      </c>
      <c r="O1" s="96" t="s">
        <v>19</v>
      </c>
      <c r="P1" s="96" t="s">
        <v>10</v>
      </c>
      <c r="Q1" s="96" t="s">
        <v>8</v>
      </c>
    </row>
    <row r="2" spans="1:17" x14ac:dyDescent="0.3">
      <c r="A2" s="20">
        <v>71</v>
      </c>
      <c r="B2" s="20">
        <v>69.209999999999994</v>
      </c>
      <c r="C2" s="20">
        <v>29</v>
      </c>
      <c r="D2" s="20">
        <v>11.7</v>
      </c>
      <c r="E2" s="20">
        <v>2</v>
      </c>
      <c r="G2" s="20">
        <v>71</v>
      </c>
      <c r="H2" s="20">
        <v>29</v>
      </c>
      <c r="I2" s="20">
        <v>2</v>
      </c>
      <c r="J2" s="20">
        <v>11.7</v>
      </c>
      <c r="L2" s="96" t="s">
        <v>6</v>
      </c>
      <c r="M2" s="96">
        <v>1</v>
      </c>
      <c r="N2" s="96"/>
      <c r="O2" s="96"/>
      <c r="P2" s="96"/>
      <c r="Q2" s="96"/>
    </row>
    <row r="3" spans="1:17" x14ac:dyDescent="0.3">
      <c r="A3" s="20">
        <v>34</v>
      </c>
      <c r="B3" s="20">
        <v>94.97</v>
      </c>
      <c r="C3" s="20">
        <v>27</v>
      </c>
      <c r="D3" s="20">
        <v>19.899999999999999</v>
      </c>
      <c r="E3" s="20">
        <v>6</v>
      </c>
      <c r="G3" s="20">
        <v>34</v>
      </c>
      <c r="H3" s="20">
        <v>27</v>
      </c>
      <c r="I3" s="20">
        <v>6</v>
      </c>
      <c r="J3" s="20">
        <v>19.899999999999999</v>
      </c>
      <c r="L3" s="96" t="s">
        <v>9</v>
      </c>
      <c r="M3" s="96">
        <v>-5.6547743778494468E-2</v>
      </c>
      <c r="N3" s="96">
        <v>1</v>
      </c>
      <c r="O3" s="96"/>
      <c r="P3" s="96"/>
      <c r="Q3" s="96"/>
    </row>
    <row r="4" spans="1:17" x14ac:dyDescent="0.3">
      <c r="A4" s="20">
        <v>91</v>
      </c>
      <c r="B4" s="20">
        <v>68.989999999999995</v>
      </c>
      <c r="C4" s="20">
        <v>24</v>
      </c>
      <c r="D4" s="20">
        <v>11.6</v>
      </c>
      <c r="E4" s="20">
        <v>2</v>
      </c>
      <c r="G4" s="20">
        <v>91</v>
      </c>
      <c r="H4" s="20">
        <v>24</v>
      </c>
      <c r="I4" s="20">
        <v>2</v>
      </c>
      <c r="J4" s="20">
        <v>11.6</v>
      </c>
      <c r="L4" s="96" t="s">
        <v>19</v>
      </c>
      <c r="M4" s="96">
        <v>5.1817283367191047E-2</v>
      </c>
      <c r="N4" s="96">
        <v>-6.9940868037024442E-2</v>
      </c>
      <c r="O4" s="96">
        <v>1</v>
      </c>
      <c r="P4" s="96"/>
      <c r="Q4" s="96"/>
    </row>
    <row r="5" spans="1:17" x14ac:dyDescent="0.3">
      <c r="A5" s="20">
        <v>80</v>
      </c>
      <c r="B5" s="20">
        <v>87.71</v>
      </c>
      <c r="C5" s="20">
        <v>30</v>
      </c>
      <c r="D5" s="20">
        <v>17.899999999999999</v>
      </c>
      <c r="E5" s="20">
        <v>5</v>
      </c>
      <c r="G5" s="20">
        <v>80</v>
      </c>
      <c r="H5" s="20">
        <v>30</v>
      </c>
      <c r="I5" s="20">
        <v>5</v>
      </c>
      <c r="J5" s="20">
        <v>17.899999999999999</v>
      </c>
      <c r="L5" s="96" t="s">
        <v>10</v>
      </c>
      <c r="M5" s="96">
        <v>-5.7196855178720939E-2</v>
      </c>
      <c r="N5" s="104">
        <v>0.99875956557183743</v>
      </c>
      <c r="O5" s="96">
        <v>-7.2384622011951533E-2</v>
      </c>
      <c r="P5" s="96">
        <v>1</v>
      </c>
      <c r="Q5" s="96"/>
    </row>
    <row r="6" spans="1:17" x14ac:dyDescent="0.3">
      <c r="A6" s="20">
        <v>40</v>
      </c>
      <c r="B6" s="20">
        <v>87.7</v>
      </c>
      <c r="C6" s="20">
        <v>24</v>
      </c>
      <c r="D6" s="20">
        <v>17.8</v>
      </c>
      <c r="E6" s="20">
        <v>5</v>
      </c>
      <c r="G6" s="20">
        <v>40</v>
      </c>
      <c r="H6" s="20">
        <v>24</v>
      </c>
      <c r="I6" s="20">
        <v>5</v>
      </c>
      <c r="J6" s="20">
        <v>17.8</v>
      </c>
      <c r="L6" s="96" t="s">
        <v>8</v>
      </c>
      <c r="M6" s="96">
        <v>-6.0838022262323745E-2</v>
      </c>
      <c r="N6" s="104">
        <v>0.98876376880538164</v>
      </c>
      <c r="O6" s="96">
        <v>-7.3052602942826603E-2</v>
      </c>
      <c r="P6" s="104">
        <v>0.98915064915930517</v>
      </c>
      <c r="Q6" s="96">
        <v>1</v>
      </c>
    </row>
    <row r="7" spans="1:17" x14ac:dyDescent="0.3">
      <c r="A7" s="20">
        <v>94</v>
      </c>
      <c r="B7" s="20">
        <v>68.98</v>
      </c>
      <c r="C7" s="20">
        <v>34</v>
      </c>
      <c r="D7" s="20">
        <v>11.6</v>
      </c>
      <c r="E7" s="20">
        <v>2</v>
      </c>
      <c r="G7" s="20">
        <v>94</v>
      </c>
      <c r="H7" s="20">
        <v>34</v>
      </c>
      <c r="I7" s="20">
        <v>2</v>
      </c>
      <c r="J7" s="20">
        <v>11.6</v>
      </c>
    </row>
    <row r="8" spans="1:17" x14ac:dyDescent="0.3">
      <c r="A8" s="20">
        <v>94</v>
      </c>
      <c r="B8" s="20">
        <v>94.84</v>
      </c>
      <c r="C8" s="20">
        <v>27</v>
      </c>
      <c r="D8" s="20">
        <v>19.899999999999999</v>
      </c>
      <c r="E8" s="20">
        <v>6</v>
      </c>
      <c r="G8" s="20">
        <v>94</v>
      </c>
      <c r="H8" s="20">
        <v>27</v>
      </c>
      <c r="I8" s="20">
        <v>6</v>
      </c>
      <c r="J8" s="20">
        <v>19.899999999999999</v>
      </c>
      <c r="L8" s="96"/>
      <c r="M8" s="96" t="s">
        <v>6</v>
      </c>
      <c r="N8" s="96" t="s">
        <v>19</v>
      </c>
      <c r="O8" s="105" t="s">
        <v>8</v>
      </c>
      <c r="P8" s="96" t="s">
        <v>10</v>
      </c>
    </row>
    <row r="9" spans="1:17" x14ac:dyDescent="0.3">
      <c r="A9" s="20">
        <v>43</v>
      </c>
      <c r="B9" s="20">
        <v>68.98</v>
      </c>
      <c r="C9" s="20">
        <v>27</v>
      </c>
      <c r="D9" s="20">
        <v>11.5</v>
      </c>
      <c r="E9" s="20">
        <v>2</v>
      </c>
      <c r="G9" s="20">
        <v>43</v>
      </c>
      <c r="H9" s="20">
        <v>27</v>
      </c>
      <c r="I9" s="20">
        <v>2</v>
      </c>
      <c r="J9" s="20">
        <v>11.5</v>
      </c>
      <c r="L9" s="20" t="s">
        <v>6</v>
      </c>
      <c r="M9" s="20">
        <v>1</v>
      </c>
      <c r="N9" s="20"/>
      <c r="O9" s="20"/>
      <c r="P9" s="20"/>
    </row>
    <row r="10" spans="1:17" x14ac:dyDescent="0.3">
      <c r="A10" s="20">
        <v>22</v>
      </c>
      <c r="B10" s="20">
        <v>61.65</v>
      </c>
      <c r="C10" s="20">
        <v>21</v>
      </c>
      <c r="D10" s="20">
        <v>9.3000000000000007</v>
      </c>
      <c r="E10" s="20">
        <v>1</v>
      </c>
      <c r="G10" s="20">
        <v>22</v>
      </c>
      <c r="H10" s="20">
        <v>21</v>
      </c>
      <c r="I10" s="20">
        <v>1</v>
      </c>
      <c r="J10" s="20">
        <v>9.3000000000000007</v>
      </c>
      <c r="L10" s="20" t="s">
        <v>19</v>
      </c>
      <c r="M10" s="20">
        <v>5.1817283367191047E-2</v>
      </c>
      <c r="N10" s="20">
        <v>1</v>
      </c>
      <c r="O10" s="20"/>
      <c r="P10" s="20"/>
    </row>
    <row r="11" spans="1:17" x14ac:dyDescent="0.3">
      <c r="A11" s="20">
        <v>41</v>
      </c>
      <c r="B11" s="20">
        <v>74.290000000000006</v>
      </c>
      <c r="C11" s="20">
        <v>37</v>
      </c>
      <c r="D11" s="20">
        <v>13.8</v>
      </c>
      <c r="E11" s="20">
        <v>3</v>
      </c>
      <c r="G11" s="20">
        <v>41</v>
      </c>
      <c r="H11" s="20">
        <v>37</v>
      </c>
      <c r="I11" s="20">
        <v>3</v>
      </c>
      <c r="J11" s="20">
        <v>13.8</v>
      </c>
      <c r="L11" s="20" t="s">
        <v>8</v>
      </c>
      <c r="M11" s="20">
        <v>-6.0838022262323745E-2</v>
      </c>
      <c r="N11" s="20">
        <v>-7.3052602942826603E-2</v>
      </c>
      <c r="O11" s="20">
        <v>1</v>
      </c>
      <c r="P11" s="20"/>
    </row>
    <row r="12" spans="1:17" x14ac:dyDescent="0.3">
      <c r="A12" s="20">
        <v>72</v>
      </c>
      <c r="B12" s="20">
        <v>94.62</v>
      </c>
      <c r="C12" s="20">
        <v>21</v>
      </c>
      <c r="D12" s="20">
        <v>19.899999999999999</v>
      </c>
      <c r="E12" s="20">
        <v>6</v>
      </c>
      <c r="G12" s="20">
        <v>72</v>
      </c>
      <c r="H12" s="20">
        <v>21</v>
      </c>
      <c r="I12" s="20">
        <v>6</v>
      </c>
      <c r="J12" s="20">
        <v>19.899999999999999</v>
      </c>
      <c r="L12" s="106" t="s">
        <v>10</v>
      </c>
      <c r="M12" s="20">
        <v>-5.7196855178720939E-2</v>
      </c>
      <c r="N12" s="20">
        <v>-7.2384622011951533E-2</v>
      </c>
      <c r="O12" s="106">
        <v>0.98915064915930517</v>
      </c>
      <c r="P12" s="20">
        <v>1</v>
      </c>
    </row>
    <row r="13" spans="1:17" x14ac:dyDescent="0.3">
      <c r="A13" s="20">
        <v>21</v>
      </c>
      <c r="B13" s="20">
        <v>94.57</v>
      </c>
      <c r="C13" s="20">
        <v>39</v>
      </c>
      <c r="D13" s="20">
        <v>19.8</v>
      </c>
      <c r="E13" s="20">
        <v>6</v>
      </c>
      <c r="G13" s="20">
        <v>21</v>
      </c>
      <c r="H13" s="20">
        <v>39</v>
      </c>
      <c r="I13" s="20">
        <v>6</v>
      </c>
      <c r="J13" s="20">
        <v>19.8</v>
      </c>
    </row>
    <row r="14" spans="1:17" x14ac:dyDescent="0.3">
      <c r="A14" s="20">
        <v>49</v>
      </c>
      <c r="B14" s="20">
        <v>82.2</v>
      </c>
      <c r="C14" s="20">
        <v>24</v>
      </c>
      <c r="D14" s="20">
        <v>15.7</v>
      </c>
      <c r="E14" s="20">
        <v>4</v>
      </c>
      <c r="G14" s="20">
        <v>49</v>
      </c>
      <c r="H14" s="20">
        <v>24</v>
      </c>
      <c r="I14" s="20">
        <v>4</v>
      </c>
      <c r="J14" s="20">
        <v>15.7</v>
      </c>
    </row>
    <row r="15" spans="1:17" x14ac:dyDescent="0.3">
      <c r="A15" s="20">
        <v>57</v>
      </c>
      <c r="B15" s="20">
        <v>54.93</v>
      </c>
      <c r="C15" s="20">
        <v>39</v>
      </c>
      <c r="D15" s="20">
        <v>6.5</v>
      </c>
      <c r="E15" s="20">
        <v>0</v>
      </c>
      <c r="G15" s="20">
        <v>57</v>
      </c>
      <c r="H15" s="20">
        <v>39</v>
      </c>
      <c r="I15" s="20">
        <v>0</v>
      </c>
      <c r="J15" s="20">
        <v>6.5</v>
      </c>
    </row>
    <row r="16" spans="1:17" x14ac:dyDescent="0.3">
      <c r="A16" s="20">
        <v>21</v>
      </c>
      <c r="B16" s="20">
        <v>74.23</v>
      </c>
      <c r="C16" s="20">
        <v>18</v>
      </c>
      <c r="D16" s="20">
        <v>13.8</v>
      </c>
      <c r="E16" s="20">
        <v>3</v>
      </c>
      <c r="G16" s="20">
        <v>21</v>
      </c>
      <c r="H16" s="20">
        <v>18</v>
      </c>
      <c r="I16" s="20">
        <v>3</v>
      </c>
      <c r="J16" s="20">
        <v>13.8</v>
      </c>
    </row>
    <row r="17" spans="1:10" x14ac:dyDescent="0.3">
      <c r="A17" s="20">
        <v>83</v>
      </c>
      <c r="B17" s="20">
        <v>87.67</v>
      </c>
      <c r="C17" s="20">
        <v>29</v>
      </c>
      <c r="D17" s="20">
        <v>17.8</v>
      </c>
      <c r="E17" s="20">
        <v>5</v>
      </c>
      <c r="G17" s="20">
        <v>83</v>
      </c>
      <c r="H17" s="20">
        <v>29</v>
      </c>
      <c r="I17" s="20">
        <v>5</v>
      </c>
      <c r="J17" s="20">
        <v>17.8</v>
      </c>
    </row>
    <row r="18" spans="1:10" x14ac:dyDescent="0.3">
      <c r="A18" s="20">
        <v>79</v>
      </c>
      <c r="B18" s="20">
        <v>94.51</v>
      </c>
      <c r="C18" s="20">
        <v>30</v>
      </c>
      <c r="D18" s="20">
        <v>19.8</v>
      </c>
      <c r="E18" s="20">
        <v>6</v>
      </c>
      <c r="G18" s="20">
        <v>79</v>
      </c>
      <c r="H18" s="20">
        <v>30</v>
      </c>
      <c r="I18" s="20">
        <v>6</v>
      </c>
      <c r="J18" s="20">
        <v>19.8</v>
      </c>
    </row>
    <row r="19" spans="1:10" x14ac:dyDescent="0.3">
      <c r="A19" s="20">
        <v>40</v>
      </c>
      <c r="B19" s="20">
        <v>68.790000000000006</v>
      </c>
      <c r="C19" s="20">
        <v>27</v>
      </c>
      <c r="D19" s="20">
        <v>11.4</v>
      </c>
      <c r="E19" s="20">
        <v>2</v>
      </c>
      <c r="G19" s="20">
        <v>40</v>
      </c>
      <c r="H19" s="20">
        <v>27</v>
      </c>
      <c r="I19" s="20">
        <v>2</v>
      </c>
      <c r="J19" s="20">
        <v>11.4</v>
      </c>
    </row>
    <row r="20" spans="1:10" x14ac:dyDescent="0.3">
      <c r="A20" s="20">
        <v>52</v>
      </c>
      <c r="B20" s="20">
        <v>73.97</v>
      </c>
      <c r="C20" s="20">
        <v>32</v>
      </c>
      <c r="D20" s="20">
        <v>13.7</v>
      </c>
      <c r="E20" s="20">
        <v>3</v>
      </c>
      <c r="G20" s="20">
        <v>52</v>
      </c>
      <c r="H20" s="20">
        <v>32</v>
      </c>
      <c r="I20" s="20">
        <v>3</v>
      </c>
      <c r="J20" s="20">
        <v>13.7</v>
      </c>
    </row>
    <row r="21" spans="1:10" x14ac:dyDescent="0.3">
      <c r="A21" s="20">
        <v>77</v>
      </c>
      <c r="B21" s="20">
        <v>81.72</v>
      </c>
      <c r="C21" s="20">
        <v>30</v>
      </c>
      <c r="D21" s="20">
        <v>15.6</v>
      </c>
      <c r="E21" s="20">
        <v>4</v>
      </c>
      <c r="G21" s="20">
        <v>77</v>
      </c>
      <c r="H21" s="20">
        <v>30</v>
      </c>
      <c r="I21" s="20">
        <v>4</v>
      </c>
      <c r="J21" s="20">
        <v>15.6</v>
      </c>
    </row>
    <row r="22" spans="1:10" x14ac:dyDescent="0.3">
      <c r="A22" s="20">
        <v>41</v>
      </c>
      <c r="B22" s="20">
        <v>87.38</v>
      </c>
      <c r="C22" s="20">
        <v>39</v>
      </c>
      <c r="D22" s="20">
        <v>17.8</v>
      </c>
      <c r="E22" s="20">
        <v>5</v>
      </c>
      <c r="G22" s="20">
        <v>41</v>
      </c>
      <c r="H22" s="20">
        <v>39</v>
      </c>
      <c r="I22" s="20">
        <v>5</v>
      </c>
      <c r="J22" s="20">
        <v>17.8</v>
      </c>
    </row>
    <row r="23" spans="1:10" x14ac:dyDescent="0.3">
      <c r="A23" s="20">
        <v>68</v>
      </c>
      <c r="B23" s="20">
        <v>54.8</v>
      </c>
      <c r="C23" s="20">
        <v>39</v>
      </c>
      <c r="D23" s="20">
        <v>6.4</v>
      </c>
      <c r="E23" s="20">
        <v>0</v>
      </c>
      <c r="G23" s="20">
        <v>68</v>
      </c>
      <c r="H23" s="20">
        <v>39</v>
      </c>
      <c r="I23" s="20">
        <v>0</v>
      </c>
      <c r="J23" s="20">
        <v>6.4</v>
      </c>
    </row>
    <row r="24" spans="1:10" x14ac:dyDescent="0.3">
      <c r="A24" s="20">
        <v>78</v>
      </c>
      <c r="B24" s="20">
        <v>54.76</v>
      </c>
      <c r="C24" s="20">
        <v>38</v>
      </c>
      <c r="D24" s="20">
        <v>6.4</v>
      </c>
      <c r="E24" s="20">
        <v>0</v>
      </c>
      <c r="G24" s="20">
        <v>78</v>
      </c>
      <c r="H24" s="20">
        <v>38</v>
      </c>
      <c r="I24" s="20">
        <v>0</v>
      </c>
      <c r="J24" s="20">
        <v>6.4</v>
      </c>
    </row>
    <row r="25" spans="1:10" x14ac:dyDescent="0.3">
      <c r="A25" s="20">
        <v>61</v>
      </c>
      <c r="B25" s="20">
        <v>81.45</v>
      </c>
      <c r="C25" s="20">
        <v>39</v>
      </c>
      <c r="D25" s="20">
        <v>15.6</v>
      </c>
      <c r="E25" s="20">
        <v>4</v>
      </c>
      <c r="G25" s="20">
        <v>61</v>
      </c>
      <c r="H25" s="20">
        <v>39</v>
      </c>
      <c r="I25" s="20">
        <v>4</v>
      </c>
      <c r="J25" s="20">
        <v>15.6</v>
      </c>
    </row>
    <row r="26" spans="1:10" x14ac:dyDescent="0.3">
      <c r="A26" s="20">
        <v>79</v>
      </c>
      <c r="B26" s="20">
        <v>81.45</v>
      </c>
      <c r="C26" s="20">
        <v>26</v>
      </c>
      <c r="D26" s="20">
        <v>15.5</v>
      </c>
      <c r="E26" s="20">
        <v>4</v>
      </c>
      <c r="G26" s="20">
        <v>79</v>
      </c>
      <c r="H26" s="20">
        <v>26</v>
      </c>
      <c r="I26" s="20">
        <v>4</v>
      </c>
      <c r="J26" s="20">
        <v>15.5</v>
      </c>
    </row>
    <row r="27" spans="1:10" x14ac:dyDescent="0.3">
      <c r="A27" s="20">
        <v>34</v>
      </c>
      <c r="B27" s="20">
        <v>68.58</v>
      </c>
      <c r="C27" s="20">
        <v>26</v>
      </c>
      <c r="D27" s="20">
        <v>11.4</v>
      </c>
      <c r="E27" s="20">
        <v>2</v>
      </c>
      <c r="G27" s="20">
        <v>34</v>
      </c>
      <c r="H27" s="20">
        <v>26</v>
      </c>
      <c r="I27" s="20">
        <v>2</v>
      </c>
      <c r="J27" s="20">
        <v>11.4</v>
      </c>
    </row>
    <row r="28" spans="1:10" x14ac:dyDescent="0.3">
      <c r="A28" s="20">
        <v>81</v>
      </c>
      <c r="B28" s="20">
        <v>94.34</v>
      </c>
      <c r="C28" s="20">
        <v>32</v>
      </c>
      <c r="D28" s="20">
        <v>19.8</v>
      </c>
      <c r="E28" s="20">
        <v>6</v>
      </c>
      <c r="G28" s="20">
        <v>81</v>
      </c>
      <c r="H28" s="20">
        <v>32</v>
      </c>
      <c r="I28" s="20">
        <v>6</v>
      </c>
      <c r="J28" s="20">
        <v>19.8</v>
      </c>
    </row>
    <row r="29" spans="1:10" x14ac:dyDescent="0.3">
      <c r="A29" s="20">
        <v>81</v>
      </c>
      <c r="B29" s="20">
        <v>54.64</v>
      </c>
      <c r="C29" s="20">
        <v>27</v>
      </c>
      <c r="D29" s="20">
        <v>6.4</v>
      </c>
      <c r="E29" s="20">
        <v>0</v>
      </c>
      <c r="G29" s="20">
        <v>81</v>
      </c>
      <c r="H29" s="20">
        <v>27</v>
      </c>
      <c r="I29" s="20">
        <v>0</v>
      </c>
      <c r="J29" s="20">
        <v>6.4</v>
      </c>
    </row>
    <row r="30" spans="1:10" x14ac:dyDescent="0.3">
      <c r="A30" s="20">
        <v>66</v>
      </c>
      <c r="B30" s="20">
        <v>87.38</v>
      </c>
      <c r="C30" s="20">
        <v>27</v>
      </c>
      <c r="D30" s="20">
        <v>17.8</v>
      </c>
      <c r="E30" s="20">
        <v>5</v>
      </c>
      <c r="G30" s="20">
        <v>66</v>
      </c>
      <c r="H30" s="20">
        <v>27</v>
      </c>
      <c r="I30" s="20">
        <v>5</v>
      </c>
      <c r="J30" s="20">
        <v>17.8</v>
      </c>
    </row>
    <row r="31" spans="1:10" x14ac:dyDescent="0.3">
      <c r="A31" s="20">
        <v>81</v>
      </c>
      <c r="B31" s="20">
        <v>73.86</v>
      </c>
      <c r="C31" s="20">
        <v>25</v>
      </c>
      <c r="D31" s="20">
        <v>13.6</v>
      </c>
      <c r="E31" s="20">
        <v>3</v>
      </c>
      <c r="G31" s="20">
        <v>81</v>
      </c>
      <c r="H31" s="20">
        <v>25</v>
      </c>
      <c r="I31" s="20">
        <v>3</v>
      </c>
      <c r="J31" s="20">
        <v>13.6</v>
      </c>
    </row>
    <row r="32" spans="1:10" x14ac:dyDescent="0.3">
      <c r="A32" s="20">
        <v>70</v>
      </c>
      <c r="B32" s="20">
        <v>87.18</v>
      </c>
      <c r="C32" s="20">
        <v>33</v>
      </c>
      <c r="D32" s="20">
        <v>17.7</v>
      </c>
      <c r="E32" s="20">
        <v>5</v>
      </c>
      <c r="G32" s="20">
        <v>70</v>
      </c>
      <c r="H32" s="20">
        <v>33</v>
      </c>
      <c r="I32" s="20">
        <v>5</v>
      </c>
      <c r="J32" s="20">
        <v>17.7</v>
      </c>
    </row>
    <row r="33" spans="1:10" x14ac:dyDescent="0.3">
      <c r="A33" s="20">
        <v>74</v>
      </c>
      <c r="B33" s="20">
        <v>61.64</v>
      </c>
      <c r="C33" s="20">
        <v>34</v>
      </c>
      <c r="D33" s="20">
        <v>9.1999999999999993</v>
      </c>
      <c r="E33" s="20">
        <v>1</v>
      </c>
      <c r="G33" s="20">
        <v>74</v>
      </c>
      <c r="H33" s="20">
        <v>34</v>
      </c>
      <c r="I33" s="20">
        <v>1</v>
      </c>
      <c r="J33" s="20">
        <v>9.1999999999999993</v>
      </c>
    </row>
    <row r="34" spans="1:10" x14ac:dyDescent="0.3">
      <c r="A34" s="20">
        <v>83</v>
      </c>
      <c r="B34" s="20">
        <v>61.37</v>
      </c>
      <c r="C34" s="20">
        <v>22</v>
      </c>
      <c r="D34" s="20">
        <v>9.1999999999999993</v>
      </c>
      <c r="E34" s="20">
        <v>1</v>
      </c>
      <c r="G34" s="20">
        <v>83</v>
      </c>
      <c r="H34" s="20">
        <v>22</v>
      </c>
      <c r="I34" s="20">
        <v>1</v>
      </c>
      <c r="J34" s="20">
        <v>9.1999999999999993</v>
      </c>
    </row>
    <row r="35" spans="1:10" x14ac:dyDescent="0.3">
      <c r="A35" s="20">
        <v>22</v>
      </c>
      <c r="B35" s="20">
        <v>81.31</v>
      </c>
      <c r="C35" s="20">
        <v>21</v>
      </c>
      <c r="D35" s="20">
        <v>15.5</v>
      </c>
      <c r="E35" s="20">
        <v>4</v>
      </c>
      <c r="G35" s="20">
        <v>22</v>
      </c>
      <c r="H35" s="20">
        <v>21</v>
      </c>
      <c r="I35" s="20">
        <v>4</v>
      </c>
      <c r="J35" s="20">
        <v>15.5</v>
      </c>
    </row>
    <row r="36" spans="1:10" x14ac:dyDescent="0.3">
      <c r="A36" s="20">
        <v>70</v>
      </c>
      <c r="B36" s="20">
        <v>68.239999999999995</v>
      </c>
      <c r="C36" s="20">
        <v>35</v>
      </c>
      <c r="D36" s="20">
        <v>11.4</v>
      </c>
      <c r="E36" s="20">
        <v>2</v>
      </c>
      <c r="G36" s="20">
        <v>70</v>
      </c>
      <c r="H36" s="20">
        <v>35</v>
      </c>
      <c r="I36" s="20">
        <v>2</v>
      </c>
      <c r="J36" s="20">
        <v>11.4</v>
      </c>
    </row>
    <row r="37" spans="1:10" x14ac:dyDescent="0.3">
      <c r="A37" s="20">
        <v>26</v>
      </c>
      <c r="B37" s="20">
        <v>61.28</v>
      </c>
      <c r="C37" s="20">
        <v>36</v>
      </c>
      <c r="D37" s="20">
        <v>9.1999999999999993</v>
      </c>
      <c r="E37" s="20">
        <v>1</v>
      </c>
      <c r="G37" s="20">
        <v>26</v>
      </c>
      <c r="H37" s="20">
        <v>36</v>
      </c>
      <c r="I37" s="20">
        <v>1</v>
      </c>
      <c r="J37" s="20">
        <v>9.1999999999999993</v>
      </c>
    </row>
    <row r="38" spans="1:10" x14ac:dyDescent="0.3">
      <c r="A38" s="20">
        <v>40</v>
      </c>
      <c r="B38" s="20">
        <v>54.13</v>
      </c>
      <c r="C38" s="20">
        <v>21</v>
      </c>
      <c r="D38" s="20">
        <v>6.4</v>
      </c>
      <c r="E38" s="20">
        <v>0</v>
      </c>
      <c r="G38" s="20">
        <v>40</v>
      </c>
      <c r="H38" s="20">
        <v>21</v>
      </c>
      <c r="I38" s="20">
        <v>0</v>
      </c>
      <c r="J38" s="20">
        <v>6.4</v>
      </c>
    </row>
    <row r="39" spans="1:10" x14ac:dyDescent="0.3">
      <c r="A39" s="20">
        <v>92</v>
      </c>
      <c r="B39" s="20">
        <v>87.13</v>
      </c>
      <c r="C39" s="20">
        <v>24</v>
      </c>
      <c r="D39" s="20">
        <v>17.5</v>
      </c>
      <c r="E39" s="20">
        <v>5</v>
      </c>
      <c r="G39" s="20">
        <v>92</v>
      </c>
      <c r="H39" s="20">
        <v>24</v>
      </c>
      <c r="I39" s="20">
        <v>5</v>
      </c>
      <c r="J39" s="20">
        <v>17.5</v>
      </c>
    </row>
    <row r="40" spans="1:10" x14ac:dyDescent="0.3">
      <c r="A40" s="20">
        <v>58</v>
      </c>
      <c r="B40" s="20">
        <v>87.02</v>
      </c>
      <c r="C40" s="20">
        <v>27</v>
      </c>
      <c r="D40" s="20">
        <v>17.399999999999999</v>
      </c>
      <c r="E40" s="20">
        <v>5</v>
      </c>
      <c r="G40" s="20">
        <v>58</v>
      </c>
      <c r="H40" s="20">
        <v>27</v>
      </c>
      <c r="I40" s="20">
        <v>5</v>
      </c>
      <c r="J40" s="20">
        <v>17.399999999999999</v>
      </c>
    </row>
    <row r="41" spans="1:10" x14ac:dyDescent="0.3">
      <c r="A41" s="20">
        <v>37</v>
      </c>
      <c r="B41" s="20">
        <v>81.19</v>
      </c>
      <c r="C41" s="20">
        <v>35</v>
      </c>
      <c r="D41" s="20">
        <v>15.5</v>
      </c>
      <c r="E41" s="20">
        <v>4</v>
      </c>
      <c r="G41" s="20">
        <v>37</v>
      </c>
      <c r="H41" s="20">
        <v>35</v>
      </c>
      <c r="I41" s="20">
        <v>4</v>
      </c>
      <c r="J41" s="20">
        <v>15.5</v>
      </c>
    </row>
    <row r="42" spans="1:10" x14ac:dyDescent="0.3">
      <c r="A42" s="20">
        <v>23</v>
      </c>
      <c r="B42" s="20">
        <v>94.2</v>
      </c>
      <c r="C42" s="20">
        <v>36</v>
      </c>
      <c r="D42" s="20">
        <v>19.8</v>
      </c>
      <c r="E42" s="20">
        <v>6</v>
      </c>
      <c r="G42" s="20">
        <v>23</v>
      </c>
      <c r="H42" s="20">
        <v>36</v>
      </c>
      <c r="I42" s="20">
        <v>6</v>
      </c>
      <c r="J42" s="20">
        <v>19.8</v>
      </c>
    </row>
    <row r="43" spans="1:10" x14ac:dyDescent="0.3">
      <c r="A43" s="20">
        <v>79</v>
      </c>
      <c r="B43" s="20">
        <v>94.13</v>
      </c>
      <c r="C43" s="20">
        <v>21</v>
      </c>
      <c r="D43" s="20">
        <v>19.600000000000001</v>
      </c>
      <c r="E43" s="20">
        <v>6</v>
      </c>
      <c r="G43" s="20">
        <v>79</v>
      </c>
      <c r="H43" s="20">
        <v>21</v>
      </c>
      <c r="I43" s="20">
        <v>6</v>
      </c>
      <c r="J43" s="20">
        <v>19.600000000000001</v>
      </c>
    </row>
    <row r="44" spans="1:10" x14ac:dyDescent="0.3">
      <c r="A44" s="20">
        <v>33</v>
      </c>
      <c r="B44" s="20">
        <v>73.83</v>
      </c>
      <c r="C44" s="20">
        <v>27</v>
      </c>
      <c r="D44" s="20">
        <v>13.6</v>
      </c>
      <c r="E44" s="20">
        <v>3</v>
      </c>
      <c r="G44" s="20">
        <v>33</v>
      </c>
      <c r="H44" s="20">
        <v>27</v>
      </c>
      <c r="I44" s="20">
        <v>3</v>
      </c>
      <c r="J44" s="20">
        <v>13.6</v>
      </c>
    </row>
    <row r="45" spans="1:10" x14ac:dyDescent="0.3">
      <c r="A45" s="20">
        <v>28</v>
      </c>
      <c r="B45" s="20">
        <v>81.099999999999994</v>
      </c>
      <c r="C45" s="20">
        <v>18</v>
      </c>
      <c r="D45" s="20">
        <v>15.5</v>
      </c>
      <c r="E45" s="20">
        <v>4</v>
      </c>
      <c r="G45" s="20">
        <v>28</v>
      </c>
      <c r="H45" s="20">
        <v>18</v>
      </c>
      <c r="I45" s="20">
        <v>4</v>
      </c>
      <c r="J45" s="20">
        <v>15.5</v>
      </c>
    </row>
    <row r="46" spans="1:10" x14ac:dyDescent="0.3">
      <c r="A46" s="20">
        <v>72</v>
      </c>
      <c r="B46" s="20">
        <v>73.63</v>
      </c>
      <c r="C46" s="20">
        <v>35</v>
      </c>
      <c r="D46" s="20">
        <v>13.6</v>
      </c>
      <c r="E46" s="20">
        <v>3</v>
      </c>
      <c r="G46" s="20">
        <v>72</v>
      </c>
      <c r="H46" s="20">
        <v>35</v>
      </c>
      <c r="I46" s="20">
        <v>3</v>
      </c>
      <c r="J46" s="20">
        <v>13.6</v>
      </c>
    </row>
    <row r="47" spans="1:10" x14ac:dyDescent="0.3">
      <c r="A47" s="20">
        <v>21</v>
      </c>
      <c r="B47" s="20">
        <v>93.85</v>
      </c>
      <c r="C47" s="20">
        <v>22</v>
      </c>
      <c r="D47" s="20">
        <v>19.600000000000001</v>
      </c>
      <c r="E47" s="20">
        <v>6</v>
      </c>
      <c r="G47" s="20">
        <v>21</v>
      </c>
      <c r="H47" s="20">
        <v>22</v>
      </c>
      <c r="I47" s="20">
        <v>6</v>
      </c>
      <c r="J47" s="20">
        <v>19.600000000000001</v>
      </c>
    </row>
    <row r="48" spans="1:10" x14ac:dyDescent="0.3">
      <c r="A48" s="20">
        <v>79</v>
      </c>
      <c r="B48" s="20">
        <v>81.08</v>
      </c>
      <c r="C48" s="20">
        <v>32</v>
      </c>
      <c r="D48" s="20">
        <v>15.5</v>
      </c>
      <c r="E48" s="20">
        <v>4</v>
      </c>
      <c r="G48" s="20">
        <v>79</v>
      </c>
      <c r="H48" s="20">
        <v>32</v>
      </c>
      <c r="I48" s="20">
        <v>4</v>
      </c>
      <c r="J48" s="20">
        <v>15.5</v>
      </c>
    </row>
    <row r="49" spans="1:10" x14ac:dyDescent="0.3">
      <c r="A49" s="20">
        <v>90</v>
      </c>
      <c r="B49" s="20">
        <v>80.739999999999995</v>
      </c>
      <c r="C49" s="20">
        <v>34</v>
      </c>
      <c r="D49" s="20">
        <v>15.5</v>
      </c>
      <c r="E49" s="20">
        <v>4</v>
      </c>
      <c r="G49" s="20">
        <v>90</v>
      </c>
      <c r="H49" s="20">
        <v>34</v>
      </c>
      <c r="I49" s="20">
        <v>4</v>
      </c>
      <c r="J49" s="20">
        <v>15.5</v>
      </c>
    </row>
    <row r="50" spans="1:10" x14ac:dyDescent="0.3">
      <c r="A50" s="20">
        <v>63</v>
      </c>
      <c r="B50" s="20">
        <v>80.150000000000006</v>
      </c>
      <c r="C50" s="20">
        <v>20</v>
      </c>
      <c r="D50" s="20">
        <v>15.4</v>
      </c>
      <c r="E50" s="20">
        <v>4</v>
      </c>
      <c r="G50" s="20">
        <v>63</v>
      </c>
      <c r="H50" s="20">
        <v>20</v>
      </c>
      <c r="I50" s="20">
        <v>4</v>
      </c>
      <c r="J50" s="20">
        <v>15.4</v>
      </c>
    </row>
    <row r="51" spans="1:10" x14ac:dyDescent="0.3">
      <c r="A51" s="20">
        <v>27</v>
      </c>
      <c r="B51" s="20">
        <v>93.55</v>
      </c>
      <c r="C51" s="20">
        <v>29</v>
      </c>
      <c r="D51" s="20">
        <v>19.5</v>
      </c>
      <c r="E51" s="20">
        <v>6</v>
      </c>
      <c r="G51" s="20">
        <v>27</v>
      </c>
      <c r="H51" s="20">
        <v>29</v>
      </c>
      <c r="I51" s="20">
        <v>6</v>
      </c>
      <c r="J51" s="20">
        <v>19.5</v>
      </c>
    </row>
    <row r="52" spans="1:10" x14ac:dyDescent="0.3">
      <c r="A52" s="20">
        <v>66</v>
      </c>
      <c r="B52" s="20">
        <v>73.510000000000005</v>
      </c>
      <c r="C52" s="20">
        <v>19</v>
      </c>
      <c r="D52" s="20">
        <v>13.4</v>
      </c>
      <c r="E52" s="20">
        <v>3</v>
      </c>
      <c r="G52" s="20">
        <v>66</v>
      </c>
      <c r="H52" s="20">
        <v>19</v>
      </c>
      <c r="I52" s="20">
        <v>3</v>
      </c>
      <c r="J52" s="20">
        <v>13.4</v>
      </c>
    </row>
    <row r="53" spans="1:10" x14ac:dyDescent="0.3">
      <c r="A53" s="20">
        <v>54</v>
      </c>
      <c r="B53" s="20">
        <v>73.510000000000005</v>
      </c>
      <c r="C53" s="20">
        <v>18</v>
      </c>
      <c r="D53" s="20">
        <v>13.4</v>
      </c>
      <c r="E53" s="20">
        <v>3</v>
      </c>
      <c r="G53" s="20">
        <v>54</v>
      </c>
      <c r="H53" s="20">
        <v>18</v>
      </c>
      <c r="I53" s="20">
        <v>3</v>
      </c>
      <c r="J53" s="20">
        <v>13.4</v>
      </c>
    </row>
    <row r="54" spans="1:10" x14ac:dyDescent="0.3">
      <c r="A54" s="20">
        <v>55</v>
      </c>
      <c r="B54" s="20">
        <v>79.8</v>
      </c>
      <c r="C54" s="20">
        <v>38</v>
      </c>
      <c r="D54" s="20">
        <v>15.4</v>
      </c>
      <c r="E54" s="20">
        <v>4</v>
      </c>
      <c r="G54" s="20">
        <v>55</v>
      </c>
      <c r="H54" s="20">
        <v>38</v>
      </c>
      <c r="I54" s="20">
        <v>4</v>
      </c>
      <c r="J54" s="20">
        <v>15.4</v>
      </c>
    </row>
    <row r="55" spans="1:10" x14ac:dyDescent="0.3">
      <c r="A55" s="20">
        <v>69</v>
      </c>
      <c r="B55" s="20">
        <v>61.04</v>
      </c>
      <c r="C55" s="20">
        <v>34</v>
      </c>
      <c r="D55" s="20">
        <v>9.1999999999999993</v>
      </c>
      <c r="E55" s="20">
        <v>1</v>
      </c>
      <c r="G55" s="20">
        <v>69</v>
      </c>
      <c r="H55" s="20">
        <v>34</v>
      </c>
      <c r="I55" s="20">
        <v>1</v>
      </c>
      <c r="J55" s="20">
        <v>9.1999999999999993</v>
      </c>
    </row>
    <row r="56" spans="1:10" x14ac:dyDescent="0.3">
      <c r="A56" s="20">
        <v>23</v>
      </c>
      <c r="B56" s="20">
        <v>68.2</v>
      </c>
      <c r="C56" s="20">
        <v>39</v>
      </c>
      <c r="D56" s="20">
        <v>11.3</v>
      </c>
      <c r="E56" s="20">
        <v>2</v>
      </c>
      <c r="G56" s="20">
        <v>23</v>
      </c>
      <c r="H56" s="20">
        <v>39</v>
      </c>
      <c r="I56" s="20">
        <v>2</v>
      </c>
      <c r="J56" s="20">
        <v>11.3</v>
      </c>
    </row>
    <row r="57" spans="1:10" x14ac:dyDescent="0.3">
      <c r="A57" s="20">
        <v>21</v>
      </c>
      <c r="B57" s="20">
        <v>93.3</v>
      </c>
      <c r="C57" s="20">
        <v>33</v>
      </c>
      <c r="D57" s="20">
        <v>19.5</v>
      </c>
      <c r="E57" s="20">
        <v>6</v>
      </c>
      <c r="G57" s="20">
        <v>21</v>
      </c>
      <c r="H57" s="20">
        <v>33</v>
      </c>
      <c r="I57" s="20">
        <v>6</v>
      </c>
      <c r="J57" s="20">
        <v>19.5</v>
      </c>
    </row>
    <row r="58" spans="1:10" x14ac:dyDescent="0.3">
      <c r="A58" s="20">
        <v>25</v>
      </c>
      <c r="B58" s="20">
        <v>68.2</v>
      </c>
      <c r="C58" s="20">
        <v>22</v>
      </c>
      <c r="D58" s="20">
        <v>11.3</v>
      </c>
      <c r="E58" s="20">
        <v>2</v>
      </c>
      <c r="G58" s="20">
        <v>25</v>
      </c>
      <c r="H58" s="20">
        <v>22</v>
      </c>
      <c r="I58" s="20">
        <v>2</v>
      </c>
      <c r="J58" s="20">
        <v>11.3</v>
      </c>
    </row>
    <row r="59" spans="1:10" x14ac:dyDescent="0.3">
      <c r="A59" s="20">
        <v>73</v>
      </c>
      <c r="B59" s="20">
        <v>68.11</v>
      </c>
      <c r="C59" s="20">
        <v>32</v>
      </c>
      <c r="D59" s="20">
        <v>11.2</v>
      </c>
      <c r="E59" s="20">
        <v>2</v>
      </c>
      <c r="G59" s="20">
        <v>73</v>
      </c>
      <c r="H59" s="20">
        <v>32</v>
      </c>
      <c r="I59" s="20">
        <v>2</v>
      </c>
      <c r="J59" s="20">
        <v>11.2</v>
      </c>
    </row>
    <row r="60" spans="1:10" x14ac:dyDescent="0.3">
      <c r="A60" s="20">
        <v>23</v>
      </c>
      <c r="B60" s="20">
        <v>73.459999999999994</v>
      </c>
      <c r="C60" s="20">
        <v>20</v>
      </c>
      <c r="D60" s="20">
        <v>13.3</v>
      </c>
      <c r="E60" s="20">
        <v>3</v>
      </c>
      <c r="G60" s="20">
        <v>23</v>
      </c>
      <c r="H60" s="20">
        <v>20</v>
      </c>
      <c r="I60" s="20">
        <v>3</v>
      </c>
      <c r="J60" s="20">
        <v>13.3</v>
      </c>
    </row>
    <row r="61" spans="1:10" x14ac:dyDescent="0.3">
      <c r="A61" s="20">
        <v>73</v>
      </c>
      <c r="B61" s="20">
        <v>73.459999999999994</v>
      </c>
      <c r="C61" s="20">
        <v>24</v>
      </c>
      <c r="D61" s="20">
        <v>13.3</v>
      </c>
      <c r="E61" s="20">
        <v>3</v>
      </c>
      <c r="G61" s="20">
        <v>73</v>
      </c>
      <c r="H61" s="20">
        <v>24</v>
      </c>
      <c r="I61" s="20">
        <v>3</v>
      </c>
      <c r="J61" s="20">
        <v>13.3</v>
      </c>
    </row>
    <row r="62" spans="1:10" x14ac:dyDescent="0.3">
      <c r="A62" s="20">
        <v>82</v>
      </c>
      <c r="B62" s="20">
        <v>60.74</v>
      </c>
      <c r="C62" s="20">
        <v>28</v>
      </c>
      <c r="D62" s="20">
        <v>9.1999999999999993</v>
      </c>
      <c r="E62" s="20">
        <v>1</v>
      </c>
      <c r="G62" s="20">
        <v>82</v>
      </c>
      <c r="H62" s="20">
        <v>28</v>
      </c>
      <c r="I62" s="20">
        <v>1</v>
      </c>
      <c r="J62" s="20">
        <v>9.1999999999999993</v>
      </c>
    </row>
    <row r="63" spans="1:10" x14ac:dyDescent="0.3">
      <c r="A63" s="20">
        <v>37</v>
      </c>
      <c r="B63" s="20">
        <v>68.069999999999993</v>
      </c>
      <c r="C63" s="20">
        <v>27</v>
      </c>
      <c r="D63" s="20">
        <v>11.1</v>
      </c>
      <c r="E63" s="20">
        <v>2</v>
      </c>
      <c r="G63" s="20">
        <v>37</v>
      </c>
      <c r="H63" s="20">
        <v>27</v>
      </c>
      <c r="I63" s="20">
        <v>2</v>
      </c>
      <c r="J63" s="20">
        <v>11.1</v>
      </c>
    </row>
    <row r="64" spans="1:10" x14ac:dyDescent="0.3">
      <c r="A64" s="20">
        <v>63</v>
      </c>
      <c r="B64" s="20">
        <v>67.92</v>
      </c>
      <c r="C64" s="20">
        <v>26</v>
      </c>
      <c r="D64" s="20">
        <v>11</v>
      </c>
      <c r="E64" s="20">
        <v>2</v>
      </c>
      <c r="G64" s="20">
        <v>63</v>
      </c>
      <c r="H64" s="20">
        <v>26</v>
      </c>
      <c r="I64" s="20">
        <v>2</v>
      </c>
      <c r="J64" s="20">
        <v>11</v>
      </c>
    </row>
    <row r="65" spans="1:10" x14ac:dyDescent="0.3">
      <c r="A65" s="20">
        <v>53</v>
      </c>
      <c r="B65" s="20">
        <v>79.77</v>
      </c>
      <c r="C65" s="20">
        <v>31</v>
      </c>
      <c r="D65" s="20">
        <v>15.4</v>
      </c>
      <c r="E65" s="20">
        <v>4</v>
      </c>
      <c r="G65" s="20">
        <v>53</v>
      </c>
      <c r="H65" s="20">
        <v>31</v>
      </c>
      <c r="I65" s="20">
        <v>4</v>
      </c>
      <c r="J65" s="20">
        <v>15.4</v>
      </c>
    </row>
    <row r="66" spans="1:10" x14ac:dyDescent="0.3">
      <c r="A66" s="20">
        <v>93</v>
      </c>
      <c r="B66" s="20">
        <v>73.41</v>
      </c>
      <c r="C66" s="20">
        <v>30</v>
      </c>
      <c r="D66" s="20">
        <v>13.2</v>
      </c>
      <c r="E66" s="20">
        <v>3</v>
      </c>
      <c r="G66" s="20">
        <v>93</v>
      </c>
      <c r="H66" s="20">
        <v>30</v>
      </c>
      <c r="I66" s="20">
        <v>3</v>
      </c>
      <c r="J66" s="20">
        <v>13.2</v>
      </c>
    </row>
    <row r="67" spans="1:10" x14ac:dyDescent="0.3">
      <c r="A67" s="20">
        <v>81</v>
      </c>
      <c r="B67" s="20">
        <v>67.849999999999994</v>
      </c>
      <c r="C67" s="20">
        <v>19</v>
      </c>
      <c r="D67" s="20">
        <v>10.8</v>
      </c>
      <c r="E67" s="20">
        <v>2</v>
      </c>
      <c r="G67" s="20">
        <v>81</v>
      </c>
      <c r="H67" s="20">
        <v>19</v>
      </c>
      <c r="I67" s="20">
        <v>2</v>
      </c>
      <c r="J67" s="20">
        <v>10.8</v>
      </c>
    </row>
    <row r="68" spans="1:10" x14ac:dyDescent="0.3">
      <c r="A68" s="20">
        <v>33</v>
      </c>
      <c r="B68" s="20">
        <v>86.9</v>
      </c>
      <c r="C68" s="20">
        <v>20</v>
      </c>
      <c r="D68" s="20">
        <v>17.3</v>
      </c>
      <c r="E68" s="20">
        <v>5</v>
      </c>
      <c r="G68" s="20">
        <v>33</v>
      </c>
      <c r="H68" s="20">
        <v>20</v>
      </c>
      <c r="I68" s="20">
        <v>5</v>
      </c>
      <c r="J68" s="20">
        <v>17.3</v>
      </c>
    </row>
    <row r="69" spans="1:10" x14ac:dyDescent="0.3">
      <c r="A69" s="20">
        <v>67</v>
      </c>
      <c r="B69" s="20">
        <v>60.38</v>
      </c>
      <c r="C69" s="20">
        <v>24</v>
      </c>
      <c r="D69" s="20">
        <v>9.1</v>
      </c>
      <c r="E69" s="20">
        <v>1</v>
      </c>
      <c r="G69" s="20">
        <v>67</v>
      </c>
      <c r="H69" s="20">
        <v>24</v>
      </c>
      <c r="I69" s="20">
        <v>1</v>
      </c>
      <c r="J69" s="20">
        <v>9.1</v>
      </c>
    </row>
    <row r="70" spans="1:10" x14ac:dyDescent="0.3">
      <c r="A70" s="20">
        <v>34</v>
      </c>
      <c r="B70" s="20">
        <v>86.84</v>
      </c>
      <c r="C70" s="20">
        <v>38</v>
      </c>
      <c r="D70" s="20">
        <v>17.3</v>
      </c>
      <c r="E70" s="20">
        <v>5</v>
      </c>
      <c r="G70" s="20">
        <v>34</v>
      </c>
      <c r="H70" s="20">
        <v>38</v>
      </c>
      <c r="I70" s="20">
        <v>5</v>
      </c>
      <c r="J70" s="20">
        <v>17.3</v>
      </c>
    </row>
    <row r="71" spans="1:10" x14ac:dyDescent="0.3">
      <c r="A71" s="20">
        <v>91</v>
      </c>
      <c r="B71" s="20">
        <v>86.68</v>
      </c>
      <c r="C71" s="20">
        <v>35</v>
      </c>
      <c r="D71" s="20">
        <v>17.3</v>
      </c>
      <c r="E71" s="20">
        <v>5</v>
      </c>
      <c r="G71" s="20">
        <v>91</v>
      </c>
      <c r="H71" s="20">
        <v>35</v>
      </c>
      <c r="I71" s="20">
        <v>5</v>
      </c>
      <c r="J71" s="20">
        <v>17.3</v>
      </c>
    </row>
    <row r="72" spans="1:10" x14ac:dyDescent="0.3">
      <c r="A72" s="20">
        <v>81</v>
      </c>
      <c r="B72" s="20">
        <v>93.29</v>
      </c>
      <c r="C72" s="20">
        <v>20</v>
      </c>
      <c r="D72" s="20">
        <v>19.5</v>
      </c>
      <c r="E72" s="20">
        <v>6</v>
      </c>
      <c r="G72" s="20">
        <v>81</v>
      </c>
      <c r="H72" s="20">
        <v>20</v>
      </c>
      <c r="I72" s="20">
        <v>6</v>
      </c>
      <c r="J72" s="20">
        <v>19.5</v>
      </c>
    </row>
    <row r="73" spans="1:10" x14ac:dyDescent="0.3">
      <c r="A73" s="20">
        <v>59</v>
      </c>
      <c r="B73" s="20">
        <v>93.26</v>
      </c>
      <c r="C73" s="20">
        <v>27</v>
      </c>
      <c r="D73" s="20">
        <v>19.5</v>
      </c>
      <c r="E73" s="20">
        <v>6</v>
      </c>
      <c r="G73" s="20">
        <v>59</v>
      </c>
      <c r="H73" s="20">
        <v>27</v>
      </c>
      <c r="I73" s="20">
        <v>6</v>
      </c>
      <c r="J73" s="20">
        <v>19.5</v>
      </c>
    </row>
    <row r="74" spans="1:10" x14ac:dyDescent="0.3">
      <c r="A74" s="20">
        <v>72</v>
      </c>
      <c r="B74" s="20">
        <v>60.29</v>
      </c>
      <c r="C74" s="20">
        <v>39</v>
      </c>
      <c r="D74" s="20">
        <v>8.8000000000000007</v>
      </c>
      <c r="E74" s="20">
        <v>1</v>
      </c>
      <c r="G74" s="20">
        <v>72</v>
      </c>
      <c r="H74" s="20">
        <v>39</v>
      </c>
      <c r="I74" s="20">
        <v>1</v>
      </c>
      <c r="J74" s="20">
        <v>8.8000000000000007</v>
      </c>
    </row>
    <row r="75" spans="1:10" x14ac:dyDescent="0.3">
      <c r="A75" s="20">
        <v>43</v>
      </c>
      <c r="B75" s="20">
        <v>86.33</v>
      </c>
      <c r="C75" s="20">
        <v>24</v>
      </c>
      <c r="D75" s="20">
        <v>17.2</v>
      </c>
      <c r="E75" s="20">
        <v>5</v>
      </c>
      <c r="G75" s="20">
        <v>43</v>
      </c>
      <c r="H75" s="20">
        <v>24</v>
      </c>
      <c r="I75" s="20">
        <v>5</v>
      </c>
      <c r="J75" s="20">
        <v>17.2</v>
      </c>
    </row>
    <row r="76" spans="1:10" x14ac:dyDescent="0.3">
      <c r="A76" s="20">
        <v>45</v>
      </c>
      <c r="B76" s="20">
        <v>67.650000000000006</v>
      </c>
      <c r="C76" s="20">
        <v>26</v>
      </c>
      <c r="D76" s="20">
        <v>10.8</v>
      </c>
      <c r="E76" s="20">
        <v>2</v>
      </c>
      <c r="G76" s="20">
        <v>45</v>
      </c>
      <c r="H76" s="20">
        <v>26</v>
      </c>
      <c r="I76" s="20">
        <v>2</v>
      </c>
      <c r="J76" s="20">
        <v>10.8</v>
      </c>
    </row>
    <row r="77" spans="1:10" x14ac:dyDescent="0.3">
      <c r="A77" s="20">
        <v>79</v>
      </c>
      <c r="B77" s="20">
        <v>73.319999999999993</v>
      </c>
      <c r="C77" s="20">
        <v>34</v>
      </c>
      <c r="D77" s="20">
        <v>13.2</v>
      </c>
      <c r="E77" s="20">
        <v>3</v>
      </c>
      <c r="G77" s="20">
        <v>79</v>
      </c>
      <c r="H77" s="20">
        <v>34</v>
      </c>
      <c r="I77" s="20">
        <v>3</v>
      </c>
      <c r="J77" s="20">
        <v>13.2</v>
      </c>
    </row>
    <row r="78" spans="1:10" x14ac:dyDescent="0.3">
      <c r="A78" s="20">
        <v>60</v>
      </c>
      <c r="B78" s="20">
        <v>59.88</v>
      </c>
      <c r="C78" s="20">
        <v>28</v>
      </c>
      <c r="D78" s="20">
        <v>8.6999999999999993</v>
      </c>
      <c r="E78" s="20">
        <v>1</v>
      </c>
      <c r="G78" s="20">
        <v>60</v>
      </c>
      <c r="H78" s="20">
        <v>28</v>
      </c>
      <c r="I78" s="20">
        <v>1</v>
      </c>
      <c r="J78" s="20">
        <v>8.6999999999999993</v>
      </c>
    </row>
    <row r="79" spans="1:10" x14ac:dyDescent="0.3">
      <c r="A79" s="20">
        <v>48</v>
      </c>
      <c r="B79" s="20">
        <v>79.260000000000005</v>
      </c>
      <c r="C79" s="20">
        <v>24</v>
      </c>
      <c r="D79" s="20">
        <v>15.3</v>
      </c>
      <c r="E79" s="20">
        <v>4</v>
      </c>
      <c r="G79" s="20">
        <v>48</v>
      </c>
      <c r="H79" s="20">
        <v>24</v>
      </c>
      <c r="I79" s="20">
        <v>4</v>
      </c>
      <c r="J79" s="20">
        <v>15.3</v>
      </c>
    </row>
    <row r="80" spans="1:10" x14ac:dyDescent="0.3">
      <c r="A80" s="20">
        <v>34</v>
      </c>
      <c r="B80" s="20">
        <v>86.18</v>
      </c>
      <c r="C80" s="20">
        <v>31</v>
      </c>
      <c r="D80" s="20">
        <v>17.2</v>
      </c>
      <c r="E80" s="20">
        <v>5</v>
      </c>
      <c r="G80" s="20">
        <v>34</v>
      </c>
      <c r="H80" s="20">
        <v>31</v>
      </c>
      <c r="I80" s="20">
        <v>5</v>
      </c>
      <c r="J80" s="20">
        <v>17.2</v>
      </c>
    </row>
    <row r="81" spans="1:10" x14ac:dyDescent="0.3">
      <c r="A81" s="20">
        <v>64</v>
      </c>
      <c r="B81" s="20">
        <v>59.81</v>
      </c>
      <c r="C81" s="20">
        <v>36</v>
      </c>
      <c r="D81" s="20">
        <v>8.4</v>
      </c>
      <c r="E81" s="20">
        <v>1</v>
      </c>
      <c r="G81" s="20">
        <v>64</v>
      </c>
      <c r="H81" s="20">
        <v>36</v>
      </c>
      <c r="I81" s="20">
        <v>1</v>
      </c>
      <c r="J81" s="20">
        <v>8.4</v>
      </c>
    </row>
    <row r="82" spans="1:10" x14ac:dyDescent="0.3">
      <c r="A82" s="20">
        <v>84</v>
      </c>
      <c r="B82" s="20">
        <v>54.07</v>
      </c>
      <c r="C82" s="20">
        <v>21</v>
      </c>
      <c r="D82" s="20">
        <v>6.3</v>
      </c>
      <c r="E82" s="20">
        <v>0</v>
      </c>
      <c r="G82" s="20">
        <v>84</v>
      </c>
      <c r="H82" s="20">
        <v>21</v>
      </c>
      <c r="I82" s="20">
        <v>0</v>
      </c>
      <c r="J82" s="20">
        <v>6.3</v>
      </c>
    </row>
    <row r="83" spans="1:10" x14ac:dyDescent="0.3">
      <c r="A83" s="20">
        <v>90</v>
      </c>
      <c r="B83" s="20">
        <v>53.98</v>
      </c>
      <c r="C83" s="20">
        <v>23</v>
      </c>
      <c r="D83" s="20">
        <v>6.3</v>
      </c>
      <c r="E83" s="20">
        <v>0</v>
      </c>
      <c r="G83" s="20">
        <v>90</v>
      </c>
      <c r="H83" s="20">
        <v>23</v>
      </c>
      <c r="I83" s="20">
        <v>0</v>
      </c>
      <c r="J83" s="20">
        <v>6.3</v>
      </c>
    </row>
    <row r="84" spans="1:10" x14ac:dyDescent="0.3">
      <c r="A84" s="20">
        <v>28</v>
      </c>
      <c r="B84" s="20">
        <v>93.14</v>
      </c>
      <c r="C84" s="20">
        <v>27</v>
      </c>
      <c r="D84" s="20">
        <v>19.399999999999999</v>
      </c>
      <c r="E84" s="20">
        <v>6</v>
      </c>
      <c r="G84" s="20">
        <v>28</v>
      </c>
      <c r="H84" s="20">
        <v>27</v>
      </c>
      <c r="I84" s="20">
        <v>6</v>
      </c>
      <c r="J84" s="20">
        <v>19.399999999999999</v>
      </c>
    </row>
    <row r="85" spans="1:10" x14ac:dyDescent="0.3">
      <c r="A85" s="20">
        <v>20</v>
      </c>
      <c r="B85" s="20">
        <v>73.22</v>
      </c>
      <c r="C85" s="20">
        <v>24</v>
      </c>
      <c r="D85" s="20">
        <v>13.2</v>
      </c>
      <c r="E85" s="20">
        <v>3</v>
      </c>
      <c r="G85" s="20">
        <v>20</v>
      </c>
      <c r="H85" s="20">
        <v>24</v>
      </c>
      <c r="I85" s="20">
        <v>3</v>
      </c>
      <c r="J85" s="20">
        <v>13.2</v>
      </c>
    </row>
    <row r="86" spans="1:10" x14ac:dyDescent="0.3">
      <c r="A86" s="20">
        <v>27</v>
      </c>
      <c r="B86" s="20">
        <v>67.62</v>
      </c>
      <c r="C86" s="20">
        <v>30</v>
      </c>
      <c r="D86" s="20">
        <v>10.8</v>
      </c>
      <c r="E86" s="20">
        <v>2</v>
      </c>
      <c r="G86" s="20">
        <v>27</v>
      </c>
      <c r="H86" s="20">
        <v>30</v>
      </c>
      <c r="I86" s="20">
        <v>2</v>
      </c>
      <c r="J86" s="20">
        <v>10.8</v>
      </c>
    </row>
    <row r="87" spans="1:10" x14ac:dyDescent="0.3">
      <c r="A87" s="20">
        <v>82</v>
      </c>
      <c r="B87" s="20">
        <v>73.19</v>
      </c>
      <c r="C87" s="20">
        <v>31</v>
      </c>
      <c r="D87" s="20">
        <v>13.1</v>
      </c>
      <c r="E87" s="20">
        <v>3</v>
      </c>
      <c r="G87" s="20">
        <v>82</v>
      </c>
      <c r="H87" s="20">
        <v>31</v>
      </c>
      <c r="I87" s="20">
        <v>3</v>
      </c>
      <c r="J87" s="20">
        <v>13.1</v>
      </c>
    </row>
    <row r="88" spans="1:10" x14ac:dyDescent="0.3">
      <c r="A88" s="20">
        <v>30</v>
      </c>
      <c r="B88" s="20">
        <v>73.06</v>
      </c>
      <c r="C88" s="20">
        <v>21</v>
      </c>
      <c r="D88" s="20">
        <v>13.1</v>
      </c>
      <c r="E88" s="20">
        <v>3</v>
      </c>
      <c r="G88" s="20">
        <v>30</v>
      </c>
      <c r="H88" s="20">
        <v>21</v>
      </c>
      <c r="I88" s="20">
        <v>3</v>
      </c>
      <c r="J88" s="20">
        <v>13.1</v>
      </c>
    </row>
    <row r="89" spans="1:10" x14ac:dyDescent="0.3">
      <c r="A89" s="20">
        <v>27</v>
      </c>
      <c r="B89" s="20">
        <v>72.41</v>
      </c>
      <c r="C89" s="20">
        <v>25</v>
      </c>
      <c r="D89" s="20">
        <v>13</v>
      </c>
      <c r="E89" s="20">
        <v>3</v>
      </c>
      <c r="G89" s="20">
        <v>27</v>
      </c>
      <c r="H89" s="20">
        <v>25</v>
      </c>
      <c r="I89" s="20">
        <v>3</v>
      </c>
      <c r="J89" s="20">
        <v>13</v>
      </c>
    </row>
    <row r="90" spans="1:10" x14ac:dyDescent="0.3">
      <c r="A90" s="20">
        <v>54</v>
      </c>
      <c r="B90" s="20">
        <v>72.39</v>
      </c>
      <c r="C90" s="20">
        <v>22</v>
      </c>
      <c r="D90" s="20">
        <v>13</v>
      </c>
      <c r="E90" s="20">
        <v>3</v>
      </c>
      <c r="G90" s="20">
        <v>54</v>
      </c>
      <c r="H90" s="20">
        <v>22</v>
      </c>
      <c r="I90" s="20">
        <v>3</v>
      </c>
      <c r="J90" s="20">
        <v>13</v>
      </c>
    </row>
    <row r="91" spans="1:10" x14ac:dyDescent="0.3">
      <c r="A91" s="20">
        <v>54</v>
      </c>
      <c r="B91" s="20">
        <v>79.099999999999994</v>
      </c>
      <c r="C91" s="20">
        <v>18</v>
      </c>
      <c r="D91" s="20">
        <v>15.2</v>
      </c>
      <c r="E91" s="20">
        <v>4</v>
      </c>
      <c r="G91" s="20">
        <v>54</v>
      </c>
      <c r="H91" s="20">
        <v>18</v>
      </c>
      <c r="I91" s="20">
        <v>4</v>
      </c>
      <c r="J91" s="20">
        <v>15.2</v>
      </c>
    </row>
    <row r="92" spans="1:10" x14ac:dyDescent="0.3">
      <c r="A92" s="20">
        <v>52</v>
      </c>
      <c r="B92" s="20">
        <v>79.03</v>
      </c>
      <c r="C92" s="20">
        <v>21</v>
      </c>
      <c r="D92" s="20">
        <v>15.1</v>
      </c>
      <c r="E92" s="20">
        <v>4</v>
      </c>
      <c r="G92" s="20">
        <v>52</v>
      </c>
      <c r="H92" s="20">
        <v>21</v>
      </c>
      <c r="I92" s="20">
        <v>4</v>
      </c>
      <c r="J92" s="20">
        <v>15.1</v>
      </c>
    </row>
    <row r="93" spans="1:10" x14ac:dyDescent="0.3">
      <c r="A93" s="20">
        <v>24</v>
      </c>
      <c r="B93" s="20">
        <v>93.12</v>
      </c>
      <c r="C93" s="20">
        <v>20</v>
      </c>
      <c r="D93" s="20">
        <v>19.399999999999999</v>
      </c>
      <c r="E93" s="20">
        <v>6</v>
      </c>
      <c r="G93" s="20">
        <v>24</v>
      </c>
      <c r="H93" s="20">
        <v>20</v>
      </c>
      <c r="I93" s="20">
        <v>6</v>
      </c>
      <c r="J93" s="20">
        <v>19.399999999999999</v>
      </c>
    </row>
    <row r="94" spans="1:10" x14ac:dyDescent="0.3">
      <c r="A94" s="20">
        <v>60</v>
      </c>
      <c r="B94" s="20">
        <v>59.73</v>
      </c>
      <c r="C94" s="20">
        <v>26</v>
      </c>
      <c r="D94" s="20">
        <v>8.1999999999999993</v>
      </c>
      <c r="E94" s="20">
        <v>1</v>
      </c>
      <c r="G94" s="20">
        <v>60</v>
      </c>
      <c r="H94" s="20">
        <v>26</v>
      </c>
      <c r="I94" s="20">
        <v>1</v>
      </c>
      <c r="J94" s="20">
        <v>8.1999999999999993</v>
      </c>
    </row>
    <row r="95" spans="1:10" x14ac:dyDescent="0.3">
      <c r="A95" s="20">
        <v>47</v>
      </c>
      <c r="B95" s="20">
        <v>53.9</v>
      </c>
      <c r="C95" s="20">
        <v>25</v>
      </c>
      <c r="D95" s="20">
        <v>6.3</v>
      </c>
      <c r="E95" s="20">
        <v>0</v>
      </c>
      <c r="G95" s="20">
        <v>47</v>
      </c>
      <c r="H95" s="20">
        <v>25</v>
      </c>
      <c r="I95" s="20">
        <v>0</v>
      </c>
      <c r="J95" s="20">
        <v>6.3</v>
      </c>
    </row>
    <row r="96" spans="1:10" x14ac:dyDescent="0.3">
      <c r="A96" s="20">
        <v>26</v>
      </c>
      <c r="B96" s="20">
        <v>72.239999999999995</v>
      </c>
      <c r="C96" s="20">
        <v>18</v>
      </c>
      <c r="D96" s="20">
        <v>12.9</v>
      </c>
      <c r="E96" s="20">
        <v>3</v>
      </c>
      <c r="G96" s="20">
        <v>26</v>
      </c>
      <c r="H96" s="20">
        <v>18</v>
      </c>
      <c r="I96" s="20">
        <v>3</v>
      </c>
      <c r="J96" s="20">
        <v>12.9</v>
      </c>
    </row>
    <row r="97" spans="1:10" x14ac:dyDescent="0.3">
      <c r="A97" s="20">
        <v>92</v>
      </c>
      <c r="B97" s="20">
        <v>93.08</v>
      </c>
      <c r="C97" s="20">
        <v>23</v>
      </c>
      <c r="D97" s="20">
        <v>19.399999999999999</v>
      </c>
      <c r="E97" s="20">
        <v>6</v>
      </c>
      <c r="G97" s="20">
        <v>92</v>
      </c>
      <c r="H97" s="20">
        <v>23</v>
      </c>
      <c r="I97" s="20">
        <v>6</v>
      </c>
      <c r="J97" s="20">
        <v>19.399999999999999</v>
      </c>
    </row>
    <row r="98" spans="1:10" x14ac:dyDescent="0.3">
      <c r="A98" s="20">
        <v>91</v>
      </c>
      <c r="B98" s="20">
        <v>58.69</v>
      </c>
      <c r="C98" s="20">
        <v>26</v>
      </c>
      <c r="D98" s="20">
        <v>7.9</v>
      </c>
      <c r="E98" s="20">
        <v>1</v>
      </c>
      <c r="G98" s="20">
        <v>91</v>
      </c>
      <c r="H98" s="20">
        <v>26</v>
      </c>
      <c r="I98" s="20">
        <v>1</v>
      </c>
      <c r="J98" s="20">
        <v>7.9</v>
      </c>
    </row>
    <row r="99" spans="1:10" x14ac:dyDescent="0.3">
      <c r="A99" s="20">
        <v>31</v>
      </c>
      <c r="B99" s="20">
        <v>53.78</v>
      </c>
      <c r="C99" s="20">
        <v>24</v>
      </c>
      <c r="D99" s="20">
        <v>6.3</v>
      </c>
      <c r="E99" s="20">
        <v>0</v>
      </c>
      <c r="G99" s="20">
        <v>31</v>
      </c>
      <c r="H99" s="20">
        <v>24</v>
      </c>
      <c r="I99" s="20">
        <v>0</v>
      </c>
      <c r="J99" s="20">
        <v>6.3</v>
      </c>
    </row>
    <row r="100" spans="1:10" x14ac:dyDescent="0.3">
      <c r="A100" s="20">
        <v>53</v>
      </c>
      <c r="B100" s="20">
        <v>86.03</v>
      </c>
      <c r="C100" s="20">
        <v>21</v>
      </c>
      <c r="D100" s="20">
        <v>17.2</v>
      </c>
      <c r="E100" s="20">
        <v>5</v>
      </c>
      <c r="G100" s="20">
        <v>53</v>
      </c>
      <c r="H100" s="20">
        <v>21</v>
      </c>
      <c r="I100" s="20">
        <v>5</v>
      </c>
      <c r="J100" s="20">
        <v>17.2</v>
      </c>
    </row>
    <row r="101" spans="1:10" x14ac:dyDescent="0.3">
      <c r="A101" s="20">
        <v>52</v>
      </c>
      <c r="B101" s="20">
        <v>67.599999999999994</v>
      </c>
      <c r="C101" s="20">
        <v>30</v>
      </c>
      <c r="D101" s="20">
        <v>10.8</v>
      </c>
      <c r="E101" s="20">
        <v>2</v>
      </c>
      <c r="G101" s="20">
        <v>52</v>
      </c>
      <c r="H101" s="20">
        <v>30</v>
      </c>
      <c r="I101" s="20">
        <v>2</v>
      </c>
      <c r="J101" s="20">
        <v>10.8</v>
      </c>
    </row>
    <row r="102" spans="1:10" x14ac:dyDescent="0.3">
      <c r="A102" s="20">
        <v>67</v>
      </c>
      <c r="B102" s="20">
        <v>79</v>
      </c>
      <c r="C102" s="20">
        <v>34</v>
      </c>
      <c r="D102" s="20">
        <v>14.9</v>
      </c>
      <c r="E102" s="20">
        <v>4</v>
      </c>
      <c r="G102" s="20">
        <v>67</v>
      </c>
      <c r="H102" s="20">
        <v>34</v>
      </c>
      <c r="I102" s="20">
        <v>4</v>
      </c>
      <c r="J102" s="20">
        <v>14.9</v>
      </c>
    </row>
    <row r="103" spans="1:10" x14ac:dyDescent="0.3">
      <c r="A103" s="20">
        <v>42</v>
      </c>
      <c r="B103" s="20">
        <v>85.91</v>
      </c>
      <c r="C103" s="20">
        <v>19</v>
      </c>
      <c r="D103" s="20">
        <v>17.2</v>
      </c>
      <c r="E103" s="20">
        <v>5</v>
      </c>
      <c r="G103" s="20">
        <v>42</v>
      </c>
      <c r="H103" s="20">
        <v>19</v>
      </c>
      <c r="I103" s="20">
        <v>5</v>
      </c>
      <c r="J103" s="20">
        <v>17.2</v>
      </c>
    </row>
    <row r="104" spans="1:10" x14ac:dyDescent="0.3">
      <c r="A104" s="20">
        <v>81</v>
      </c>
      <c r="B104" s="20">
        <v>53.5</v>
      </c>
      <c r="C104" s="20">
        <v>22</v>
      </c>
      <c r="D104" s="20">
        <v>6.2</v>
      </c>
      <c r="E104" s="20">
        <v>0</v>
      </c>
      <c r="G104" s="20">
        <v>81</v>
      </c>
      <c r="H104" s="20">
        <v>22</v>
      </c>
      <c r="I104" s="20">
        <v>0</v>
      </c>
      <c r="J104" s="20">
        <v>6.2</v>
      </c>
    </row>
    <row r="105" spans="1:10" x14ac:dyDescent="0.3">
      <c r="A105" s="20">
        <v>56</v>
      </c>
      <c r="B105" s="20">
        <v>85.79</v>
      </c>
      <c r="C105" s="20">
        <v>29</v>
      </c>
      <c r="D105" s="20">
        <v>17.2</v>
      </c>
      <c r="E105" s="20">
        <v>5</v>
      </c>
      <c r="G105" s="20">
        <v>56</v>
      </c>
      <c r="H105" s="20">
        <v>29</v>
      </c>
      <c r="I105" s="20">
        <v>5</v>
      </c>
      <c r="J105" s="20">
        <v>17.2</v>
      </c>
    </row>
    <row r="106" spans="1:10" x14ac:dyDescent="0.3">
      <c r="A106" s="20">
        <v>63</v>
      </c>
      <c r="B106" s="20">
        <v>67.28</v>
      </c>
      <c r="C106" s="20">
        <v>38</v>
      </c>
      <c r="D106" s="20">
        <v>10.6</v>
      </c>
      <c r="E106" s="20">
        <v>2</v>
      </c>
      <c r="G106" s="20">
        <v>63</v>
      </c>
      <c r="H106" s="20">
        <v>38</v>
      </c>
      <c r="I106" s="20">
        <v>2</v>
      </c>
      <c r="J106" s="20">
        <v>10.6</v>
      </c>
    </row>
    <row r="107" spans="1:10" x14ac:dyDescent="0.3">
      <c r="A107" s="20">
        <v>54</v>
      </c>
      <c r="B107" s="20">
        <v>93.04</v>
      </c>
      <c r="C107" s="20">
        <v>25</v>
      </c>
      <c r="D107" s="20">
        <v>19.399999999999999</v>
      </c>
      <c r="E107" s="20">
        <v>6</v>
      </c>
      <c r="G107" s="20">
        <v>54</v>
      </c>
      <c r="H107" s="20">
        <v>25</v>
      </c>
      <c r="I107" s="20">
        <v>6</v>
      </c>
      <c r="J107" s="20">
        <v>19.399999999999999</v>
      </c>
    </row>
    <row r="108" spans="1:10" x14ac:dyDescent="0.3">
      <c r="A108" s="20">
        <v>84</v>
      </c>
      <c r="B108" s="20">
        <v>53.42</v>
      </c>
      <c r="C108" s="20">
        <v>23</v>
      </c>
      <c r="D108" s="20">
        <v>6.2</v>
      </c>
      <c r="E108" s="20">
        <v>0</v>
      </c>
      <c r="G108" s="20">
        <v>84</v>
      </c>
      <c r="H108" s="20">
        <v>23</v>
      </c>
      <c r="I108" s="20">
        <v>0</v>
      </c>
      <c r="J108" s="20">
        <v>6.2</v>
      </c>
    </row>
    <row r="109" spans="1:10" x14ac:dyDescent="0.3">
      <c r="A109" s="20">
        <v>66</v>
      </c>
      <c r="B109" s="20">
        <v>85.55</v>
      </c>
      <c r="C109" s="20">
        <v>25</v>
      </c>
      <c r="D109" s="20">
        <v>17.100000000000001</v>
      </c>
      <c r="E109" s="20">
        <v>5</v>
      </c>
      <c r="G109" s="20">
        <v>66</v>
      </c>
      <c r="H109" s="20">
        <v>25</v>
      </c>
      <c r="I109" s="20">
        <v>5</v>
      </c>
      <c r="J109" s="20">
        <v>17.100000000000001</v>
      </c>
    </row>
    <row r="110" spans="1:10" x14ac:dyDescent="0.3">
      <c r="A110" s="20">
        <v>22</v>
      </c>
      <c r="B110" s="20">
        <v>78.75</v>
      </c>
      <c r="C110" s="20">
        <v>35</v>
      </c>
      <c r="D110" s="20">
        <v>14.9</v>
      </c>
      <c r="E110" s="20">
        <v>4</v>
      </c>
      <c r="G110" s="20">
        <v>22</v>
      </c>
      <c r="H110" s="20">
        <v>35</v>
      </c>
      <c r="I110" s="20">
        <v>4</v>
      </c>
      <c r="J110" s="20">
        <v>14.9</v>
      </c>
    </row>
    <row r="111" spans="1:10" x14ac:dyDescent="0.3">
      <c r="A111" s="20">
        <v>20</v>
      </c>
      <c r="B111" s="20">
        <v>78.680000000000007</v>
      </c>
      <c r="C111" s="20">
        <v>20</v>
      </c>
      <c r="D111" s="20">
        <v>14.7</v>
      </c>
      <c r="E111" s="20">
        <v>4</v>
      </c>
      <c r="G111" s="20">
        <v>20</v>
      </c>
      <c r="H111" s="20">
        <v>20</v>
      </c>
      <c r="I111" s="20">
        <v>4</v>
      </c>
      <c r="J111" s="20">
        <v>14.7</v>
      </c>
    </row>
    <row r="112" spans="1:10" x14ac:dyDescent="0.3">
      <c r="A112" s="20">
        <v>24</v>
      </c>
      <c r="B112" s="20">
        <v>58.67</v>
      </c>
      <c r="C112" s="20">
        <v>39</v>
      </c>
      <c r="D112" s="20">
        <v>7.8</v>
      </c>
      <c r="E112" s="20">
        <v>1</v>
      </c>
      <c r="G112" s="20">
        <v>24</v>
      </c>
      <c r="H112" s="20">
        <v>39</v>
      </c>
      <c r="I112" s="20">
        <v>1</v>
      </c>
      <c r="J112" s="20">
        <v>7.8</v>
      </c>
    </row>
    <row r="113" spans="1:10" x14ac:dyDescent="0.3">
      <c r="A113" s="20">
        <v>33</v>
      </c>
      <c r="B113" s="20">
        <v>85.5</v>
      </c>
      <c r="C113" s="20">
        <v>29</v>
      </c>
      <c r="D113" s="20">
        <v>17.100000000000001</v>
      </c>
      <c r="E113" s="20">
        <v>5</v>
      </c>
      <c r="G113" s="20">
        <v>33</v>
      </c>
      <c r="H113" s="20">
        <v>29</v>
      </c>
      <c r="I113" s="20">
        <v>5</v>
      </c>
      <c r="J113" s="20">
        <v>17.100000000000001</v>
      </c>
    </row>
    <row r="114" spans="1:10" x14ac:dyDescent="0.3">
      <c r="A114" s="20">
        <v>46</v>
      </c>
      <c r="B114" s="20">
        <v>72.099999999999994</v>
      </c>
      <c r="C114" s="20">
        <v>20</v>
      </c>
      <c r="D114" s="20">
        <v>12.8</v>
      </c>
      <c r="E114" s="20">
        <v>3</v>
      </c>
      <c r="G114" s="20">
        <v>46</v>
      </c>
      <c r="H114" s="20">
        <v>20</v>
      </c>
      <c r="I114" s="20">
        <v>3</v>
      </c>
      <c r="J114" s="20">
        <v>12.8</v>
      </c>
    </row>
    <row r="115" spans="1:10" x14ac:dyDescent="0.3">
      <c r="A115" s="20">
        <v>28</v>
      </c>
      <c r="B115" s="20">
        <v>85.09</v>
      </c>
      <c r="C115" s="20">
        <v>39</v>
      </c>
      <c r="D115" s="20">
        <v>17.100000000000001</v>
      </c>
      <c r="E115" s="20">
        <v>5</v>
      </c>
      <c r="G115" s="20">
        <v>28</v>
      </c>
      <c r="H115" s="20">
        <v>39</v>
      </c>
      <c r="I115" s="20">
        <v>5</v>
      </c>
      <c r="J115" s="20">
        <v>17.100000000000001</v>
      </c>
    </row>
    <row r="116" spans="1:10" x14ac:dyDescent="0.3">
      <c r="A116" s="20">
        <v>34</v>
      </c>
      <c r="B116" s="20">
        <v>92.99</v>
      </c>
      <c r="C116" s="20">
        <v>23</v>
      </c>
      <c r="D116" s="20">
        <v>19.3</v>
      </c>
      <c r="E116" s="20">
        <v>6</v>
      </c>
      <c r="G116" s="20">
        <v>34</v>
      </c>
      <c r="H116" s="20">
        <v>23</v>
      </c>
      <c r="I116" s="20">
        <v>6</v>
      </c>
      <c r="J116" s="20">
        <v>19.3</v>
      </c>
    </row>
    <row r="117" spans="1:10" x14ac:dyDescent="0.3">
      <c r="A117" s="20">
        <v>61</v>
      </c>
      <c r="B117" s="20">
        <v>53.15</v>
      </c>
      <c r="C117" s="20">
        <v>19</v>
      </c>
      <c r="D117" s="20">
        <v>6.2</v>
      </c>
      <c r="E117" s="20">
        <v>0</v>
      </c>
      <c r="G117" s="20">
        <v>61</v>
      </c>
      <c r="H117" s="20">
        <v>19</v>
      </c>
      <c r="I117" s="20">
        <v>0</v>
      </c>
      <c r="J117" s="20">
        <v>6.2</v>
      </c>
    </row>
    <row r="118" spans="1:10" x14ac:dyDescent="0.3">
      <c r="A118" s="20">
        <v>70</v>
      </c>
      <c r="B118" s="20">
        <v>53.07</v>
      </c>
      <c r="C118" s="20">
        <v>29</v>
      </c>
      <c r="D118" s="20">
        <v>6.1</v>
      </c>
      <c r="E118" s="20">
        <v>0</v>
      </c>
      <c r="G118" s="20">
        <v>70</v>
      </c>
      <c r="H118" s="20">
        <v>29</v>
      </c>
      <c r="I118" s="20">
        <v>0</v>
      </c>
      <c r="J118" s="20">
        <v>6.1</v>
      </c>
    </row>
    <row r="119" spans="1:10" x14ac:dyDescent="0.3">
      <c r="A119" s="20">
        <v>82</v>
      </c>
      <c r="B119" s="20">
        <v>92.93</v>
      </c>
      <c r="C119" s="20">
        <v>19</v>
      </c>
      <c r="D119" s="20">
        <v>19.3</v>
      </c>
      <c r="E119" s="20">
        <v>6</v>
      </c>
      <c r="G119" s="20">
        <v>82</v>
      </c>
      <c r="H119" s="20">
        <v>19</v>
      </c>
      <c r="I119" s="20">
        <v>6</v>
      </c>
      <c r="J119" s="20">
        <v>19.3</v>
      </c>
    </row>
    <row r="120" spans="1:10" x14ac:dyDescent="0.3">
      <c r="A120" s="20">
        <v>71</v>
      </c>
      <c r="B120" s="20">
        <v>84.82</v>
      </c>
      <c r="C120" s="20">
        <v>23</v>
      </c>
      <c r="D120" s="20">
        <v>17</v>
      </c>
      <c r="E120" s="20">
        <v>5</v>
      </c>
      <c r="G120" s="20">
        <v>71</v>
      </c>
      <c r="H120" s="20">
        <v>23</v>
      </c>
      <c r="I120" s="20">
        <v>5</v>
      </c>
      <c r="J120" s="20">
        <v>17</v>
      </c>
    </row>
    <row r="121" spans="1:10" x14ac:dyDescent="0.3">
      <c r="A121" s="20">
        <v>23</v>
      </c>
      <c r="B121" s="20">
        <v>92.72</v>
      </c>
      <c r="C121" s="20">
        <v>34</v>
      </c>
      <c r="D121" s="20">
        <v>19.3</v>
      </c>
      <c r="E121" s="20">
        <v>6</v>
      </c>
      <c r="G121" s="20">
        <v>23</v>
      </c>
      <c r="H121" s="20">
        <v>34</v>
      </c>
      <c r="I121" s="20">
        <v>6</v>
      </c>
      <c r="J121" s="20">
        <v>19.3</v>
      </c>
    </row>
    <row r="122" spans="1:10" x14ac:dyDescent="0.3">
      <c r="A122" s="20">
        <v>42</v>
      </c>
      <c r="B122" s="20">
        <v>67.28</v>
      </c>
      <c r="C122" s="20">
        <v>20</v>
      </c>
      <c r="D122" s="20">
        <v>10.6</v>
      </c>
      <c r="E122" s="20">
        <v>2</v>
      </c>
      <c r="G122" s="20">
        <v>42</v>
      </c>
      <c r="H122" s="20">
        <v>20</v>
      </c>
      <c r="I122" s="20">
        <v>2</v>
      </c>
      <c r="J122" s="20">
        <v>10.6</v>
      </c>
    </row>
    <row r="123" spans="1:10" x14ac:dyDescent="0.3">
      <c r="A123" s="20">
        <v>34</v>
      </c>
      <c r="B123" s="20">
        <v>91.97</v>
      </c>
      <c r="C123" s="20">
        <v>19</v>
      </c>
      <c r="D123" s="20">
        <v>19.3</v>
      </c>
      <c r="E123" s="20">
        <v>6</v>
      </c>
      <c r="G123" s="20">
        <v>34</v>
      </c>
      <c r="H123" s="20">
        <v>19</v>
      </c>
      <c r="I123" s="20">
        <v>6</v>
      </c>
      <c r="J123" s="20">
        <v>19.3</v>
      </c>
    </row>
    <row r="124" spans="1:10" x14ac:dyDescent="0.3">
      <c r="A124" s="20">
        <v>62</v>
      </c>
      <c r="B124" s="20">
        <v>78.489999999999995</v>
      </c>
      <c r="C124" s="20">
        <v>37</v>
      </c>
      <c r="D124" s="20">
        <v>14.7</v>
      </c>
      <c r="E124" s="20">
        <v>4</v>
      </c>
      <c r="G124" s="20">
        <v>62</v>
      </c>
      <c r="H124" s="20">
        <v>37</v>
      </c>
      <c r="I124" s="20">
        <v>4</v>
      </c>
      <c r="J124" s="20">
        <v>14.7</v>
      </c>
    </row>
    <row r="125" spans="1:10" x14ac:dyDescent="0.3">
      <c r="A125" s="20">
        <v>48</v>
      </c>
      <c r="B125" s="20">
        <v>91.92</v>
      </c>
      <c r="C125" s="20">
        <v>25</v>
      </c>
      <c r="D125" s="20">
        <v>19.3</v>
      </c>
      <c r="E125" s="20">
        <v>6</v>
      </c>
      <c r="G125" s="20">
        <v>48</v>
      </c>
      <c r="H125" s="20">
        <v>25</v>
      </c>
      <c r="I125" s="20">
        <v>6</v>
      </c>
      <c r="J125" s="20">
        <v>19.3</v>
      </c>
    </row>
    <row r="126" spans="1:10" x14ac:dyDescent="0.3">
      <c r="A126" s="20">
        <v>55</v>
      </c>
      <c r="B126" s="20">
        <v>53.02</v>
      </c>
      <c r="C126" s="20">
        <v>39</v>
      </c>
      <c r="D126" s="20">
        <v>6.1</v>
      </c>
      <c r="E126" s="20">
        <v>0</v>
      </c>
      <c r="G126" s="20">
        <v>55</v>
      </c>
      <c r="H126" s="20">
        <v>39</v>
      </c>
      <c r="I126" s="20">
        <v>0</v>
      </c>
      <c r="J126" s="20">
        <v>6.1</v>
      </c>
    </row>
    <row r="127" spans="1:10" x14ac:dyDescent="0.3">
      <c r="A127" s="20">
        <v>32</v>
      </c>
      <c r="B127" s="20">
        <v>78.34</v>
      </c>
      <c r="C127" s="20">
        <v>29</v>
      </c>
      <c r="D127" s="20">
        <v>14.6</v>
      </c>
      <c r="E127" s="20">
        <v>4</v>
      </c>
      <c r="G127" s="20">
        <v>32</v>
      </c>
      <c r="H127" s="20">
        <v>29</v>
      </c>
      <c r="I127" s="20">
        <v>4</v>
      </c>
      <c r="J127" s="20">
        <v>14.6</v>
      </c>
    </row>
    <row r="128" spans="1:10" x14ac:dyDescent="0.3">
      <c r="A128" s="20">
        <v>51</v>
      </c>
      <c r="B128" s="20">
        <v>52.92</v>
      </c>
      <c r="C128" s="20">
        <v>21</v>
      </c>
      <c r="D128" s="20">
        <v>6.1</v>
      </c>
      <c r="E128" s="20">
        <v>0</v>
      </c>
      <c r="G128" s="20">
        <v>51</v>
      </c>
      <c r="H128" s="20">
        <v>21</v>
      </c>
      <c r="I128" s="20">
        <v>0</v>
      </c>
      <c r="J128" s="20">
        <v>6.1</v>
      </c>
    </row>
    <row r="129" spans="1:10" x14ac:dyDescent="0.3">
      <c r="A129" s="20">
        <v>90</v>
      </c>
      <c r="B129" s="20">
        <v>58.51</v>
      </c>
      <c r="C129" s="20">
        <v>22</v>
      </c>
      <c r="D129" s="20">
        <v>7.7</v>
      </c>
      <c r="E129" s="20">
        <v>1</v>
      </c>
      <c r="G129" s="20">
        <v>90</v>
      </c>
      <c r="H129" s="20">
        <v>22</v>
      </c>
      <c r="I129" s="20">
        <v>1</v>
      </c>
      <c r="J129" s="20">
        <v>7.7</v>
      </c>
    </row>
    <row r="130" spans="1:10" x14ac:dyDescent="0.3">
      <c r="A130" s="20">
        <v>78</v>
      </c>
      <c r="B130" s="20">
        <v>71.819999999999993</v>
      </c>
      <c r="C130" s="20">
        <v>30</v>
      </c>
      <c r="D130" s="20">
        <v>12.8</v>
      </c>
      <c r="E130" s="20">
        <v>3</v>
      </c>
      <c r="G130" s="20">
        <v>78</v>
      </c>
      <c r="H130" s="20">
        <v>30</v>
      </c>
      <c r="I130" s="20">
        <v>3</v>
      </c>
      <c r="J130" s="20">
        <v>12.8</v>
      </c>
    </row>
    <row r="131" spans="1:10" x14ac:dyDescent="0.3">
      <c r="A131" s="20">
        <v>47</v>
      </c>
      <c r="B131" s="20">
        <v>52.77</v>
      </c>
      <c r="C131" s="20">
        <v>32</v>
      </c>
      <c r="D131" s="20">
        <v>6.1</v>
      </c>
      <c r="E131" s="20">
        <v>0</v>
      </c>
      <c r="G131" s="20">
        <v>47</v>
      </c>
      <c r="H131" s="20">
        <v>32</v>
      </c>
      <c r="I131" s="20">
        <v>0</v>
      </c>
      <c r="J131" s="20">
        <v>6.1</v>
      </c>
    </row>
    <row r="132" spans="1:10" x14ac:dyDescent="0.3">
      <c r="A132" s="20">
        <v>85</v>
      </c>
      <c r="B132" s="20">
        <v>78.05</v>
      </c>
      <c r="C132" s="20">
        <v>33</v>
      </c>
      <c r="D132" s="20">
        <v>14.6</v>
      </c>
      <c r="E132" s="20">
        <v>4</v>
      </c>
      <c r="G132" s="20">
        <v>85</v>
      </c>
      <c r="H132" s="20">
        <v>33</v>
      </c>
      <c r="I132" s="20">
        <v>4</v>
      </c>
      <c r="J132" s="20">
        <v>14.6</v>
      </c>
    </row>
    <row r="133" spans="1:10" x14ac:dyDescent="0.3">
      <c r="A133" s="20">
        <v>61</v>
      </c>
      <c r="B133" s="20">
        <v>58.35</v>
      </c>
      <c r="C133" s="20">
        <v>27</v>
      </c>
      <c r="D133" s="20">
        <v>7.6</v>
      </c>
      <c r="E133" s="20">
        <v>1</v>
      </c>
      <c r="G133" s="20">
        <v>61</v>
      </c>
      <c r="H133" s="20">
        <v>27</v>
      </c>
      <c r="I133" s="20">
        <v>1</v>
      </c>
      <c r="J133" s="20">
        <v>7.6</v>
      </c>
    </row>
    <row r="134" spans="1:10" x14ac:dyDescent="0.3">
      <c r="A134" s="20">
        <v>64</v>
      </c>
      <c r="B134" s="20">
        <v>52.47</v>
      </c>
      <c r="C134" s="20">
        <v>33</v>
      </c>
      <c r="D134" s="20">
        <v>6</v>
      </c>
      <c r="E134" s="20">
        <v>0</v>
      </c>
      <c r="G134" s="20">
        <v>64</v>
      </c>
      <c r="H134" s="20">
        <v>33</v>
      </c>
      <c r="I134" s="20">
        <v>0</v>
      </c>
      <c r="J134" s="20">
        <v>6</v>
      </c>
    </row>
    <row r="135" spans="1:10" x14ac:dyDescent="0.3">
      <c r="A135" s="20">
        <v>81</v>
      </c>
      <c r="B135" s="20">
        <v>66.95</v>
      </c>
      <c r="C135" s="20">
        <v>29</v>
      </c>
      <c r="D135" s="20">
        <v>10.6</v>
      </c>
      <c r="E135" s="20">
        <v>2</v>
      </c>
      <c r="G135" s="20">
        <v>81</v>
      </c>
      <c r="H135" s="20">
        <v>29</v>
      </c>
      <c r="I135" s="20">
        <v>2</v>
      </c>
      <c r="J135" s="20">
        <v>10.6</v>
      </c>
    </row>
    <row r="136" spans="1:10" x14ac:dyDescent="0.3">
      <c r="A136" s="20">
        <v>76</v>
      </c>
      <c r="B136" s="20">
        <v>91.85</v>
      </c>
      <c r="C136" s="20">
        <v>34</v>
      </c>
      <c r="D136" s="20">
        <v>19.2</v>
      </c>
      <c r="E136" s="20">
        <v>6</v>
      </c>
      <c r="G136" s="20">
        <v>76</v>
      </c>
      <c r="H136" s="20">
        <v>34</v>
      </c>
      <c r="I136" s="20">
        <v>6</v>
      </c>
      <c r="J136" s="20">
        <v>19.2</v>
      </c>
    </row>
    <row r="137" spans="1:10" x14ac:dyDescent="0.3">
      <c r="A137" s="20">
        <v>25</v>
      </c>
      <c r="B137" s="20">
        <v>71.77</v>
      </c>
      <c r="C137" s="20">
        <v>33</v>
      </c>
      <c r="D137" s="20">
        <v>12.8</v>
      </c>
      <c r="E137" s="20">
        <v>3</v>
      </c>
      <c r="G137" s="20">
        <v>25</v>
      </c>
      <c r="H137" s="20">
        <v>33</v>
      </c>
      <c r="I137" s="20">
        <v>3</v>
      </c>
      <c r="J137" s="20">
        <v>12.8</v>
      </c>
    </row>
    <row r="138" spans="1:10" x14ac:dyDescent="0.3">
      <c r="A138" s="20">
        <v>47</v>
      </c>
      <c r="B138" s="20">
        <v>52.37</v>
      </c>
      <c r="C138" s="20">
        <v>29</v>
      </c>
      <c r="D138" s="20">
        <v>5.9</v>
      </c>
      <c r="E138" s="20">
        <v>0</v>
      </c>
      <c r="G138" s="20">
        <v>47</v>
      </c>
      <c r="H138" s="20">
        <v>29</v>
      </c>
      <c r="I138" s="20">
        <v>0</v>
      </c>
      <c r="J138" s="20">
        <v>5.9</v>
      </c>
    </row>
    <row r="139" spans="1:10" x14ac:dyDescent="0.3">
      <c r="A139" s="20">
        <v>47</v>
      </c>
      <c r="B139" s="20">
        <v>58.3</v>
      </c>
      <c r="C139" s="20">
        <v>25</v>
      </c>
      <c r="D139" s="20">
        <v>7.6</v>
      </c>
      <c r="E139" s="20">
        <v>1</v>
      </c>
      <c r="G139" s="20">
        <v>47</v>
      </c>
      <c r="H139" s="20">
        <v>25</v>
      </c>
      <c r="I139" s="20">
        <v>1</v>
      </c>
      <c r="J139" s="20">
        <v>7.6</v>
      </c>
    </row>
    <row r="140" spans="1:10" x14ac:dyDescent="0.3">
      <c r="A140" s="20">
        <v>63</v>
      </c>
      <c r="B140" s="20">
        <v>66.41</v>
      </c>
      <c r="C140" s="20">
        <v>37</v>
      </c>
      <c r="D140" s="20">
        <v>10.6</v>
      </c>
      <c r="E140" s="20">
        <v>2</v>
      </c>
      <c r="G140" s="20">
        <v>63</v>
      </c>
      <c r="H140" s="20">
        <v>37</v>
      </c>
      <c r="I140" s="20">
        <v>2</v>
      </c>
      <c r="J140" s="20">
        <v>10.6</v>
      </c>
    </row>
    <row r="141" spans="1:10" x14ac:dyDescent="0.3">
      <c r="A141" s="20">
        <v>49</v>
      </c>
      <c r="B141" s="20">
        <v>84.69</v>
      </c>
      <c r="C141" s="20">
        <v>20</v>
      </c>
      <c r="D141" s="20">
        <v>16.899999999999999</v>
      </c>
      <c r="E141" s="20">
        <v>5</v>
      </c>
      <c r="G141" s="20">
        <v>49</v>
      </c>
      <c r="H141" s="20">
        <v>20</v>
      </c>
      <c r="I141" s="20">
        <v>5</v>
      </c>
      <c r="J141" s="20">
        <v>16.899999999999999</v>
      </c>
    </row>
    <row r="142" spans="1:10" x14ac:dyDescent="0.3">
      <c r="A142" s="20">
        <v>81</v>
      </c>
      <c r="B142" s="20">
        <v>58.19</v>
      </c>
      <c r="C142" s="20">
        <v>33</v>
      </c>
      <c r="D142" s="20">
        <v>7.5</v>
      </c>
      <c r="E142" s="20">
        <v>1</v>
      </c>
      <c r="G142" s="20">
        <v>81</v>
      </c>
      <c r="H142" s="20">
        <v>33</v>
      </c>
      <c r="I142" s="20">
        <v>1</v>
      </c>
      <c r="J142" s="20">
        <v>7.5</v>
      </c>
    </row>
    <row r="143" spans="1:10" x14ac:dyDescent="0.3">
      <c r="A143" s="20">
        <v>94</v>
      </c>
      <c r="B143" s="20">
        <v>91.2</v>
      </c>
      <c r="C143" s="20">
        <v>30</v>
      </c>
      <c r="D143" s="20">
        <v>19.2</v>
      </c>
      <c r="E143" s="20">
        <v>6</v>
      </c>
      <c r="G143" s="20">
        <v>94</v>
      </c>
      <c r="H143" s="20">
        <v>30</v>
      </c>
      <c r="I143" s="20">
        <v>6</v>
      </c>
      <c r="J143" s="20">
        <v>19.2</v>
      </c>
    </row>
    <row r="144" spans="1:10" x14ac:dyDescent="0.3">
      <c r="A144" s="20">
        <v>81</v>
      </c>
      <c r="B144" s="20">
        <v>58.08</v>
      </c>
      <c r="C144" s="20">
        <v>36</v>
      </c>
      <c r="D144" s="20">
        <v>7.4</v>
      </c>
      <c r="E144" s="20">
        <v>1</v>
      </c>
      <c r="G144" s="20">
        <v>81</v>
      </c>
      <c r="H144" s="20">
        <v>36</v>
      </c>
      <c r="I144" s="20">
        <v>1</v>
      </c>
      <c r="J144" s="20">
        <v>7.4</v>
      </c>
    </row>
    <row r="145" spans="1:10" x14ac:dyDescent="0.3">
      <c r="A145" s="20">
        <v>20</v>
      </c>
      <c r="B145" s="20">
        <v>66.34</v>
      </c>
      <c r="C145" s="20">
        <v>25</v>
      </c>
      <c r="D145" s="20">
        <v>10.6</v>
      </c>
      <c r="E145" s="20">
        <v>2</v>
      </c>
      <c r="G145" s="20">
        <v>20</v>
      </c>
      <c r="H145" s="20">
        <v>25</v>
      </c>
      <c r="I145" s="20">
        <v>2</v>
      </c>
      <c r="J145" s="20">
        <v>10.6</v>
      </c>
    </row>
    <row r="146" spans="1:10" x14ac:dyDescent="0.3">
      <c r="A146" s="20">
        <v>46</v>
      </c>
      <c r="B146" s="20">
        <v>57.82</v>
      </c>
      <c r="C146" s="20">
        <v>39</v>
      </c>
      <c r="D146" s="20">
        <v>7.4</v>
      </c>
      <c r="E146" s="20">
        <v>1</v>
      </c>
      <c r="G146" s="20">
        <v>46</v>
      </c>
      <c r="H146" s="20">
        <v>39</v>
      </c>
      <c r="I146" s="20">
        <v>1</v>
      </c>
      <c r="J146" s="20">
        <v>7.4</v>
      </c>
    </row>
    <row r="147" spans="1:10" x14ac:dyDescent="0.3">
      <c r="A147" s="20">
        <v>81</v>
      </c>
      <c r="B147" s="20">
        <v>66.319999999999993</v>
      </c>
      <c r="C147" s="20">
        <v>22</v>
      </c>
      <c r="D147" s="20">
        <v>10.6</v>
      </c>
      <c r="E147" s="20">
        <v>2</v>
      </c>
      <c r="G147" s="20">
        <v>81</v>
      </c>
      <c r="H147" s="20">
        <v>22</v>
      </c>
      <c r="I147" s="20">
        <v>2</v>
      </c>
      <c r="J147" s="20">
        <v>10.6</v>
      </c>
    </row>
    <row r="148" spans="1:10" x14ac:dyDescent="0.3">
      <c r="A148" s="20">
        <v>22</v>
      </c>
      <c r="B148" s="20">
        <v>52.32</v>
      </c>
      <c r="C148" s="20">
        <v>37</v>
      </c>
      <c r="D148" s="20">
        <v>5.8</v>
      </c>
      <c r="E148" s="20">
        <v>0</v>
      </c>
      <c r="G148" s="20">
        <v>22</v>
      </c>
      <c r="H148" s="20">
        <v>37</v>
      </c>
      <c r="I148" s="20">
        <v>0</v>
      </c>
      <c r="J148" s="20">
        <v>5.8</v>
      </c>
    </row>
    <row r="149" spans="1:10" x14ac:dyDescent="0.3">
      <c r="A149" s="20">
        <v>89</v>
      </c>
      <c r="B149" s="20">
        <v>65.92</v>
      </c>
      <c r="C149" s="20">
        <v>25</v>
      </c>
      <c r="D149" s="20">
        <v>10.6</v>
      </c>
      <c r="E149" s="20">
        <v>2</v>
      </c>
      <c r="G149" s="20">
        <v>89</v>
      </c>
      <c r="H149" s="20">
        <v>25</v>
      </c>
      <c r="I149" s="20">
        <v>2</v>
      </c>
      <c r="J149" s="20">
        <v>10.6</v>
      </c>
    </row>
    <row r="150" spans="1:10" x14ac:dyDescent="0.3">
      <c r="A150" s="20">
        <v>91</v>
      </c>
      <c r="B150" s="20">
        <v>65.819999999999993</v>
      </c>
      <c r="C150" s="20">
        <v>29</v>
      </c>
      <c r="D150" s="20">
        <v>10.6</v>
      </c>
      <c r="E150" s="20">
        <v>2</v>
      </c>
      <c r="G150" s="20">
        <v>91</v>
      </c>
      <c r="H150" s="20">
        <v>29</v>
      </c>
      <c r="I150" s="20">
        <v>2</v>
      </c>
      <c r="J150" s="20">
        <v>10.6</v>
      </c>
    </row>
    <row r="151" spans="1:10" x14ac:dyDescent="0.3">
      <c r="A151" s="20">
        <v>46</v>
      </c>
      <c r="B151" s="20">
        <v>71.650000000000006</v>
      </c>
      <c r="C151" s="20">
        <v>18</v>
      </c>
      <c r="D151" s="20">
        <v>12.7</v>
      </c>
      <c r="E151" s="20">
        <v>3</v>
      </c>
      <c r="G151" s="20">
        <v>46</v>
      </c>
      <c r="H151" s="20">
        <v>18</v>
      </c>
      <c r="I151" s="20">
        <v>3</v>
      </c>
      <c r="J151" s="20">
        <v>12.7</v>
      </c>
    </row>
    <row r="152" spans="1:10" x14ac:dyDescent="0.3">
      <c r="A152" s="20">
        <v>28</v>
      </c>
      <c r="B152" s="20">
        <v>65.53</v>
      </c>
      <c r="C152" s="20">
        <v>38</v>
      </c>
      <c r="D152" s="20">
        <v>10.6</v>
      </c>
      <c r="E152" s="20">
        <v>2</v>
      </c>
      <c r="G152" s="20">
        <v>28</v>
      </c>
      <c r="H152" s="20">
        <v>38</v>
      </c>
      <c r="I152" s="20">
        <v>2</v>
      </c>
      <c r="J152" s="20">
        <v>10.6</v>
      </c>
    </row>
    <row r="153" spans="1:10" x14ac:dyDescent="0.3">
      <c r="A153" s="20">
        <v>81</v>
      </c>
      <c r="B153" s="20">
        <v>65.5</v>
      </c>
      <c r="C153" s="20">
        <v>37</v>
      </c>
      <c r="D153" s="20">
        <v>10.4</v>
      </c>
      <c r="E153" s="20">
        <v>2</v>
      </c>
      <c r="G153" s="20">
        <v>81</v>
      </c>
      <c r="H153" s="20">
        <v>37</v>
      </c>
      <c r="I153" s="20">
        <v>2</v>
      </c>
      <c r="J153" s="20">
        <v>10.4</v>
      </c>
    </row>
    <row r="154" spans="1:10" x14ac:dyDescent="0.3">
      <c r="A154" s="20">
        <v>56</v>
      </c>
      <c r="B154" s="20">
        <v>84.69</v>
      </c>
      <c r="C154" s="20">
        <v>23</v>
      </c>
      <c r="D154" s="20">
        <v>16.899999999999999</v>
      </c>
      <c r="E154" s="20">
        <v>5</v>
      </c>
      <c r="G154" s="20">
        <v>56</v>
      </c>
      <c r="H154" s="20">
        <v>23</v>
      </c>
      <c r="I154" s="20">
        <v>5</v>
      </c>
      <c r="J154" s="20">
        <v>16.899999999999999</v>
      </c>
    </row>
    <row r="155" spans="1:10" x14ac:dyDescent="0.3">
      <c r="A155" s="20">
        <v>70</v>
      </c>
      <c r="B155" s="20">
        <v>52.2</v>
      </c>
      <c r="C155" s="20">
        <v>39</v>
      </c>
      <c r="D155" s="20">
        <v>5.8</v>
      </c>
      <c r="E155" s="20">
        <v>0</v>
      </c>
      <c r="G155" s="20">
        <v>70</v>
      </c>
      <c r="H155" s="20">
        <v>39</v>
      </c>
      <c r="I155" s="20">
        <v>0</v>
      </c>
      <c r="J155" s="20">
        <v>5.8</v>
      </c>
    </row>
    <row r="156" spans="1:10" x14ac:dyDescent="0.3">
      <c r="A156" s="20">
        <v>63</v>
      </c>
      <c r="B156" s="20">
        <v>90.97</v>
      </c>
      <c r="C156" s="20">
        <v>35</v>
      </c>
      <c r="D156" s="20">
        <v>19.100000000000001</v>
      </c>
      <c r="E156" s="20">
        <v>6</v>
      </c>
      <c r="G156" s="20">
        <v>63</v>
      </c>
      <c r="H156" s="20">
        <v>35</v>
      </c>
      <c r="I156" s="20">
        <v>6</v>
      </c>
      <c r="J156" s="20">
        <v>19.100000000000001</v>
      </c>
    </row>
    <row r="157" spans="1:10" x14ac:dyDescent="0.3">
      <c r="A157" s="20">
        <v>43</v>
      </c>
      <c r="B157" s="20">
        <v>71.59</v>
      </c>
      <c r="C157" s="20">
        <v>25</v>
      </c>
      <c r="D157" s="20">
        <v>12.7</v>
      </c>
      <c r="E157" s="20">
        <v>3</v>
      </c>
      <c r="G157" s="20">
        <v>43</v>
      </c>
      <c r="H157" s="20">
        <v>25</v>
      </c>
      <c r="I157" s="20">
        <v>3</v>
      </c>
      <c r="J157" s="20">
        <v>12.7</v>
      </c>
    </row>
    <row r="158" spans="1:10" x14ac:dyDescent="0.3">
      <c r="A158" s="20">
        <v>78</v>
      </c>
      <c r="B158" s="20">
        <v>84.69</v>
      </c>
      <c r="C158" s="20">
        <v>24</v>
      </c>
      <c r="D158" s="20">
        <v>16.899999999999999</v>
      </c>
      <c r="E158" s="20">
        <v>5</v>
      </c>
      <c r="G158" s="20">
        <v>78</v>
      </c>
      <c r="H158" s="20">
        <v>24</v>
      </c>
      <c r="I158" s="20">
        <v>5</v>
      </c>
      <c r="J158" s="20">
        <v>16.899999999999999</v>
      </c>
    </row>
    <row r="159" spans="1:10" x14ac:dyDescent="0.3">
      <c r="A159" s="20">
        <v>51</v>
      </c>
      <c r="B159" s="20">
        <v>78.03</v>
      </c>
      <c r="C159" s="20">
        <v>18</v>
      </c>
      <c r="D159" s="20">
        <v>14.6</v>
      </c>
      <c r="E159" s="20">
        <v>4</v>
      </c>
      <c r="G159" s="20">
        <v>51</v>
      </c>
      <c r="H159" s="20">
        <v>18</v>
      </c>
      <c r="I159" s="20">
        <v>4</v>
      </c>
      <c r="J159" s="20">
        <v>14.6</v>
      </c>
    </row>
    <row r="160" spans="1:10" x14ac:dyDescent="0.3">
      <c r="A160" s="20">
        <v>71</v>
      </c>
      <c r="B160" s="20">
        <v>52.11</v>
      </c>
      <c r="C160" s="20">
        <v>38</v>
      </c>
      <c r="D160" s="20">
        <v>5.7</v>
      </c>
      <c r="E160" s="20">
        <v>0</v>
      </c>
      <c r="G160" s="20">
        <v>71</v>
      </c>
      <c r="H160" s="20">
        <v>38</v>
      </c>
      <c r="I160" s="20">
        <v>0</v>
      </c>
      <c r="J160" s="20">
        <v>5.7</v>
      </c>
    </row>
    <row r="161" spans="1:10" x14ac:dyDescent="0.3">
      <c r="A161" s="20">
        <v>81</v>
      </c>
      <c r="B161" s="20">
        <v>52.03</v>
      </c>
      <c r="C161" s="20">
        <v>33</v>
      </c>
      <c r="D161" s="20">
        <v>5.7</v>
      </c>
      <c r="E161" s="20">
        <v>0</v>
      </c>
      <c r="G161" s="20">
        <v>81</v>
      </c>
      <c r="H161" s="20">
        <v>33</v>
      </c>
      <c r="I161" s="20">
        <v>0</v>
      </c>
      <c r="J161" s="20">
        <v>5.7</v>
      </c>
    </row>
    <row r="162" spans="1:10" x14ac:dyDescent="0.3">
      <c r="A162" s="20">
        <v>77</v>
      </c>
      <c r="B162" s="20">
        <v>77.47</v>
      </c>
      <c r="C162" s="20">
        <v>29</v>
      </c>
      <c r="D162" s="20">
        <v>14.5</v>
      </c>
      <c r="E162" s="20">
        <v>4</v>
      </c>
      <c r="G162" s="20">
        <v>77</v>
      </c>
      <c r="H162" s="20">
        <v>29</v>
      </c>
      <c r="I162" s="20">
        <v>4</v>
      </c>
      <c r="J162" s="20">
        <v>14.5</v>
      </c>
    </row>
    <row r="163" spans="1:10" x14ac:dyDescent="0.3">
      <c r="A163" s="20">
        <v>71</v>
      </c>
      <c r="B163" s="20">
        <v>90.89</v>
      </c>
      <c r="C163" s="20">
        <v>23</v>
      </c>
      <c r="D163" s="20">
        <v>19.100000000000001</v>
      </c>
      <c r="E163" s="20">
        <v>6</v>
      </c>
      <c r="G163" s="20">
        <v>71</v>
      </c>
      <c r="H163" s="20">
        <v>23</v>
      </c>
      <c r="I163" s="20">
        <v>6</v>
      </c>
      <c r="J163" s="20">
        <v>19.100000000000001</v>
      </c>
    </row>
    <row r="164" spans="1:10" x14ac:dyDescent="0.3">
      <c r="A164" s="20">
        <v>31</v>
      </c>
      <c r="B164" s="20">
        <v>65.14</v>
      </c>
      <c r="C164" s="20">
        <v>37</v>
      </c>
      <c r="D164" s="20">
        <v>10.4</v>
      </c>
      <c r="E164" s="20">
        <v>2</v>
      </c>
      <c r="G164" s="20">
        <v>31</v>
      </c>
      <c r="H164" s="20">
        <v>37</v>
      </c>
      <c r="I164" s="20">
        <v>2</v>
      </c>
      <c r="J164" s="20">
        <v>10.4</v>
      </c>
    </row>
    <row r="165" spans="1:10" x14ac:dyDescent="0.3">
      <c r="A165" s="20">
        <v>58</v>
      </c>
      <c r="B165" s="20">
        <v>84.16</v>
      </c>
      <c r="C165" s="20">
        <v>19</v>
      </c>
      <c r="D165" s="20">
        <v>16.8</v>
      </c>
      <c r="E165" s="20">
        <v>5</v>
      </c>
      <c r="G165" s="20">
        <v>58</v>
      </c>
      <c r="H165" s="20">
        <v>19</v>
      </c>
      <c r="I165" s="20">
        <v>5</v>
      </c>
      <c r="J165" s="20">
        <v>16.8</v>
      </c>
    </row>
    <row r="166" spans="1:10" x14ac:dyDescent="0.3">
      <c r="A166" s="20">
        <v>21</v>
      </c>
      <c r="B166" s="20">
        <v>57.29</v>
      </c>
      <c r="C166" s="20">
        <v>31</v>
      </c>
      <c r="D166" s="20">
        <v>7.3</v>
      </c>
      <c r="E166" s="20">
        <v>1</v>
      </c>
      <c r="G166" s="20">
        <v>21</v>
      </c>
      <c r="H166" s="20">
        <v>31</v>
      </c>
      <c r="I166" s="20">
        <v>1</v>
      </c>
      <c r="J166" s="20">
        <v>7.3</v>
      </c>
    </row>
    <row r="167" spans="1:10" x14ac:dyDescent="0.3">
      <c r="A167" s="20">
        <v>22</v>
      </c>
      <c r="B167" s="20">
        <v>71.45</v>
      </c>
      <c r="C167" s="20">
        <v>21</v>
      </c>
      <c r="D167" s="20">
        <v>12.6</v>
      </c>
      <c r="E167" s="20">
        <v>3</v>
      </c>
      <c r="G167" s="20">
        <v>22</v>
      </c>
      <c r="H167" s="20">
        <v>21</v>
      </c>
      <c r="I167" s="20">
        <v>3</v>
      </c>
      <c r="J167" s="20">
        <v>12.6</v>
      </c>
    </row>
    <row r="168" spans="1:10" x14ac:dyDescent="0.3">
      <c r="A168" s="20">
        <v>75</v>
      </c>
      <c r="B168" s="20">
        <v>57.22</v>
      </c>
      <c r="C168" s="20">
        <v>18</v>
      </c>
      <c r="D168" s="20">
        <v>7.3</v>
      </c>
      <c r="E168" s="20">
        <v>1</v>
      </c>
      <c r="G168" s="20">
        <v>75</v>
      </c>
      <c r="H168" s="20">
        <v>18</v>
      </c>
      <c r="I168" s="20">
        <v>1</v>
      </c>
      <c r="J168" s="20">
        <v>7.3</v>
      </c>
    </row>
    <row r="169" spans="1:10" x14ac:dyDescent="0.3">
      <c r="A169" s="20">
        <v>78</v>
      </c>
      <c r="B169" s="20">
        <v>77.040000000000006</v>
      </c>
      <c r="C169" s="20">
        <v>35</v>
      </c>
      <c r="D169" s="20">
        <v>14.5</v>
      </c>
      <c r="E169" s="20">
        <v>4</v>
      </c>
      <c r="G169" s="20">
        <v>78</v>
      </c>
      <c r="H169" s="20">
        <v>35</v>
      </c>
      <c r="I169" s="20">
        <v>4</v>
      </c>
      <c r="J169" s="20">
        <v>14.5</v>
      </c>
    </row>
    <row r="170" spans="1:10" x14ac:dyDescent="0.3">
      <c r="A170" s="20">
        <v>21</v>
      </c>
      <c r="B170" s="20">
        <v>52</v>
      </c>
      <c r="C170" s="20">
        <v>30</v>
      </c>
      <c r="D170" s="20">
        <v>5.7</v>
      </c>
      <c r="E170" s="20">
        <v>0</v>
      </c>
      <c r="G170" s="20">
        <v>21</v>
      </c>
      <c r="H170" s="20">
        <v>30</v>
      </c>
      <c r="I170" s="20">
        <v>0</v>
      </c>
      <c r="J170" s="20">
        <v>5.7</v>
      </c>
    </row>
    <row r="171" spans="1:10" x14ac:dyDescent="0.3">
      <c r="A171" s="20">
        <v>21</v>
      </c>
      <c r="B171" s="20">
        <v>90.79</v>
      </c>
      <c r="C171" s="20">
        <v>19</v>
      </c>
      <c r="D171" s="20">
        <v>19</v>
      </c>
      <c r="E171" s="20">
        <v>6</v>
      </c>
      <c r="G171" s="20">
        <v>21</v>
      </c>
      <c r="H171" s="20">
        <v>19</v>
      </c>
      <c r="I171" s="20">
        <v>6</v>
      </c>
      <c r="J171" s="20">
        <v>19</v>
      </c>
    </row>
    <row r="172" spans="1:10" x14ac:dyDescent="0.3">
      <c r="A172" s="20">
        <v>73</v>
      </c>
      <c r="B172" s="20">
        <v>51.99</v>
      </c>
      <c r="C172" s="20">
        <v>26</v>
      </c>
      <c r="D172" s="20">
        <v>5.7</v>
      </c>
      <c r="E172" s="20">
        <v>0</v>
      </c>
      <c r="G172" s="20">
        <v>73</v>
      </c>
      <c r="H172" s="20">
        <v>26</v>
      </c>
      <c r="I172" s="20">
        <v>0</v>
      </c>
      <c r="J172" s="20">
        <v>5.7</v>
      </c>
    </row>
    <row r="173" spans="1:10" x14ac:dyDescent="0.3">
      <c r="A173" s="20">
        <v>20</v>
      </c>
      <c r="B173" s="20">
        <v>71.34</v>
      </c>
      <c r="C173" s="20">
        <v>38</v>
      </c>
      <c r="D173" s="20">
        <v>12.5</v>
      </c>
      <c r="E173" s="20">
        <v>3</v>
      </c>
      <c r="G173" s="20">
        <v>20</v>
      </c>
      <c r="H173" s="20">
        <v>38</v>
      </c>
      <c r="I173" s="20">
        <v>3</v>
      </c>
      <c r="J173" s="20">
        <v>12.5</v>
      </c>
    </row>
    <row r="174" spans="1:10" x14ac:dyDescent="0.3">
      <c r="A174" s="20">
        <v>38</v>
      </c>
      <c r="B174" s="20">
        <v>51.69</v>
      </c>
      <c r="C174" s="20">
        <v>19</v>
      </c>
      <c r="D174" s="20">
        <v>5.6</v>
      </c>
      <c r="E174" s="20">
        <v>0</v>
      </c>
      <c r="G174" s="20">
        <v>38</v>
      </c>
      <c r="H174" s="20">
        <v>19</v>
      </c>
      <c r="I174" s="20">
        <v>0</v>
      </c>
      <c r="J174" s="20">
        <v>5.6</v>
      </c>
    </row>
    <row r="175" spans="1:10" x14ac:dyDescent="0.3">
      <c r="A175" s="20">
        <v>21</v>
      </c>
      <c r="B175" s="20">
        <v>51.65</v>
      </c>
      <c r="C175" s="20">
        <v>26</v>
      </c>
      <c r="D175" s="20">
        <v>5.6</v>
      </c>
      <c r="E175" s="20">
        <v>0</v>
      </c>
      <c r="G175" s="20">
        <v>21</v>
      </c>
      <c r="H175" s="20">
        <v>26</v>
      </c>
      <c r="I175" s="20">
        <v>0</v>
      </c>
      <c r="J175" s="20">
        <v>5.6</v>
      </c>
    </row>
    <row r="176" spans="1:10" x14ac:dyDescent="0.3">
      <c r="A176" s="20">
        <v>72</v>
      </c>
      <c r="B176" s="20">
        <v>71.290000000000006</v>
      </c>
      <c r="C176" s="20">
        <v>18</v>
      </c>
      <c r="D176" s="20">
        <v>12.5</v>
      </c>
      <c r="E176" s="20">
        <v>3</v>
      </c>
      <c r="G176" s="20">
        <v>72</v>
      </c>
      <c r="H176" s="20">
        <v>18</v>
      </c>
      <c r="I176" s="20">
        <v>3</v>
      </c>
      <c r="J176" s="20">
        <v>12.5</v>
      </c>
    </row>
    <row r="177" spans="1:10" x14ac:dyDescent="0.3">
      <c r="A177" s="20">
        <v>63</v>
      </c>
      <c r="B177" s="20">
        <v>84.13</v>
      </c>
      <c r="C177" s="20">
        <v>28</v>
      </c>
      <c r="D177" s="20">
        <v>16.7</v>
      </c>
      <c r="E177" s="20">
        <v>5</v>
      </c>
      <c r="G177" s="20">
        <v>63</v>
      </c>
      <c r="H177" s="20">
        <v>28</v>
      </c>
      <c r="I177" s="20">
        <v>5</v>
      </c>
      <c r="J177" s="20">
        <v>16.7</v>
      </c>
    </row>
    <row r="178" spans="1:10" x14ac:dyDescent="0.3">
      <c r="A178" s="20">
        <v>51</v>
      </c>
      <c r="B178" s="20">
        <v>84.05</v>
      </c>
      <c r="C178" s="20">
        <v>20</v>
      </c>
      <c r="D178" s="20">
        <v>16.600000000000001</v>
      </c>
      <c r="E178" s="20">
        <v>5</v>
      </c>
      <c r="G178" s="20">
        <v>51</v>
      </c>
      <c r="H178" s="20">
        <v>20</v>
      </c>
      <c r="I178" s="20">
        <v>5</v>
      </c>
      <c r="J178" s="20">
        <v>16.600000000000001</v>
      </c>
    </row>
    <row r="179" spans="1:10" x14ac:dyDescent="0.3">
      <c r="A179" s="20">
        <v>89</v>
      </c>
      <c r="B179" s="20">
        <v>71.2</v>
      </c>
      <c r="C179" s="20">
        <v>37</v>
      </c>
      <c r="D179" s="20">
        <v>12.4</v>
      </c>
      <c r="E179" s="20">
        <v>3</v>
      </c>
      <c r="G179" s="20">
        <v>89</v>
      </c>
      <c r="H179" s="20">
        <v>37</v>
      </c>
      <c r="I179" s="20">
        <v>3</v>
      </c>
      <c r="J179" s="20">
        <v>12.4</v>
      </c>
    </row>
    <row r="180" spans="1:10" x14ac:dyDescent="0.3">
      <c r="A180" s="20">
        <v>51</v>
      </c>
      <c r="B180" s="20">
        <v>90.67</v>
      </c>
      <c r="C180" s="20">
        <v>21</v>
      </c>
      <c r="D180" s="20">
        <v>19</v>
      </c>
      <c r="E180" s="20">
        <v>6</v>
      </c>
      <c r="G180" s="20">
        <v>51</v>
      </c>
      <c r="H180" s="20">
        <v>21</v>
      </c>
      <c r="I180" s="20">
        <v>6</v>
      </c>
      <c r="J180" s="20">
        <v>19</v>
      </c>
    </row>
    <row r="181" spans="1:10" x14ac:dyDescent="0.3">
      <c r="A181" s="20">
        <v>87</v>
      </c>
      <c r="B181" s="20">
        <v>76.92</v>
      </c>
      <c r="C181" s="20">
        <v>35</v>
      </c>
      <c r="D181" s="20">
        <v>14.4</v>
      </c>
      <c r="E181" s="20">
        <v>4</v>
      </c>
      <c r="G181" s="20">
        <v>87</v>
      </c>
      <c r="H181" s="20">
        <v>35</v>
      </c>
      <c r="I181" s="20">
        <v>4</v>
      </c>
      <c r="J181" s="20">
        <v>14.4</v>
      </c>
    </row>
    <row r="182" spans="1:10" x14ac:dyDescent="0.3">
      <c r="A182" s="20">
        <v>74</v>
      </c>
      <c r="B182" s="20">
        <v>51.59</v>
      </c>
      <c r="C182" s="20">
        <v>23</v>
      </c>
      <c r="D182" s="20">
        <v>5.6</v>
      </c>
      <c r="E182" s="20">
        <v>0</v>
      </c>
      <c r="G182" s="20">
        <v>74</v>
      </c>
      <c r="H182" s="20">
        <v>23</v>
      </c>
      <c r="I182" s="20">
        <v>0</v>
      </c>
      <c r="J182" s="20">
        <v>5.6</v>
      </c>
    </row>
    <row r="183" spans="1:10" x14ac:dyDescent="0.3">
      <c r="A183" s="20">
        <v>94</v>
      </c>
      <c r="B183" s="20">
        <v>90.65</v>
      </c>
      <c r="C183" s="20">
        <v>20</v>
      </c>
      <c r="D183" s="20">
        <v>19</v>
      </c>
      <c r="E183" s="20">
        <v>6</v>
      </c>
      <c r="G183" s="20">
        <v>94</v>
      </c>
      <c r="H183" s="20">
        <v>20</v>
      </c>
      <c r="I183" s="20">
        <v>6</v>
      </c>
      <c r="J183" s="20">
        <v>19</v>
      </c>
    </row>
    <row r="184" spans="1:10" x14ac:dyDescent="0.3">
      <c r="A184" s="20">
        <v>75</v>
      </c>
      <c r="B184" s="20">
        <v>51.57</v>
      </c>
      <c r="C184" s="20">
        <v>39</v>
      </c>
      <c r="D184" s="20">
        <v>5.5</v>
      </c>
      <c r="E184" s="20">
        <v>0</v>
      </c>
      <c r="G184" s="20">
        <v>75</v>
      </c>
      <c r="H184" s="20">
        <v>39</v>
      </c>
      <c r="I184" s="20">
        <v>0</v>
      </c>
      <c r="J184" s="20">
        <v>5.5</v>
      </c>
    </row>
    <row r="185" spans="1:10" x14ac:dyDescent="0.3">
      <c r="A185" s="20">
        <v>36</v>
      </c>
      <c r="B185" s="20">
        <v>76.88</v>
      </c>
      <c r="C185" s="20">
        <v>28</v>
      </c>
      <c r="D185" s="20">
        <v>14.4</v>
      </c>
      <c r="E185" s="20">
        <v>4</v>
      </c>
      <c r="G185" s="20">
        <v>36</v>
      </c>
      <c r="H185" s="20">
        <v>28</v>
      </c>
      <c r="I185" s="20">
        <v>4</v>
      </c>
      <c r="J185" s="20">
        <v>14.4</v>
      </c>
    </row>
    <row r="186" spans="1:10" x14ac:dyDescent="0.3">
      <c r="A186" s="20">
        <v>57</v>
      </c>
      <c r="B186" s="20">
        <v>83.92</v>
      </c>
      <c r="C186" s="20">
        <v>32</v>
      </c>
      <c r="D186" s="20">
        <v>16.5</v>
      </c>
      <c r="E186" s="20">
        <v>5</v>
      </c>
      <c r="G186" s="20">
        <v>57</v>
      </c>
      <c r="H186" s="20">
        <v>32</v>
      </c>
      <c r="I186" s="20">
        <v>5</v>
      </c>
      <c r="J186" s="20">
        <v>16.5</v>
      </c>
    </row>
    <row r="187" spans="1:10" x14ac:dyDescent="0.3">
      <c r="A187" s="20">
        <v>43</v>
      </c>
      <c r="B187" s="20">
        <v>90.53</v>
      </c>
      <c r="C187" s="20">
        <v>39</v>
      </c>
      <c r="D187" s="20">
        <v>18.899999999999999</v>
      </c>
      <c r="E187" s="20">
        <v>6</v>
      </c>
      <c r="G187" s="20">
        <v>43</v>
      </c>
      <c r="H187" s="20">
        <v>39</v>
      </c>
      <c r="I187" s="20">
        <v>6</v>
      </c>
      <c r="J187" s="20">
        <v>18.899999999999999</v>
      </c>
    </row>
    <row r="188" spans="1:10" x14ac:dyDescent="0.3">
      <c r="A188" s="20">
        <v>88</v>
      </c>
      <c r="B188" s="20">
        <v>65.11</v>
      </c>
      <c r="C188" s="20">
        <v>22</v>
      </c>
      <c r="D188" s="20">
        <v>10.3</v>
      </c>
      <c r="E188" s="20">
        <v>2</v>
      </c>
      <c r="G188" s="20">
        <v>88</v>
      </c>
      <c r="H188" s="20">
        <v>22</v>
      </c>
      <c r="I188" s="20">
        <v>2</v>
      </c>
      <c r="J188" s="20">
        <v>10.3</v>
      </c>
    </row>
    <row r="189" spans="1:10" x14ac:dyDescent="0.3">
      <c r="A189" s="20">
        <v>89</v>
      </c>
      <c r="B189" s="20">
        <v>65.03</v>
      </c>
      <c r="C189" s="20">
        <v>37</v>
      </c>
      <c r="D189" s="20">
        <v>10.3</v>
      </c>
      <c r="E189" s="20">
        <v>2</v>
      </c>
      <c r="G189" s="20">
        <v>89</v>
      </c>
      <c r="H189" s="20">
        <v>37</v>
      </c>
      <c r="I189" s="20">
        <v>2</v>
      </c>
      <c r="J189" s="20">
        <v>10.3</v>
      </c>
    </row>
    <row r="190" spans="1:10" x14ac:dyDescent="0.3">
      <c r="A190" s="20">
        <v>30</v>
      </c>
      <c r="B190" s="20">
        <v>64.81</v>
      </c>
      <c r="C190" s="20">
        <v>27</v>
      </c>
      <c r="D190" s="20">
        <v>10.3</v>
      </c>
      <c r="E190" s="20">
        <v>2</v>
      </c>
      <c r="G190" s="20">
        <v>30</v>
      </c>
      <c r="H190" s="20">
        <v>27</v>
      </c>
      <c r="I190" s="20">
        <v>2</v>
      </c>
      <c r="J190" s="20">
        <v>10.3</v>
      </c>
    </row>
    <row r="191" spans="1:10" x14ac:dyDescent="0.3">
      <c r="A191" s="20">
        <v>35</v>
      </c>
      <c r="B191" s="20">
        <v>83.65</v>
      </c>
      <c r="C191" s="20">
        <v>29</v>
      </c>
      <c r="D191" s="20">
        <v>16.399999999999999</v>
      </c>
      <c r="E191" s="20">
        <v>5</v>
      </c>
      <c r="G191" s="20">
        <v>35</v>
      </c>
      <c r="H191" s="20">
        <v>29</v>
      </c>
      <c r="I191" s="20">
        <v>5</v>
      </c>
      <c r="J191" s="20">
        <v>16.399999999999999</v>
      </c>
    </row>
    <row r="192" spans="1:10" x14ac:dyDescent="0.3">
      <c r="A192" s="20">
        <v>92</v>
      </c>
      <c r="B192" s="20">
        <v>83.53</v>
      </c>
      <c r="C192" s="20">
        <v>32</v>
      </c>
      <c r="D192" s="20">
        <v>16.399999999999999</v>
      </c>
      <c r="E192" s="20">
        <v>5</v>
      </c>
      <c r="G192" s="20">
        <v>92</v>
      </c>
      <c r="H192" s="20">
        <v>32</v>
      </c>
      <c r="I192" s="20">
        <v>5</v>
      </c>
      <c r="J192" s="20">
        <v>16.399999999999999</v>
      </c>
    </row>
    <row r="193" spans="1:10" x14ac:dyDescent="0.3">
      <c r="A193" s="20">
        <v>78</v>
      </c>
      <c r="B193" s="20">
        <v>76.510000000000005</v>
      </c>
      <c r="C193" s="20">
        <v>34</v>
      </c>
      <c r="D193" s="20">
        <v>14.4</v>
      </c>
      <c r="E193" s="20">
        <v>4</v>
      </c>
      <c r="G193" s="20">
        <v>78</v>
      </c>
      <c r="H193" s="20">
        <v>34</v>
      </c>
      <c r="I193" s="20">
        <v>4</v>
      </c>
      <c r="J193" s="20">
        <v>14.4</v>
      </c>
    </row>
    <row r="194" spans="1:10" x14ac:dyDescent="0.3">
      <c r="A194" s="20">
        <v>89</v>
      </c>
      <c r="B194" s="20">
        <v>51.54</v>
      </c>
      <c r="C194" s="20">
        <v>27</v>
      </c>
      <c r="D194" s="20">
        <v>5.5</v>
      </c>
      <c r="E194" s="20">
        <v>0</v>
      </c>
      <c r="G194" s="20">
        <v>89</v>
      </c>
      <c r="H194" s="20">
        <v>27</v>
      </c>
      <c r="I194" s="20">
        <v>0</v>
      </c>
      <c r="J194" s="20">
        <v>5.5</v>
      </c>
    </row>
    <row r="195" spans="1:10" x14ac:dyDescent="0.3">
      <c r="A195" s="20">
        <v>22</v>
      </c>
      <c r="B195" s="20">
        <v>76.48</v>
      </c>
      <c r="C195" s="20">
        <v>23</v>
      </c>
      <c r="D195" s="20">
        <v>14.4</v>
      </c>
      <c r="E195" s="20">
        <v>4</v>
      </c>
      <c r="G195" s="20">
        <v>22</v>
      </c>
      <c r="H195" s="20">
        <v>23</v>
      </c>
      <c r="I195" s="20">
        <v>4</v>
      </c>
      <c r="J195" s="20">
        <v>14.4</v>
      </c>
    </row>
    <row r="196" spans="1:10" x14ac:dyDescent="0.3">
      <c r="A196" s="20">
        <v>39</v>
      </c>
      <c r="B196" s="20">
        <v>76.47</v>
      </c>
      <c r="C196" s="20">
        <v>35</v>
      </c>
      <c r="D196" s="20">
        <v>14.3</v>
      </c>
      <c r="E196" s="20">
        <v>4</v>
      </c>
      <c r="G196" s="20">
        <v>39</v>
      </c>
      <c r="H196" s="20">
        <v>35</v>
      </c>
      <c r="I196" s="20">
        <v>4</v>
      </c>
      <c r="J196" s="20">
        <v>14.3</v>
      </c>
    </row>
    <row r="197" spans="1:10" x14ac:dyDescent="0.3">
      <c r="A197" s="20">
        <v>78</v>
      </c>
      <c r="B197" s="20">
        <v>83.45</v>
      </c>
      <c r="C197" s="20">
        <v>30</v>
      </c>
      <c r="D197" s="20">
        <v>16.3</v>
      </c>
      <c r="E197" s="20">
        <v>5</v>
      </c>
      <c r="G197" s="20">
        <v>78</v>
      </c>
      <c r="H197" s="20">
        <v>30</v>
      </c>
      <c r="I197" s="20">
        <v>5</v>
      </c>
      <c r="J197" s="20">
        <v>16.3</v>
      </c>
    </row>
    <row r="198" spans="1:10" x14ac:dyDescent="0.3">
      <c r="A198" s="20">
        <v>55</v>
      </c>
      <c r="B198" s="20">
        <v>64.69</v>
      </c>
      <c r="C198" s="20">
        <v>20</v>
      </c>
      <c r="D198" s="20">
        <v>10.1</v>
      </c>
      <c r="E198" s="20">
        <v>2</v>
      </c>
      <c r="G198" s="20">
        <v>55</v>
      </c>
      <c r="H198" s="20">
        <v>20</v>
      </c>
      <c r="I198" s="20">
        <v>2</v>
      </c>
      <c r="J198" s="20">
        <v>10.1</v>
      </c>
    </row>
    <row r="199" spans="1:10" x14ac:dyDescent="0.3">
      <c r="A199" s="20">
        <v>38</v>
      </c>
      <c r="B199" s="20">
        <v>57.08</v>
      </c>
      <c r="C199" s="20">
        <v>27</v>
      </c>
      <c r="D199" s="20">
        <v>7.1</v>
      </c>
      <c r="E199" s="20">
        <v>1</v>
      </c>
      <c r="G199" s="20">
        <v>38</v>
      </c>
      <c r="H199" s="20">
        <v>27</v>
      </c>
      <c r="I199" s="20">
        <v>1</v>
      </c>
      <c r="J199" s="20">
        <v>7.1</v>
      </c>
    </row>
    <row r="200" spans="1:10" x14ac:dyDescent="0.3">
      <c r="A200" s="20">
        <v>86</v>
      </c>
      <c r="B200" s="20">
        <v>50.83</v>
      </c>
      <c r="C200" s="20">
        <v>31</v>
      </c>
      <c r="D200" s="20">
        <v>5.4</v>
      </c>
      <c r="E200" s="20">
        <v>0</v>
      </c>
      <c r="G200" s="20">
        <v>86</v>
      </c>
      <c r="H200" s="20">
        <v>31</v>
      </c>
      <c r="I200" s="20">
        <v>0</v>
      </c>
      <c r="J200" s="20">
        <v>5.4</v>
      </c>
    </row>
    <row r="201" spans="1:10" x14ac:dyDescent="0.3">
      <c r="A201" s="20">
        <v>38</v>
      </c>
      <c r="B201" s="20">
        <v>83.38</v>
      </c>
      <c r="C201" s="20">
        <v>23</v>
      </c>
      <c r="D201" s="20">
        <v>16.3</v>
      </c>
      <c r="E201" s="20">
        <v>5</v>
      </c>
      <c r="G201" s="20">
        <v>38</v>
      </c>
      <c r="H201" s="20">
        <v>23</v>
      </c>
      <c r="I201" s="20">
        <v>5</v>
      </c>
      <c r="J201" s="20">
        <v>16.3</v>
      </c>
    </row>
    <row r="202" spans="1:10" x14ac:dyDescent="0.3">
      <c r="A202" s="20">
        <v>39</v>
      </c>
      <c r="B202" s="20">
        <v>64.16</v>
      </c>
      <c r="C202" s="20">
        <v>20</v>
      </c>
      <c r="D202" s="20">
        <v>10.1</v>
      </c>
      <c r="E202" s="20">
        <v>2</v>
      </c>
      <c r="G202" s="20">
        <v>39</v>
      </c>
      <c r="H202" s="20">
        <v>20</v>
      </c>
      <c r="I202" s="20">
        <v>2</v>
      </c>
      <c r="J202" s="20">
        <v>10.1</v>
      </c>
    </row>
    <row r="203" spans="1:10" x14ac:dyDescent="0.3">
      <c r="A203" s="20">
        <v>90</v>
      </c>
      <c r="B203" s="20">
        <v>90.38</v>
      </c>
      <c r="C203" s="20">
        <v>33</v>
      </c>
      <c r="D203" s="20">
        <v>18.7</v>
      </c>
      <c r="E203" s="20">
        <v>6</v>
      </c>
      <c r="G203" s="20">
        <v>90</v>
      </c>
      <c r="H203" s="20">
        <v>33</v>
      </c>
      <c r="I203" s="20">
        <v>6</v>
      </c>
      <c r="J203" s="20">
        <v>18.7</v>
      </c>
    </row>
    <row r="204" spans="1:10" x14ac:dyDescent="0.3">
      <c r="A204" s="20">
        <v>71</v>
      </c>
      <c r="B204" s="20">
        <v>56.96</v>
      </c>
      <c r="C204" s="20">
        <v>24</v>
      </c>
      <c r="D204" s="20">
        <v>7.1</v>
      </c>
      <c r="E204" s="20">
        <v>1</v>
      </c>
      <c r="G204" s="20">
        <v>71</v>
      </c>
      <c r="H204" s="20">
        <v>24</v>
      </c>
      <c r="I204" s="20">
        <v>1</v>
      </c>
      <c r="J204" s="20">
        <v>7.1</v>
      </c>
    </row>
    <row r="205" spans="1:10" x14ac:dyDescent="0.3">
      <c r="A205" s="20">
        <v>52</v>
      </c>
      <c r="B205" s="20">
        <v>56.3</v>
      </c>
      <c r="C205" s="20">
        <v>37</v>
      </c>
      <c r="D205" s="20">
        <v>6.9</v>
      </c>
      <c r="E205" s="20">
        <v>1</v>
      </c>
      <c r="G205" s="20">
        <v>52</v>
      </c>
      <c r="H205" s="20">
        <v>37</v>
      </c>
      <c r="I205" s="20">
        <v>1</v>
      </c>
      <c r="J205" s="20">
        <v>6.9</v>
      </c>
    </row>
    <row r="206" spans="1:10" x14ac:dyDescent="0.3">
      <c r="A206" s="20">
        <v>59</v>
      </c>
      <c r="B206" s="20">
        <v>83.2</v>
      </c>
      <c r="C206" s="20">
        <v>31</v>
      </c>
      <c r="D206" s="20">
        <v>16.3</v>
      </c>
      <c r="E206" s="20">
        <v>5</v>
      </c>
      <c r="G206" s="20">
        <v>59</v>
      </c>
      <c r="H206" s="20">
        <v>31</v>
      </c>
      <c r="I206" s="20">
        <v>5</v>
      </c>
      <c r="J206" s="20">
        <v>16.3</v>
      </c>
    </row>
    <row r="207" spans="1:10" x14ac:dyDescent="0.3">
      <c r="A207" s="20">
        <v>58</v>
      </c>
      <c r="B207" s="20">
        <v>71.03</v>
      </c>
      <c r="C207" s="20">
        <v>26</v>
      </c>
      <c r="D207" s="20">
        <v>12.4</v>
      </c>
      <c r="E207" s="20">
        <v>3</v>
      </c>
      <c r="G207" s="20">
        <v>58</v>
      </c>
      <c r="H207" s="20">
        <v>26</v>
      </c>
      <c r="I207" s="20">
        <v>3</v>
      </c>
      <c r="J207" s="20">
        <v>12.4</v>
      </c>
    </row>
    <row r="208" spans="1:10" x14ac:dyDescent="0.3">
      <c r="A208" s="20">
        <v>20</v>
      </c>
      <c r="B208" s="20">
        <v>50.43</v>
      </c>
      <c r="C208" s="20">
        <v>32</v>
      </c>
      <c r="D208" s="20">
        <v>5.4</v>
      </c>
      <c r="E208" s="20">
        <v>0</v>
      </c>
      <c r="G208" s="20">
        <v>20</v>
      </c>
      <c r="H208" s="20">
        <v>32</v>
      </c>
      <c r="I208" s="20">
        <v>0</v>
      </c>
      <c r="J208" s="20">
        <v>5.4</v>
      </c>
    </row>
    <row r="209" spans="1:10" x14ac:dyDescent="0.3">
      <c r="A209" s="20">
        <v>30</v>
      </c>
      <c r="B209" s="20">
        <v>56.08</v>
      </c>
      <c r="C209" s="20">
        <v>38</v>
      </c>
      <c r="D209" s="20">
        <v>6.8</v>
      </c>
      <c r="E209" s="20">
        <v>1</v>
      </c>
      <c r="G209" s="20">
        <v>30</v>
      </c>
      <c r="H209" s="20">
        <v>38</v>
      </c>
      <c r="I209" s="20">
        <v>1</v>
      </c>
      <c r="J209" s="20">
        <v>6.8</v>
      </c>
    </row>
    <row r="210" spans="1:10" x14ac:dyDescent="0.3">
      <c r="A210" s="20">
        <v>76</v>
      </c>
      <c r="B210" s="20">
        <v>83.08</v>
      </c>
      <c r="C210" s="20">
        <v>20</v>
      </c>
      <c r="D210" s="20">
        <v>16.3</v>
      </c>
      <c r="E210" s="20">
        <v>5</v>
      </c>
      <c r="G210" s="20">
        <v>76</v>
      </c>
      <c r="H210" s="20">
        <v>20</v>
      </c>
      <c r="I210" s="20">
        <v>5</v>
      </c>
      <c r="J210" s="20">
        <v>16.3</v>
      </c>
    </row>
    <row r="211" spans="1:10" x14ac:dyDescent="0.3">
      <c r="A211" s="20">
        <v>69</v>
      </c>
      <c r="B211" s="20">
        <v>83.03</v>
      </c>
      <c r="C211" s="20">
        <v>19</v>
      </c>
      <c r="D211" s="20">
        <v>16.3</v>
      </c>
      <c r="E211" s="20">
        <v>5</v>
      </c>
      <c r="G211" s="20">
        <v>69</v>
      </c>
      <c r="H211" s="20">
        <v>19</v>
      </c>
      <c r="I211" s="20">
        <v>5</v>
      </c>
      <c r="J211" s="20">
        <v>16.3</v>
      </c>
    </row>
    <row r="212" spans="1:10" x14ac:dyDescent="0.3">
      <c r="A212" s="20">
        <v>42</v>
      </c>
      <c r="B212" s="20">
        <v>64.08</v>
      </c>
      <c r="C212" s="20">
        <v>19</v>
      </c>
      <c r="D212" s="20">
        <v>9.9</v>
      </c>
      <c r="E212" s="20">
        <v>2</v>
      </c>
      <c r="G212" s="20">
        <v>42</v>
      </c>
      <c r="H212" s="20">
        <v>19</v>
      </c>
      <c r="I212" s="20">
        <v>2</v>
      </c>
      <c r="J212" s="20">
        <v>9.9</v>
      </c>
    </row>
    <row r="213" spans="1:10" x14ac:dyDescent="0.3">
      <c r="A213" s="20">
        <v>50</v>
      </c>
      <c r="B213" s="20">
        <v>90.27</v>
      </c>
      <c r="C213" s="20">
        <v>20</v>
      </c>
      <c r="D213" s="20">
        <v>18.7</v>
      </c>
      <c r="E213" s="20">
        <v>6</v>
      </c>
      <c r="G213" s="20">
        <v>50</v>
      </c>
      <c r="H213" s="20">
        <v>20</v>
      </c>
      <c r="I213" s="20">
        <v>6</v>
      </c>
      <c r="J213" s="20">
        <v>18.7</v>
      </c>
    </row>
    <row r="214" spans="1:10" x14ac:dyDescent="0.3">
      <c r="A214" s="20">
        <v>61</v>
      </c>
      <c r="B214" s="20">
        <v>70.95</v>
      </c>
      <c r="C214" s="20">
        <v>35</v>
      </c>
      <c r="D214" s="20">
        <v>12.4</v>
      </c>
      <c r="E214" s="20">
        <v>3</v>
      </c>
      <c r="G214" s="20">
        <v>61</v>
      </c>
      <c r="H214" s="20">
        <v>35</v>
      </c>
      <c r="I214" s="20">
        <v>3</v>
      </c>
      <c r="J214" s="20">
        <v>12.4</v>
      </c>
    </row>
    <row r="215" spans="1:10" x14ac:dyDescent="0.3">
      <c r="A215" s="20">
        <v>26</v>
      </c>
      <c r="B215" s="20">
        <v>50.41</v>
      </c>
      <c r="C215" s="20">
        <v>31</v>
      </c>
      <c r="D215" s="20">
        <v>5.4</v>
      </c>
      <c r="E215" s="20">
        <v>0</v>
      </c>
      <c r="G215" s="20">
        <v>26</v>
      </c>
      <c r="H215" s="20">
        <v>31</v>
      </c>
      <c r="I215" s="20">
        <v>0</v>
      </c>
      <c r="J215" s="20">
        <v>5.4</v>
      </c>
    </row>
    <row r="216" spans="1:10" x14ac:dyDescent="0.3">
      <c r="A216" s="20">
        <v>35</v>
      </c>
      <c r="B216" s="20">
        <v>76.13</v>
      </c>
      <c r="C216" s="20">
        <v>37</v>
      </c>
      <c r="D216" s="20">
        <v>14.3</v>
      </c>
      <c r="E216" s="20">
        <v>4</v>
      </c>
      <c r="G216" s="20">
        <v>35</v>
      </c>
      <c r="H216" s="20">
        <v>37</v>
      </c>
      <c r="I216" s="20">
        <v>4</v>
      </c>
      <c r="J216" s="20">
        <v>14.3</v>
      </c>
    </row>
    <row r="217" spans="1:10" x14ac:dyDescent="0.3">
      <c r="A217" s="20">
        <v>79</v>
      </c>
      <c r="B217" s="20">
        <v>90.25</v>
      </c>
      <c r="C217" s="20">
        <v>35</v>
      </c>
      <c r="D217" s="20">
        <v>18.7</v>
      </c>
      <c r="E217" s="20">
        <v>6</v>
      </c>
      <c r="G217" s="20">
        <v>79</v>
      </c>
      <c r="H217" s="20">
        <v>35</v>
      </c>
      <c r="I217" s="20">
        <v>6</v>
      </c>
      <c r="J217" s="20">
        <v>18.7</v>
      </c>
    </row>
    <row r="218" spans="1:10" x14ac:dyDescent="0.3">
      <c r="A218" s="20">
        <v>21</v>
      </c>
      <c r="B218" s="20">
        <v>89.82</v>
      </c>
      <c r="C218" s="20">
        <v>27</v>
      </c>
      <c r="D218" s="20">
        <v>18.600000000000001</v>
      </c>
      <c r="E218" s="20">
        <v>6</v>
      </c>
      <c r="G218" s="20">
        <v>21</v>
      </c>
      <c r="H218" s="20">
        <v>27</v>
      </c>
      <c r="I218" s="20">
        <v>6</v>
      </c>
      <c r="J218" s="20">
        <v>18.600000000000001</v>
      </c>
    </row>
    <row r="219" spans="1:10" x14ac:dyDescent="0.3">
      <c r="A219" s="20">
        <v>20</v>
      </c>
      <c r="B219" s="20">
        <v>63.37</v>
      </c>
      <c r="C219" s="20">
        <v>19</v>
      </c>
      <c r="D219" s="20">
        <v>9.8000000000000007</v>
      </c>
      <c r="E219" s="20">
        <v>2</v>
      </c>
      <c r="G219" s="20">
        <v>20</v>
      </c>
      <c r="H219" s="20">
        <v>19</v>
      </c>
      <c r="I219" s="20">
        <v>2</v>
      </c>
      <c r="J219" s="20">
        <v>9.8000000000000007</v>
      </c>
    </row>
    <row r="220" spans="1:10" x14ac:dyDescent="0.3">
      <c r="A220" s="20">
        <v>67</v>
      </c>
      <c r="B220" s="20">
        <v>55.95</v>
      </c>
      <c r="C220" s="20">
        <v>39</v>
      </c>
      <c r="D220" s="20">
        <v>6.8</v>
      </c>
      <c r="E220" s="20">
        <v>1</v>
      </c>
      <c r="G220" s="20">
        <v>67</v>
      </c>
      <c r="H220" s="20">
        <v>39</v>
      </c>
      <c r="I220" s="20">
        <v>1</v>
      </c>
      <c r="J220" s="20">
        <v>6.8</v>
      </c>
    </row>
    <row r="221" spans="1:10" x14ac:dyDescent="0.3">
      <c r="A221" s="20">
        <v>31</v>
      </c>
      <c r="B221" s="20">
        <v>55.78</v>
      </c>
      <c r="C221" s="20">
        <v>18</v>
      </c>
      <c r="D221" s="20">
        <v>6.8</v>
      </c>
      <c r="E221" s="20">
        <v>1</v>
      </c>
      <c r="G221" s="20">
        <v>31</v>
      </c>
      <c r="H221" s="20">
        <v>18</v>
      </c>
      <c r="I221" s="20">
        <v>1</v>
      </c>
      <c r="J221" s="20">
        <v>6.8</v>
      </c>
    </row>
    <row r="222" spans="1:10" x14ac:dyDescent="0.3">
      <c r="A222" s="20">
        <v>88</v>
      </c>
      <c r="B222" s="20">
        <v>62.75</v>
      </c>
      <c r="C222" s="20">
        <v>21</v>
      </c>
      <c r="D222" s="20">
        <v>9.8000000000000007</v>
      </c>
      <c r="E222" s="20">
        <v>2</v>
      </c>
      <c r="G222" s="20">
        <v>88</v>
      </c>
      <c r="H222" s="20">
        <v>21</v>
      </c>
      <c r="I222" s="20">
        <v>2</v>
      </c>
      <c r="J222" s="20">
        <v>9.8000000000000007</v>
      </c>
    </row>
    <row r="223" spans="1:10" x14ac:dyDescent="0.3">
      <c r="A223" s="20">
        <v>56</v>
      </c>
      <c r="B223" s="20">
        <v>82.95</v>
      </c>
      <c r="C223" s="20">
        <v>31</v>
      </c>
      <c r="D223" s="20">
        <v>16.2</v>
      </c>
      <c r="E223" s="20">
        <v>5</v>
      </c>
      <c r="G223" s="20">
        <v>56</v>
      </c>
      <c r="H223" s="20">
        <v>31</v>
      </c>
      <c r="I223" s="20">
        <v>5</v>
      </c>
      <c r="J223" s="20">
        <v>16.2</v>
      </c>
    </row>
    <row r="224" spans="1:10" x14ac:dyDescent="0.3">
      <c r="A224" s="20">
        <v>51</v>
      </c>
      <c r="B224" s="20">
        <v>55.6</v>
      </c>
      <c r="C224" s="20">
        <v>18</v>
      </c>
      <c r="D224" s="20">
        <v>6.8</v>
      </c>
      <c r="E224" s="20">
        <v>1</v>
      </c>
      <c r="G224" s="20">
        <v>51</v>
      </c>
      <c r="H224" s="20">
        <v>18</v>
      </c>
      <c r="I224" s="20">
        <v>1</v>
      </c>
      <c r="J224" s="20">
        <v>6.8</v>
      </c>
    </row>
    <row r="225" spans="1:10" x14ac:dyDescent="0.3">
      <c r="A225" s="20">
        <v>28</v>
      </c>
      <c r="B225" s="20">
        <v>70.849999999999994</v>
      </c>
      <c r="C225" s="20">
        <v>31</v>
      </c>
      <c r="D225" s="20">
        <v>12.1</v>
      </c>
      <c r="E225" s="20">
        <v>3</v>
      </c>
      <c r="G225" s="20">
        <v>28</v>
      </c>
      <c r="H225" s="20">
        <v>31</v>
      </c>
      <c r="I225" s="20">
        <v>3</v>
      </c>
      <c r="J225" s="20">
        <v>12.1</v>
      </c>
    </row>
    <row r="226" spans="1:10" x14ac:dyDescent="0.3">
      <c r="A226" s="20">
        <v>38</v>
      </c>
      <c r="B226" s="20">
        <v>50.24</v>
      </c>
      <c r="C226" s="20">
        <v>33</v>
      </c>
      <c r="D226" s="20">
        <v>5.3</v>
      </c>
      <c r="E226" s="20">
        <v>0</v>
      </c>
      <c r="G226" s="20">
        <v>38</v>
      </c>
      <c r="H226" s="20">
        <v>33</v>
      </c>
      <c r="I226" s="20">
        <v>0</v>
      </c>
      <c r="J226" s="20">
        <v>5.3</v>
      </c>
    </row>
    <row r="227" spans="1:10" x14ac:dyDescent="0.3">
      <c r="A227" s="20">
        <v>67</v>
      </c>
      <c r="B227" s="20">
        <v>89.79</v>
      </c>
      <c r="C227" s="20">
        <v>39</v>
      </c>
      <c r="D227" s="20">
        <v>18.600000000000001</v>
      </c>
      <c r="E227" s="20">
        <v>6</v>
      </c>
      <c r="G227" s="20">
        <v>67</v>
      </c>
      <c r="H227" s="20">
        <v>39</v>
      </c>
      <c r="I227" s="20">
        <v>6</v>
      </c>
      <c r="J227" s="20">
        <v>18.600000000000001</v>
      </c>
    </row>
    <row r="228" spans="1:10" x14ac:dyDescent="0.3">
      <c r="A228" s="20">
        <v>22</v>
      </c>
      <c r="B228" s="20">
        <v>89.73</v>
      </c>
      <c r="C228" s="20">
        <v>31</v>
      </c>
      <c r="D228" s="20">
        <v>18.600000000000001</v>
      </c>
      <c r="E228" s="20">
        <v>6</v>
      </c>
      <c r="G228" s="20">
        <v>22</v>
      </c>
      <c r="H228" s="20">
        <v>31</v>
      </c>
      <c r="I228" s="20">
        <v>6</v>
      </c>
      <c r="J228" s="20">
        <v>18.600000000000001</v>
      </c>
    </row>
    <row r="229" spans="1:10" x14ac:dyDescent="0.3">
      <c r="A229" s="20">
        <v>39</v>
      </c>
      <c r="B229" s="20">
        <v>70.790000000000006</v>
      </c>
      <c r="C229" s="20">
        <v>37</v>
      </c>
      <c r="D229" s="20">
        <v>12.1</v>
      </c>
      <c r="E229" s="20">
        <v>3</v>
      </c>
      <c r="G229" s="20">
        <v>39</v>
      </c>
      <c r="H229" s="20">
        <v>37</v>
      </c>
      <c r="I229" s="20">
        <v>3</v>
      </c>
      <c r="J229" s="20">
        <v>12.1</v>
      </c>
    </row>
    <row r="230" spans="1:10" x14ac:dyDescent="0.3">
      <c r="A230" s="20">
        <v>43</v>
      </c>
      <c r="B230" s="20">
        <v>55.42</v>
      </c>
      <c r="C230" s="20">
        <v>20</v>
      </c>
      <c r="D230" s="20">
        <v>6.7</v>
      </c>
      <c r="E230" s="20">
        <v>1</v>
      </c>
      <c r="G230" s="20">
        <v>43</v>
      </c>
      <c r="H230" s="20">
        <v>20</v>
      </c>
      <c r="I230" s="20">
        <v>1</v>
      </c>
      <c r="J230" s="20">
        <v>6.7</v>
      </c>
    </row>
    <row r="231" spans="1:10" x14ac:dyDescent="0.3">
      <c r="A231" s="20">
        <v>73</v>
      </c>
      <c r="B231" s="20">
        <v>89.67</v>
      </c>
      <c r="C231" s="20">
        <v>20</v>
      </c>
      <c r="D231" s="20">
        <v>18.5</v>
      </c>
      <c r="E231" s="20">
        <v>6</v>
      </c>
      <c r="G231" s="20">
        <v>73</v>
      </c>
      <c r="H231" s="20">
        <v>20</v>
      </c>
      <c r="I231" s="20">
        <v>6</v>
      </c>
      <c r="J231" s="20">
        <v>18.5</v>
      </c>
    </row>
    <row r="232" spans="1:10" x14ac:dyDescent="0.3">
      <c r="A232" s="20">
        <v>52</v>
      </c>
      <c r="B232" s="20">
        <v>75.8</v>
      </c>
      <c r="C232" s="20">
        <v>26</v>
      </c>
      <c r="D232" s="20">
        <v>14.3</v>
      </c>
      <c r="E232" s="20">
        <v>4</v>
      </c>
      <c r="G232" s="20">
        <v>52</v>
      </c>
      <c r="H232" s="20">
        <v>26</v>
      </c>
      <c r="I232" s="20">
        <v>4</v>
      </c>
      <c r="J232" s="20">
        <v>14.3</v>
      </c>
    </row>
    <row r="233" spans="1:10" x14ac:dyDescent="0.3">
      <c r="A233" s="20">
        <v>43</v>
      </c>
      <c r="B233" s="20">
        <v>50.23</v>
      </c>
      <c r="C233" s="20">
        <v>23</v>
      </c>
      <c r="D233" s="20">
        <v>5.3</v>
      </c>
      <c r="E233" s="20">
        <v>0</v>
      </c>
      <c r="G233" s="20">
        <v>43</v>
      </c>
      <c r="H233" s="20">
        <v>23</v>
      </c>
      <c r="I233" s="20">
        <v>0</v>
      </c>
      <c r="J233" s="20">
        <v>5.3</v>
      </c>
    </row>
    <row r="234" spans="1:10" x14ac:dyDescent="0.3">
      <c r="A234" s="20">
        <v>94</v>
      </c>
      <c r="B234" s="20">
        <v>50.23</v>
      </c>
      <c r="C234" s="20">
        <v>30</v>
      </c>
      <c r="D234" s="20">
        <v>5.2</v>
      </c>
      <c r="E234" s="20">
        <v>0</v>
      </c>
      <c r="G234" s="20">
        <v>94</v>
      </c>
      <c r="H234" s="20">
        <v>30</v>
      </c>
      <c r="I234" s="20">
        <v>0</v>
      </c>
      <c r="J234" s="20">
        <v>5.2</v>
      </c>
    </row>
    <row r="235" spans="1:10" x14ac:dyDescent="0.3">
      <c r="A235" s="20">
        <v>91</v>
      </c>
      <c r="B235" s="20">
        <v>89.56</v>
      </c>
      <c r="C235" s="20">
        <v>38</v>
      </c>
      <c r="D235" s="20">
        <v>18.5</v>
      </c>
      <c r="E235" s="20">
        <v>6</v>
      </c>
      <c r="G235" s="20">
        <v>91</v>
      </c>
      <c r="H235" s="20">
        <v>38</v>
      </c>
      <c r="I235" s="20">
        <v>6</v>
      </c>
      <c r="J235" s="20">
        <v>18.5</v>
      </c>
    </row>
    <row r="236" spans="1:10" x14ac:dyDescent="0.3">
      <c r="A236" s="20">
        <v>55</v>
      </c>
      <c r="B236" s="20">
        <v>62.66</v>
      </c>
      <c r="C236" s="20">
        <v>19</v>
      </c>
      <c r="D236" s="20">
        <v>9.8000000000000007</v>
      </c>
      <c r="E236" s="20">
        <v>2</v>
      </c>
      <c r="G236" s="20">
        <v>55</v>
      </c>
      <c r="H236" s="20">
        <v>19</v>
      </c>
      <c r="I236" s="20">
        <v>2</v>
      </c>
      <c r="J236" s="20">
        <v>9.8000000000000007</v>
      </c>
    </row>
    <row r="237" spans="1:10" x14ac:dyDescent="0.3">
      <c r="A237" s="20">
        <v>57</v>
      </c>
      <c r="B237" s="20">
        <v>89.45</v>
      </c>
      <c r="C237" s="20">
        <v>25</v>
      </c>
      <c r="D237" s="20">
        <v>18.399999999999999</v>
      </c>
      <c r="E237" s="20">
        <v>6</v>
      </c>
      <c r="G237" s="20">
        <v>57</v>
      </c>
      <c r="H237" s="20">
        <v>25</v>
      </c>
      <c r="I237" s="20">
        <v>6</v>
      </c>
      <c r="J237" s="20">
        <v>18.399999999999999</v>
      </c>
    </row>
    <row r="238" spans="1:10" x14ac:dyDescent="0.3">
      <c r="A238" s="20">
        <v>44</v>
      </c>
      <c r="B238" s="20">
        <v>62.48</v>
      </c>
      <c r="C238" s="20">
        <v>38</v>
      </c>
      <c r="D238" s="20">
        <v>9.8000000000000007</v>
      </c>
      <c r="E238" s="20">
        <v>2</v>
      </c>
      <c r="G238" s="20">
        <v>44</v>
      </c>
      <c r="H238" s="20">
        <v>38</v>
      </c>
      <c r="I238" s="20">
        <v>2</v>
      </c>
      <c r="J238" s="20">
        <v>9.8000000000000007</v>
      </c>
    </row>
    <row r="239" spans="1:10" x14ac:dyDescent="0.3">
      <c r="A239" s="20">
        <v>37</v>
      </c>
      <c r="B239" s="20">
        <v>89.07</v>
      </c>
      <c r="C239" s="20">
        <v>19</v>
      </c>
      <c r="D239" s="20">
        <v>18.399999999999999</v>
      </c>
      <c r="E239" s="20">
        <v>6</v>
      </c>
      <c r="G239" s="20">
        <v>37</v>
      </c>
      <c r="H239" s="20">
        <v>19</v>
      </c>
      <c r="I239" s="20">
        <v>6</v>
      </c>
      <c r="J239" s="20">
        <v>18.399999999999999</v>
      </c>
    </row>
    <row r="240" spans="1:10" x14ac:dyDescent="0.3">
      <c r="A240" s="20">
        <v>85</v>
      </c>
      <c r="B240" s="20">
        <v>75.760000000000005</v>
      </c>
      <c r="C240" s="20">
        <v>21</v>
      </c>
      <c r="D240" s="20">
        <v>14.2</v>
      </c>
      <c r="E240" s="20">
        <v>4</v>
      </c>
      <c r="G240" s="20">
        <v>85</v>
      </c>
      <c r="H240" s="20">
        <v>21</v>
      </c>
      <c r="I240" s="20">
        <v>4</v>
      </c>
      <c r="J240" s="20">
        <v>14.2</v>
      </c>
    </row>
    <row r="241" spans="1:10" x14ac:dyDescent="0.3">
      <c r="A241" s="20">
        <v>73</v>
      </c>
      <c r="B241" s="20">
        <v>82.95</v>
      </c>
      <c r="C241" s="20">
        <v>32</v>
      </c>
      <c r="D241" s="20">
        <v>16.100000000000001</v>
      </c>
      <c r="E241" s="20">
        <v>5</v>
      </c>
      <c r="G241" s="20">
        <v>73</v>
      </c>
      <c r="H241" s="20">
        <v>32</v>
      </c>
      <c r="I241" s="20">
        <v>5</v>
      </c>
      <c r="J241" s="20">
        <v>16.100000000000001</v>
      </c>
    </row>
    <row r="242" spans="1:10" x14ac:dyDescent="0.3">
      <c r="A242" s="20">
        <v>54</v>
      </c>
      <c r="B242" s="20">
        <v>50.15</v>
      </c>
      <c r="C242" s="20">
        <v>21</v>
      </c>
      <c r="D242" s="20">
        <v>5.2</v>
      </c>
      <c r="E242" s="20">
        <v>0</v>
      </c>
      <c r="G242" s="20">
        <v>54</v>
      </c>
      <c r="H242" s="20">
        <v>21</v>
      </c>
      <c r="I242" s="20">
        <v>0</v>
      </c>
      <c r="J242" s="20">
        <v>5.2</v>
      </c>
    </row>
    <row r="243" spans="1:10" x14ac:dyDescent="0.3">
      <c r="A243" s="20">
        <v>80</v>
      </c>
      <c r="B243" s="20">
        <v>88.9</v>
      </c>
      <c r="C243" s="20">
        <v>30</v>
      </c>
      <c r="D243" s="20">
        <v>18.399999999999999</v>
      </c>
      <c r="E243" s="20">
        <v>6</v>
      </c>
      <c r="G243" s="20">
        <v>80</v>
      </c>
      <c r="H243" s="20">
        <v>30</v>
      </c>
      <c r="I243" s="20">
        <v>6</v>
      </c>
      <c r="J243" s="20">
        <v>18.399999999999999</v>
      </c>
    </row>
    <row r="244" spans="1:10" x14ac:dyDescent="0.3">
      <c r="A244" s="20">
        <v>60</v>
      </c>
      <c r="B244" s="20">
        <v>75.709999999999994</v>
      </c>
      <c r="C244" s="20">
        <v>29</v>
      </c>
      <c r="D244" s="20">
        <v>14.2</v>
      </c>
      <c r="E244" s="20">
        <v>4</v>
      </c>
      <c r="G244" s="20">
        <v>60</v>
      </c>
      <c r="H244" s="20">
        <v>29</v>
      </c>
      <c r="I244" s="20">
        <v>4</v>
      </c>
      <c r="J244" s="20">
        <v>14.2</v>
      </c>
    </row>
    <row r="245" spans="1:10" x14ac:dyDescent="0.3">
      <c r="A245" s="20">
        <v>52</v>
      </c>
      <c r="B245" s="20">
        <v>62.28</v>
      </c>
      <c r="C245" s="20">
        <v>30</v>
      </c>
      <c r="D245" s="20">
        <v>9.8000000000000007</v>
      </c>
      <c r="E245" s="20">
        <v>2</v>
      </c>
      <c r="G245" s="20">
        <v>52</v>
      </c>
      <c r="H245" s="20">
        <v>30</v>
      </c>
      <c r="I245" s="20">
        <v>2</v>
      </c>
      <c r="J245" s="20">
        <v>9.8000000000000007</v>
      </c>
    </row>
    <row r="246" spans="1:10" x14ac:dyDescent="0.3">
      <c r="A246" s="20">
        <v>87</v>
      </c>
      <c r="B246" s="20">
        <v>62.23</v>
      </c>
      <c r="C246" s="20">
        <v>31</v>
      </c>
      <c r="D246" s="20">
        <v>9.6</v>
      </c>
      <c r="E246" s="20">
        <v>2</v>
      </c>
      <c r="G246" s="20">
        <v>87</v>
      </c>
      <c r="H246" s="20">
        <v>31</v>
      </c>
      <c r="I246" s="20">
        <v>2</v>
      </c>
      <c r="J246" s="20">
        <v>9.6</v>
      </c>
    </row>
    <row r="247" spans="1:10" x14ac:dyDescent="0.3">
      <c r="A247" s="20">
        <v>52</v>
      </c>
      <c r="B247" s="20">
        <v>50.11</v>
      </c>
      <c r="C247" s="20">
        <v>37</v>
      </c>
      <c r="D247" s="20">
        <v>5.2</v>
      </c>
      <c r="E247" s="20">
        <v>0</v>
      </c>
      <c r="G247" s="20">
        <v>52</v>
      </c>
      <c r="H247" s="20">
        <v>37</v>
      </c>
      <c r="I247" s="20">
        <v>0</v>
      </c>
      <c r="J247" s="20">
        <v>5.2</v>
      </c>
    </row>
    <row r="248" spans="1:10" x14ac:dyDescent="0.3">
      <c r="A248" s="20">
        <v>33</v>
      </c>
      <c r="B248" s="20">
        <v>70.69</v>
      </c>
      <c r="C248" s="20">
        <v>35</v>
      </c>
      <c r="D248" s="20">
        <v>12</v>
      </c>
      <c r="E248" s="20">
        <v>3</v>
      </c>
      <c r="G248" s="20">
        <v>33</v>
      </c>
      <c r="H248" s="20">
        <v>35</v>
      </c>
      <c r="I248" s="20">
        <v>3</v>
      </c>
      <c r="J248" s="20">
        <v>12</v>
      </c>
    </row>
    <row r="249" spans="1:10" x14ac:dyDescent="0.3">
      <c r="A249" s="20">
        <v>40</v>
      </c>
      <c r="B249" s="20">
        <v>88.75</v>
      </c>
      <c r="C249" s="20">
        <v>23</v>
      </c>
      <c r="D249" s="20">
        <v>18.399999999999999</v>
      </c>
      <c r="E249" s="20">
        <v>6</v>
      </c>
      <c r="G249" s="20">
        <v>40</v>
      </c>
      <c r="H249" s="20">
        <v>23</v>
      </c>
      <c r="I249" s="20">
        <v>6</v>
      </c>
      <c r="J249" s="20">
        <v>18.399999999999999</v>
      </c>
    </row>
    <row r="250" spans="1:10" x14ac:dyDescent="0.3">
      <c r="A250" s="20">
        <v>67</v>
      </c>
      <c r="B250" s="20">
        <v>55.42</v>
      </c>
      <c r="C250" s="20">
        <v>28</v>
      </c>
      <c r="D250" s="20">
        <v>6.7</v>
      </c>
      <c r="E250" s="20">
        <v>1</v>
      </c>
      <c r="G250" s="20">
        <v>67</v>
      </c>
      <c r="H250" s="20">
        <v>28</v>
      </c>
      <c r="I250" s="20">
        <v>1</v>
      </c>
      <c r="J250" s="20">
        <v>6.7</v>
      </c>
    </row>
    <row r="251" spans="1:10" x14ac:dyDescent="0.3">
      <c r="A251" s="20">
        <v>39</v>
      </c>
      <c r="B251" s="20">
        <v>62.15</v>
      </c>
      <c r="C251" s="20">
        <v>19</v>
      </c>
      <c r="D251" s="20">
        <v>9.4</v>
      </c>
      <c r="E251" s="20">
        <v>2</v>
      </c>
      <c r="G251" s="20">
        <v>39</v>
      </c>
      <c r="H251" s="20">
        <v>19</v>
      </c>
      <c r="I251" s="20">
        <v>2</v>
      </c>
      <c r="J251" s="20">
        <v>9.4</v>
      </c>
    </row>
    <row r="252" spans="1:10" x14ac:dyDescent="0.3">
      <c r="A252" s="20">
        <v>27</v>
      </c>
      <c r="B252" s="20">
        <v>82.9</v>
      </c>
      <c r="C252" s="20">
        <v>36</v>
      </c>
      <c r="D252" s="20">
        <v>16.100000000000001</v>
      </c>
      <c r="E252" s="20">
        <v>5</v>
      </c>
      <c r="G252" s="20">
        <v>27</v>
      </c>
      <c r="H252" s="20">
        <v>36</v>
      </c>
      <c r="I252" s="20">
        <v>5</v>
      </c>
      <c r="J252" s="20">
        <v>16.100000000000001</v>
      </c>
    </row>
    <row r="253" spans="1:10" x14ac:dyDescent="0.3">
      <c r="A253" s="20">
        <v>26</v>
      </c>
      <c r="B253" s="20">
        <v>82.58</v>
      </c>
      <c r="C253" s="20">
        <v>36</v>
      </c>
      <c r="D253" s="20">
        <v>16</v>
      </c>
      <c r="E253" s="20">
        <v>5</v>
      </c>
      <c r="G253" s="20">
        <v>26</v>
      </c>
      <c r="H253" s="20">
        <v>36</v>
      </c>
      <c r="I253" s="20">
        <v>5</v>
      </c>
      <c r="J253" s="20">
        <v>16</v>
      </c>
    </row>
    <row r="254" spans="1:10" x14ac:dyDescent="0.3">
      <c r="A254" s="20">
        <v>86</v>
      </c>
      <c r="B254" s="20">
        <v>61.99</v>
      </c>
      <c r="C254" s="20">
        <v>22</v>
      </c>
      <c r="D254" s="20">
        <v>9.4</v>
      </c>
      <c r="E254" s="20">
        <v>2</v>
      </c>
      <c r="G254" s="20">
        <v>86</v>
      </c>
      <c r="H254" s="20">
        <v>22</v>
      </c>
      <c r="I254" s="20">
        <v>2</v>
      </c>
      <c r="J254" s="20">
        <v>9.4</v>
      </c>
    </row>
    <row r="255" spans="1:10" x14ac:dyDescent="0.3">
      <c r="A255" s="20">
        <v>36</v>
      </c>
      <c r="B255" s="20">
        <v>70.58</v>
      </c>
      <c r="C255" s="20">
        <v>36</v>
      </c>
      <c r="D255" s="20">
        <v>12</v>
      </c>
      <c r="E255" s="20">
        <v>3</v>
      </c>
      <c r="G255" s="20">
        <v>36</v>
      </c>
      <c r="H255" s="20">
        <v>36</v>
      </c>
      <c r="I255" s="20">
        <v>3</v>
      </c>
      <c r="J255" s="20">
        <v>12</v>
      </c>
    </row>
    <row r="256" spans="1:10" x14ac:dyDescent="0.3">
      <c r="A256" s="20">
        <v>52</v>
      </c>
      <c r="B256" s="20">
        <v>70.48</v>
      </c>
      <c r="C256" s="20">
        <v>19</v>
      </c>
      <c r="D256" s="20">
        <v>12</v>
      </c>
      <c r="E256" s="20">
        <v>3</v>
      </c>
      <c r="G256" s="20">
        <v>52</v>
      </c>
      <c r="H256" s="20">
        <v>19</v>
      </c>
      <c r="I256" s="20">
        <v>3</v>
      </c>
      <c r="J256" s="20">
        <v>12</v>
      </c>
    </row>
    <row r="257" spans="1:10" x14ac:dyDescent="0.3">
      <c r="A257" s="20">
        <v>67</v>
      </c>
      <c r="B257" s="20">
        <v>75.459999999999994</v>
      </c>
      <c r="C257" s="20">
        <v>27</v>
      </c>
      <c r="D257" s="20">
        <v>14.2</v>
      </c>
      <c r="E257" s="20">
        <v>4</v>
      </c>
      <c r="G257" s="20">
        <v>67</v>
      </c>
      <c r="H257" s="20">
        <v>27</v>
      </c>
      <c r="I257" s="20">
        <v>4</v>
      </c>
      <c r="J257" s="20">
        <v>14.2</v>
      </c>
    </row>
    <row r="258" spans="1:10" x14ac:dyDescent="0.3">
      <c r="A258" s="20">
        <v>78</v>
      </c>
      <c r="B258" s="20">
        <v>82.47</v>
      </c>
      <c r="C258" s="20">
        <v>19</v>
      </c>
      <c r="D258" s="20">
        <v>15.9</v>
      </c>
      <c r="E258" s="20">
        <v>5</v>
      </c>
      <c r="G258" s="20">
        <v>78</v>
      </c>
      <c r="H258" s="20">
        <v>19</v>
      </c>
      <c r="I258" s="20">
        <v>5</v>
      </c>
      <c r="J258" s="20">
        <v>15.9</v>
      </c>
    </row>
    <row r="259" spans="1:10" x14ac:dyDescent="0.3">
      <c r="A259" s="20">
        <v>41</v>
      </c>
      <c r="B259" s="20">
        <v>75.23</v>
      </c>
      <c r="C259" s="20">
        <v>28</v>
      </c>
      <c r="D259" s="20">
        <v>14.2</v>
      </c>
      <c r="E259" s="20">
        <v>4</v>
      </c>
      <c r="G259" s="20">
        <v>41</v>
      </c>
      <c r="H259" s="20">
        <v>28</v>
      </c>
      <c r="I259" s="20">
        <v>4</v>
      </c>
      <c r="J259" s="20">
        <v>14.2</v>
      </c>
    </row>
    <row r="260" spans="1:10" x14ac:dyDescent="0.3">
      <c r="A260" s="20">
        <v>49</v>
      </c>
      <c r="B260" s="20">
        <v>82.41</v>
      </c>
      <c r="C260" s="20">
        <v>35</v>
      </c>
      <c r="D260" s="20">
        <v>15.9</v>
      </c>
      <c r="E260" s="20">
        <v>5</v>
      </c>
      <c r="G260" s="20">
        <v>49</v>
      </c>
      <c r="H260" s="20">
        <v>35</v>
      </c>
      <c r="I260" s="20">
        <v>5</v>
      </c>
      <c r="J260" s="20">
        <v>15.9</v>
      </c>
    </row>
    <row r="261" spans="1:10" x14ac:dyDescent="0.3">
      <c r="A261" s="20">
        <v>57</v>
      </c>
      <c r="B261" s="20">
        <v>88.71</v>
      </c>
      <c r="C261" s="20">
        <v>32</v>
      </c>
      <c r="D261" s="20">
        <v>18.3</v>
      </c>
      <c r="E261" s="20">
        <v>6</v>
      </c>
      <c r="G261" s="20">
        <v>57</v>
      </c>
      <c r="H261" s="20">
        <v>32</v>
      </c>
      <c r="I261" s="20">
        <v>6</v>
      </c>
      <c r="J261" s="20">
        <v>18.3</v>
      </c>
    </row>
    <row r="262" spans="1:10" x14ac:dyDescent="0.3">
      <c r="A262" s="20">
        <v>70</v>
      </c>
      <c r="B262" s="20">
        <v>88.38</v>
      </c>
      <c r="C262" s="20">
        <v>26</v>
      </c>
      <c r="D262" s="20">
        <v>18.2</v>
      </c>
      <c r="E262" s="20">
        <v>6</v>
      </c>
      <c r="G262" s="20">
        <v>70</v>
      </c>
      <c r="H262" s="20">
        <v>26</v>
      </c>
      <c r="I262" s="20">
        <v>6</v>
      </c>
      <c r="J262" s="20">
        <v>18.2</v>
      </c>
    </row>
    <row r="263" spans="1:10" x14ac:dyDescent="0.3">
      <c r="A263" s="20">
        <v>73</v>
      </c>
      <c r="B263" s="20">
        <v>55.21</v>
      </c>
      <c r="C263" s="20">
        <v>36</v>
      </c>
      <c r="D263" s="20">
        <v>6.5</v>
      </c>
      <c r="E263" s="20">
        <v>1</v>
      </c>
      <c r="G263" s="20">
        <v>73</v>
      </c>
      <c r="H263" s="20">
        <v>36</v>
      </c>
      <c r="I263" s="20">
        <v>1</v>
      </c>
      <c r="J263" s="20">
        <v>6.5</v>
      </c>
    </row>
    <row r="264" spans="1:10" x14ac:dyDescent="0.3">
      <c r="A264" s="20">
        <v>27</v>
      </c>
      <c r="B264" s="20">
        <v>88.35</v>
      </c>
      <c r="C264" s="20">
        <v>26</v>
      </c>
      <c r="D264" s="20">
        <v>18.2</v>
      </c>
      <c r="E264" s="20">
        <v>6</v>
      </c>
      <c r="G264" s="20">
        <v>27</v>
      </c>
      <c r="H264" s="20">
        <v>26</v>
      </c>
      <c r="I264" s="20">
        <v>6</v>
      </c>
      <c r="J264" s="20">
        <v>18.2</v>
      </c>
    </row>
    <row r="265" spans="1:10" x14ac:dyDescent="0.3">
      <c r="A265" s="20">
        <v>46</v>
      </c>
      <c r="B265" s="20">
        <v>55.19</v>
      </c>
      <c r="C265" s="20">
        <v>20</v>
      </c>
      <c r="D265" s="20">
        <v>6.5</v>
      </c>
      <c r="E265" s="20">
        <v>1</v>
      </c>
      <c r="G265" s="20">
        <v>46</v>
      </c>
      <c r="H265" s="20">
        <v>20</v>
      </c>
      <c r="I265" s="20">
        <v>1</v>
      </c>
      <c r="J265" s="20">
        <v>6.5</v>
      </c>
    </row>
    <row r="266" spans="1:10" x14ac:dyDescent="0.3">
      <c r="A266" s="20">
        <v>46</v>
      </c>
      <c r="B266" s="20">
        <v>88.09</v>
      </c>
      <c r="C266" s="20">
        <v>38</v>
      </c>
      <c r="D266" s="20">
        <v>18</v>
      </c>
      <c r="E266" s="20">
        <v>6</v>
      </c>
      <c r="G266" s="20">
        <v>46</v>
      </c>
      <c r="H266" s="20">
        <v>38</v>
      </c>
      <c r="I266" s="20">
        <v>6</v>
      </c>
      <c r="J266" s="20">
        <v>18</v>
      </c>
    </row>
    <row r="267" spans="1:10" x14ac:dyDescent="0.3">
      <c r="A267" s="20">
        <v>40</v>
      </c>
      <c r="B267" s="20">
        <v>50.05</v>
      </c>
      <c r="C267" s="20">
        <v>26</v>
      </c>
      <c r="D267" s="20">
        <v>5.2</v>
      </c>
      <c r="E267" s="20">
        <v>0</v>
      </c>
      <c r="G267" s="20">
        <v>40</v>
      </c>
      <c r="H267" s="20">
        <v>26</v>
      </c>
      <c r="I267" s="20">
        <v>0</v>
      </c>
      <c r="J267" s="20">
        <v>5.2</v>
      </c>
    </row>
    <row r="268" spans="1:10" x14ac:dyDescent="0.3">
      <c r="A268" s="20">
        <v>49</v>
      </c>
      <c r="B268" s="20">
        <v>87.87</v>
      </c>
      <c r="C268" s="20">
        <v>31</v>
      </c>
      <c r="D268" s="20">
        <v>18</v>
      </c>
      <c r="E268" s="20">
        <v>6</v>
      </c>
      <c r="G268" s="20">
        <v>49</v>
      </c>
      <c r="H268" s="20">
        <v>31</v>
      </c>
      <c r="I268" s="20">
        <v>6</v>
      </c>
      <c r="J268" s="20">
        <v>18</v>
      </c>
    </row>
    <row r="269" spans="1:10" x14ac:dyDescent="0.3">
      <c r="A269" s="20">
        <v>47</v>
      </c>
      <c r="B269" s="20">
        <v>75.19</v>
      </c>
      <c r="C269" s="20">
        <v>36</v>
      </c>
      <c r="D269" s="20">
        <v>13.9</v>
      </c>
      <c r="E269" s="20">
        <v>4</v>
      </c>
      <c r="G269" s="20">
        <v>47</v>
      </c>
      <c r="H269" s="20">
        <v>36</v>
      </c>
      <c r="I269" s="20">
        <v>4</v>
      </c>
      <c r="J269" s="20">
        <v>13.9</v>
      </c>
    </row>
    <row r="270" spans="1:10" x14ac:dyDescent="0.3">
      <c r="A270" s="20">
        <v>83</v>
      </c>
      <c r="B270" s="20">
        <v>61.87</v>
      </c>
      <c r="C270" s="20">
        <v>24</v>
      </c>
      <c r="D270" s="20">
        <v>9.4</v>
      </c>
      <c r="E270" s="20">
        <v>2</v>
      </c>
      <c r="G270" s="20">
        <v>83</v>
      </c>
      <c r="H270" s="20">
        <v>24</v>
      </c>
      <c r="I270" s="20">
        <v>2</v>
      </c>
      <c r="J270" s="20">
        <v>9.4</v>
      </c>
    </row>
    <row r="271" spans="1:10" x14ac:dyDescent="0.3">
      <c r="A271" s="20">
        <v>88</v>
      </c>
      <c r="B271" s="20">
        <v>75.03</v>
      </c>
      <c r="C271" s="20">
        <v>33</v>
      </c>
      <c r="D271" s="20">
        <v>13.9</v>
      </c>
      <c r="E271" s="20">
        <v>4</v>
      </c>
      <c r="G271" s="20">
        <v>88</v>
      </c>
      <c r="H271" s="20">
        <v>33</v>
      </c>
      <c r="I271" s="20">
        <v>4</v>
      </c>
      <c r="J271" s="20">
        <v>13.9</v>
      </c>
    </row>
    <row r="272" spans="1:10" x14ac:dyDescent="0.3">
      <c r="A272" s="20">
        <v>80</v>
      </c>
      <c r="B272" s="20">
        <v>61.71</v>
      </c>
      <c r="C272" s="20">
        <v>33</v>
      </c>
      <c r="D272" s="20">
        <v>9.3000000000000007</v>
      </c>
      <c r="E272" s="20">
        <v>2</v>
      </c>
      <c r="G272" s="20">
        <v>80</v>
      </c>
      <c r="H272" s="20">
        <v>33</v>
      </c>
      <c r="I272" s="20">
        <v>2</v>
      </c>
      <c r="J272" s="20">
        <v>9.3000000000000007</v>
      </c>
    </row>
    <row r="273" spans="1:10" x14ac:dyDescent="0.3">
      <c r="A273" s="20">
        <v>67</v>
      </c>
      <c r="B273" s="20">
        <v>69.849999999999994</v>
      </c>
      <c r="C273" s="20">
        <v>18</v>
      </c>
      <c r="D273" s="20">
        <v>11.9</v>
      </c>
      <c r="E273" s="20">
        <v>3</v>
      </c>
      <c r="G273" s="20">
        <v>67</v>
      </c>
      <c r="H273" s="20">
        <v>18</v>
      </c>
      <c r="I273" s="20">
        <v>3</v>
      </c>
      <c r="J273" s="20">
        <v>11.9</v>
      </c>
    </row>
    <row r="274" spans="1:10" x14ac:dyDescent="0.3">
      <c r="A274" s="20">
        <v>38</v>
      </c>
      <c r="B274" s="20">
        <v>75.010000000000005</v>
      </c>
      <c r="C274" s="20">
        <v>21</v>
      </c>
      <c r="D274" s="20">
        <v>13.8</v>
      </c>
      <c r="E274" s="20">
        <v>4</v>
      </c>
      <c r="G274" s="20">
        <v>38</v>
      </c>
      <c r="H274" s="20">
        <v>21</v>
      </c>
      <c r="I274" s="20">
        <v>4</v>
      </c>
      <c r="J274" s="20">
        <v>13.8</v>
      </c>
    </row>
    <row r="275" spans="1:10" x14ac:dyDescent="0.3">
      <c r="A275" s="20">
        <v>23</v>
      </c>
      <c r="B275" s="20">
        <v>69.67</v>
      </c>
      <c r="C275" s="20">
        <v>21</v>
      </c>
      <c r="D275" s="20">
        <v>11.8</v>
      </c>
      <c r="E275" s="20">
        <v>3</v>
      </c>
      <c r="G275" s="20">
        <v>23</v>
      </c>
      <c r="H275" s="20">
        <v>21</v>
      </c>
      <c r="I275" s="20">
        <v>3</v>
      </c>
      <c r="J275" s="20">
        <v>11.8</v>
      </c>
    </row>
    <row r="276" spans="1:10" x14ac:dyDescent="0.3">
      <c r="A276" s="20">
        <v>54</v>
      </c>
      <c r="B276" s="20">
        <v>55.14</v>
      </c>
      <c r="C276" s="20">
        <v>24</v>
      </c>
      <c r="D276" s="20">
        <v>6.5</v>
      </c>
      <c r="E276" s="20">
        <v>1</v>
      </c>
      <c r="G276" s="20">
        <v>54</v>
      </c>
      <c r="H276" s="20">
        <v>24</v>
      </c>
      <c r="I276" s="20">
        <v>1</v>
      </c>
      <c r="J276" s="20">
        <v>6.5</v>
      </c>
    </row>
    <row r="277" spans="1:10" x14ac:dyDescent="0.3">
      <c r="A277" s="20">
        <v>83</v>
      </c>
      <c r="B277" s="20">
        <v>54.93</v>
      </c>
      <c r="C277" s="20">
        <v>25</v>
      </c>
      <c r="D277" s="20">
        <v>6.5</v>
      </c>
      <c r="E277" s="20">
        <v>1</v>
      </c>
      <c r="G277" s="20">
        <v>83</v>
      </c>
      <c r="H277" s="20">
        <v>25</v>
      </c>
      <c r="I277" s="20">
        <v>1</v>
      </c>
      <c r="J277" s="20">
        <v>6.5</v>
      </c>
    </row>
    <row r="278" spans="1:10" x14ac:dyDescent="0.3">
      <c r="A278" s="20">
        <v>68</v>
      </c>
      <c r="B278" s="20">
        <v>50.01</v>
      </c>
      <c r="C278" s="20">
        <v>34</v>
      </c>
      <c r="D278" s="20">
        <v>5.2</v>
      </c>
      <c r="E278" s="20">
        <v>0</v>
      </c>
      <c r="G278" s="20">
        <v>68</v>
      </c>
      <c r="H278" s="20">
        <v>34</v>
      </c>
      <c r="I278" s="20">
        <v>0</v>
      </c>
      <c r="J278" s="20">
        <v>5.2</v>
      </c>
    </row>
    <row r="279" spans="1:10" x14ac:dyDescent="0.3">
      <c r="A279" s="20">
        <v>36</v>
      </c>
      <c r="B279" s="20">
        <v>87.81</v>
      </c>
      <c r="C279" s="20">
        <v>22</v>
      </c>
      <c r="D279" s="20">
        <v>18</v>
      </c>
      <c r="E279" s="20">
        <v>6</v>
      </c>
      <c r="G279" s="20">
        <v>36</v>
      </c>
      <c r="H279" s="20">
        <v>22</v>
      </c>
      <c r="I279" s="20">
        <v>6</v>
      </c>
      <c r="J279" s="20">
        <v>18</v>
      </c>
    </row>
    <row r="280" spans="1:10" x14ac:dyDescent="0.3">
      <c r="A280" s="20">
        <v>63</v>
      </c>
      <c r="B280" s="20">
        <v>74.47</v>
      </c>
      <c r="C280" s="20">
        <v>24</v>
      </c>
      <c r="D280" s="20">
        <v>13.8</v>
      </c>
      <c r="E280" s="20">
        <v>4</v>
      </c>
      <c r="G280" s="20">
        <v>63</v>
      </c>
      <c r="H280" s="20">
        <v>24</v>
      </c>
      <c r="I280" s="20">
        <v>4</v>
      </c>
      <c r="J280" s="20">
        <v>13.8</v>
      </c>
    </row>
    <row r="281" spans="1:10" x14ac:dyDescent="0.3">
      <c r="A281" s="20">
        <v>49</v>
      </c>
      <c r="B281" s="20">
        <v>69.45</v>
      </c>
      <c r="C281" s="20">
        <v>37</v>
      </c>
      <c r="D281" s="20">
        <v>11.8</v>
      </c>
      <c r="E281" s="20">
        <v>3</v>
      </c>
      <c r="G281" s="20">
        <v>49</v>
      </c>
      <c r="H281" s="20">
        <v>37</v>
      </c>
      <c r="I281" s="20">
        <v>3</v>
      </c>
      <c r="J281" s="20">
        <v>11.8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0F5BE6AD4244D47AFE8B68BB1D97BFA" ma:contentTypeVersion="16" ma:contentTypeDescription="Create a new document." ma:contentTypeScope="" ma:versionID="48ed664da2bf73568a849c47eff5b86c">
  <xsd:schema xmlns:xsd="http://www.w3.org/2001/XMLSchema" xmlns:xs="http://www.w3.org/2001/XMLSchema" xmlns:p="http://schemas.microsoft.com/office/2006/metadata/properties" xmlns:ns3="69988e50-0c6c-423d-9182-1c5cd4ab523d" xmlns:ns4="58e3dc20-1377-480f-8c88-69c2672339eb" targetNamespace="http://schemas.microsoft.com/office/2006/metadata/properties" ma:root="true" ma:fieldsID="5382093a32e187e7f75fe590dc88e44a" ns3:_="" ns4:_="">
    <xsd:import namespace="69988e50-0c6c-423d-9182-1c5cd4ab523d"/>
    <xsd:import namespace="58e3dc20-1377-480f-8c88-69c2672339e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988e50-0c6c-423d-9182-1c5cd4ab52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8e3dc20-1377-480f-8c88-69c2672339e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69988e50-0c6c-423d-9182-1c5cd4ab523d" xsi:nil="true"/>
  </documentManagement>
</p:properties>
</file>

<file path=customXml/itemProps1.xml><?xml version="1.0" encoding="utf-8"?>
<ds:datastoreItem xmlns:ds="http://schemas.openxmlformats.org/officeDocument/2006/customXml" ds:itemID="{CDCBB534-147B-4F0E-9446-4037EB4D1EBE}">
  <ds:schemaRefs>
    <ds:schemaRef ds:uri="http://schemas.microsoft.com/office/2006/metadata/contentType"/>
    <ds:schemaRef ds:uri="http://schemas.microsoft.com/office/2006/metadata/properties/metaAttributes"/>
    <ds:schemaRef ds:uri="http://www.w3.org/2000/xmlns/"/>
    <ds:schemaRef ds:uri="http://www.w3.org/2001/XMLSchema"/>
    <ds:schemaRef ds:uri="69988e50-0c6c-423d-9182-1c5cd4ab523d"/>
    <ds:schemaRef ds:uri="58e3dc20-1377-480f-8c88-69c2672339eb"/>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C1E60C3-464D-4A00-A3FE-84BDE94AE831}">
  <ds:schemaRefs>
    <ds:schemaRef ds:uri="http://schemas.microsoft.com/sharepoint/v3/contenttype/forms"/>
  </ds:schemaRefs>
</ds:datastoreItem>
</file>

<file path=customXml/itemProps3.xml><?xml version="1.0" encoding="utf-8"?>
<ds:datastoreItem xmlns:ds="http://schemas.openxmlformats.org/officeDocument/2006/customXml" ds:itemID="{2F712CCD-27B2-4579-A300-5A69798E922A}">
  <ds:schemaRefs>
    <ds:schemaRef ds:uri="http://purl.org/dc/elements/1.1/"/>
    <ds:schemaRef ds:uri="http://schemas.microsoft.com/office/infopath/2007/PartnerControls"/>
    <ds:schemaRef ds:uri="http://purl.org/dc/terms/"/>
    <ds:schemaRef ds:uri="http://purl.org/dc/dcmitype/"/>
    <ds:schemaRef ds:uri="http://schemas.microsoft.com/office/2006/metadata/properties"/>
    <ds:schemaRef ds:uri="69988e50-0c6c-423d-9182-1c5cd4ab523d"/>
    <ds:schemaRef ds:uri="http://schemas.microsoft.com/office/2006/documentManagement/types"/>
    <ds:schemaRef ds:uri="http://schemas.openxmlformats.org/package/2006/metadata/core-properties"/>
    <ds:schemaRef ds:uri="58e3dc20-1377-480f-8c88-69c2672339eb"/>
    <ds:schemaRef ds:uri="http://www.w3.org/XML/1998/namespace"/>
  </ds:schemaRefs>
</ds:datastoreItem>
</file>

<file path=docMetadata/LabelInfo.xml><?xml version="1.0" encoding="utf-8"?>
<clbl:labelList xmlns:clbl="http://schemas.microsoft.com/office/2020/mipLabelMetadata">
  <clbl:label id="{13b07243-d8ee-44a8-a2b5-afb4e61142e6}" enabled="0" method="" siteId="{13b07243-d8ee-44a8-a2b5-afb4e61142e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vt:i4>
      </vt:variant>
    </vt:vector>
  </HeadingPairs>
  <TitlesOfParts>
    <vt:vector size="24" baseType="lpstr">
      <vt:lpstr>Original_Data</vt:lpstr>
      <vt:lpstr>1a_Goal Scored </vt:lpstr>
      <vt:lpstr>1a_Pass Accuracy </vt:lpstr>
      <vt:lpstr>1a_Injury Type </vt:lpstr>
      <vt:lpstr>1a_Nationality </vt:lpstr>
      <vt:lpstr>1b_Analyze the Metric</vt:lpstr>
      <vt:lpstr>2a_Match and Opponent Analysis </vt:lpstr>
      <vt:lpstr>2b_Location Based Trends</vt:lpstr>
      <vt:lpstr>Detail1</vt:lpstr>
      <vt:lpstr>3a_Injury vs Recovery </vt:lpstr>
      <vt:lpstr>3b_Health and Fitness</vt:lpstr>
      <vt:lpstr>4a_Avg Team or Nat</vt:lpstr>
      <vt:lpstr>4b_Workload Analysis</vt:lpstr>
      <vt:lpstr>4c_Descriptive Stat</vt:lpstr>
      <vt:lpstr>5a_Age vs Speed</vt:lpstr>
      <vt:lpstr>5b_Goals by Position</vt:lpstr>
      <vt:lpstr>5c_Additional Insights</vt:lpstr>
      <vt:lpstr>6_Regression Modeling</vt:lpstr>
      <vt:lpstr>7_Model Interpretation</vt:lpstr>
      <vt:lpstr>8_Multicollinearity Check</vt:lpstr>
      <vt:lpstr>'5b_Goals by Position'!Criteria</vt:lpstr>
      <vt:lpstr>Day_of_week</vt:lpstr>
      <vt:lpstr>'5b_Goals by Position'!Extract</vt:lpstr>
      <vt:lpstr>Match_Date</vt:lpstr>
    </vt:vector>
  </TitlesOfParts>
  <Manager/>
  <Company>FSC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Centeno, Grisselle</dc:creator>
  <cp:keywords/>
  <dc:description/>
  <cp:lastModifiedBy>Ricci, Nicholas M</cp:lastModifiedBy>
  <cp:revision/>
  <dcterms:created xsi:type="dcterms:W3CDTF">2025-05-29T00:27:08Z</dcterms:created>
  <dcterms:modified xsi:type="dcterms:W3CDTF">2025-06-14T16:26:07Z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0x01010000F5BE6AD4244D47AFE8B68BB1D97BFA</vt:lpwstr>
  </property>
</Properties>
</file>