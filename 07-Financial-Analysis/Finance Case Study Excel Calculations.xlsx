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flpoly-my.sharepoint.com/personal/nricci0462_floridapoly_edu/Documents/"/>
    </mc:Choice>
  </mc:AlternateContent>
  <xr:revisionPtr revIDLastSave="0" documentId="8_{2E69AE6C-3FCB-48E0-A534-0FBB0452D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C24" i="1"/>
  <c r="C26" i="1"/>
  <c r="D24" i="1"/>
  <c r="D26" i="1"/>
  <c r="B24" i="1"/>
  <c r="B26" i="1"/>
  <c r="J20" i="1"/>
  <c r="J24" i="1"/>
  <c r="J26" i="1"/>
  <c r="K20" i="1"/>
  <c r="K24" i="1"/>
  <c r="K26" i="1"/>
  <c r="I20" i="1"/>
  <c r="I24" i="1"/>
  <c r="I26" i="1"/>
  <c r="J7" i="1"/>
  <c r="K7" i="1"/>
  <c r="I7" i="1"/>
  <c r="C20" i="1"/>
  <c r="D20" i="1"/>
  <c r="B20" i="1"/>
  <c r="B18" i="1"/>
  <c r="C18" i="1"/>
  <c r="D18" i="1"/>
  <c r="D7" i="1"/>
  <c r="C7" i="1"/>
  <c r="B7" i="1"/>
</calcChain>
</file>

<file path=xl/sharedStrings.xml><?xml version="1.0" encoding="utf-8"?>
<sst xmlns="http://schemas.openxmlformats.org/spreadsheetml/2006/main" count="42" uniqueCount="26">
  <si>
    <t xml:space="preserve">Fill in the blanks (yellow) and calculate EVA for both companies. Compare their EVA in the word document. </t>
  </si>
  <si>
    <t>Group Members</t>
  </si>
  <si>
    <r>
      <t>EVA</t>
    </r>
    <r>
      <rPr>
        <vertAlign val="superscript"/>
        <sz val="10"/>
        <rFont val="Times New Roman"/>
        <family val="1"/>
      </rPr>
      <t>TM</t>
    </r>
    <r>
      <rPr>
        <sz val="10"/>
        <rFont val="Times New Roman"/>
        <family val="1"/>
      </rPr>
      <t xml:space="preserve"> Calculation, Coca-Cola Co.</t>
    </r>
  </si>
  <si>
    <r>
      <t>EVA</t>
    </r>
    <r>
      <rPr>
        <vertAlign val="superscript"/>
        <sz val="10"/>
        <rFont val="Times New Roman"/>
        <family val="1"/>
      </rPr>
      <t>TM</t>
    </r>
    <r>
      <rPr>
        <sz val="10"/>
        <rFont val="Times New Roman"/>
        <family val="1"/>
      </rPr>
      <t xml:space="preserve"> Calculation, PepsiCo</t>
    </r>
  </si>
  <si>
    <t>Nicholas Ricci</t>
  </si>
  <si>
    <t>Daniel Phelps</t>
  </si>
  <si>
    <t>Operating profit</t>
  </si>
  <si>
    <t>Michael Willman</t>
  </si>
  <si>
    <t>Add back:  goodwill amortization</t>
  </si>
  <si>
    <t>Less:  cash taxes</t>
  </si>
  <si>
    <t>NOPAT</t>
  </si>
  <si>
    <t>Loans and notes payable</t>
  </si>
  <si>
    <t>Short term borrowings</t>
  </si>
  <si>
    <t>Current portion of long-term debt</t>
  </si>
  <si>
    <t>Long-term debt</t>
  </si>
  <si>
    <t>Deferred income taxes</t>
  </si>
  <si>
    <t>Pepsi ----&gt;</t>
  </si>
  <si>
    <t>Equity</t>
  </si>
  <si>
    <t>Accumulated losses</t>
  </si>
  <si>
    <t>Accumulated goodwill amortization</t>
  </si>
  <si>
    <t>Less:  marketable securities</t>
  </si>
  <si>
    <t>Invested capital</t>
  </si>
  <si>
    <t>Return on invested capital</t>
  </si>
  <si>
    <t>WACC (from Task 2)</t>
  </si>
  <si>
    <t>ROIC-WACC spread</t>
  </si>
  <si>
    <t>Value created/destroyed (EVA)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</si>
</sst>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%"/>
    <numFmt numFmtId="166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1" applyFont="1"/>
    <xf numFmtId="166" fontId="2" fillId="0" borderId="0" xfId="2" applyNumberFormat="1" applyFont="1"/>
    <xf numFmtId="166" fontId="2" fillId="0" borderId="1" xfId="2" applyNumberFormat="1" applyFont="1" applyBorder="1"/>
    <xf numFmtId="0" fontId="3" fillId="0" borderId="0" xfId="1" applyFont="1"/>
    <xf numFmtId="166" fontId="3" fillId="2" borderId="0" xfId="2" applyNumberFormat="1" applyFont="1" applyFill="1"/>
    <xf numFmtId="165" fontId="2" fillId="2" borderId="0" xfId="4" applyNumberFormat="1" applyFont="1" applyFill="1"/>
    <xf numFmtId="166" fontId="2" fillId="2" borderId="0" xfId="2" applyNumberFormat="1" applyFont="1" applyFill="1"/>
    <xf numFmtId="165" fontId="2" fillId="0" borderId="0" xfId="4" applyNumberFormat="1" applyFont="1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</cellXfs>
  <cellStyles count="5">
    <cellStyle name="Comma 2" xfId="2" xr:uid="{900DA06C-903B-4CD0-A26F-BBF275FBF3FD}"/>
    <cellStyle name="Currency 2" xfId="3" xr:uid="{E53ABADD-B8C8-4C58-9658-BD973EC8CF6D}"/>
    <cellStyle name="Normal" xfId="0" builtinId="0"/>
    <cellStyle name="Normal 2" xfId="1" xr:uid="{A44E4B44-04AA-4DBE-845A-333FA5369CFE}"/>
    <cellStyle name="Percent 2" xfId="4" xr:uid="{ADDC5AFC-3ADC-42E9-95E8-00D98EB06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1" sqref="M1:M4"/>
    </sheetView>
  </sheetViews>
  <sheetFormatPr defaultRowHeight="15"/>
  <cols>
    <col min="1" max="1" width="26.85546875" bestFit="1" customWidth="1"/>
    <col min="3" max="4" width="8" bestFit="1" customWidth="1"/>
    <col min="8" max="8" width="26.85546875" bestFit="1" customWidth="1"/>
    <col min="9" max="11" width="8" bestFit="1" customWidth="1"/>
    <col min="13" max="13" width="14.42578125" customWidth="1"/>
  </cols>
  <sheetData>
    <row r="1" spans="1:13">
      <c r="A1" t="s">
        <v>0</v>
      </c>
      <c r="M1" t="s">
        <v>1</v>
      </c>
    </row>
    <row r="2" spans="1:13" ht="15.75">
      <c r="A2" s="10" t="s">
        <v>2</v>
      </c>
      <c r="B2" s="11"/>
      <c r="C2" s="11"/>
      <c r="D2" s="11"/>
      <c r="H2" s="10" t="s">
        <v>3</v>
      </c>
      <c r="I2" s="11"/>
      <c r="J2" s="11"/>
      <c r="K2" s="11"/>
      <c r="M2" t="s">
        <v>4</v>
      </c>
    </row>
    <row r="3" spans="1:13">
      <c r="B3">
        <v>2001</v>
      </c>
      <c r="C3">
        <v>2002</v>
      </c>
      <c r="D3">
        <v>2003</v>
      </c>
      <c r="I3">
        <v>2001</v>
      </c>
      <c r="J3">
        <v>2002</v>
      </c>
      <c r="K3">
        <v>2003</v>
      </c>
      <c r="M3" t="s">
        <v>5</v>
      </c>
    </row>
    <row r="4" spans="1:13">
      <c r="A4" s="2" t="s">
        <v>6</v>
      </c>
      <c r="B4" s="3">
        <v>5399</v>
      </c>
      <c r="C4" s="3">
        <v>6132</v>
      </c>
      <c r="D4" s="3">
        <v>6633</v>
      </c>
      <c r="H4" s="2" t="s">
        <v>6</v>
      </c>
      <c r="I4" s="3">
        <v>4385</v>
      </c>
      <c r="J4" s="3">
        <v>4885</v>
      </c>
      <c r="K4" s="3">
        <v>5369</v>
      </c>
      <c r="M4" t="s">
        <v>7</v>
      </c>
    </row>
    <row r="5" spans="1:13">
      <c r="A5" s="2" t="s">
        <v>8</v>
      </c>
      <c r="B5" s="3">
        <v>295</v>
      </c>
      <c r="C5" s="3">
        <v>295</v>
      </c>
      <c r="D5" s="3">
        <v>295</v>
      </c>
      <c r="H5" s="2" t="s">
        <v>8</v>
      </c>
      <c r="I5" s="3">
        <v>235.5</v>
      </c>
      <c r="J5" s="3">
        <v>295</v>
      </c>
      <c r="K5" s="3">
        <v>295</v>
      </c>
    </row>
    <row r="6" spans="1:13">
      <c r="A6" s="2" t="s">
        <v>9</v>
      </c>
      <c r="B6" s="4">
        <v>-1738</v>
      </c>
      <c r="C6" s="4">
        <v>-1957</v>
      </c>
      <c r="D6" s="4">
        <v>-2131</v>
      </c>
      <c r="H6" s="2" t="s">
        <v>9</v>
      </c>
      <c r="I6" s="4">
        <v>-1142</v>
      </c>
      <c r="J6" s="4">
        <v>-1245</v>
      </c>
      <c r="K6" s="4">
        <v>-1504</v>
      </c>
    </row>
    <row r="7" spans="1:13">
      <c r="A7" s="5" t="s">
        <v>10</v>
      </c>
      <c r="B7" s="6">
        <f>B4+B5+B6</f>
        <v>3956</v>
      </c>
      <c r="C7" s="6">
        <f>C4+C5+C6</f>
        <v>4470</v>
      </c>
      <c r="D7" s="6">
        <f>D4+D5+D6</f>
        <v>4797</v>
      </c>
      <c r="H7" s="5" t="s">
        <v>10</v>
      </c>
      <c r="I7" s="6">
        <f>I4+I5+I6</f>
        <v>3478.5</v>
      </c>
      <c r="J7" s="6">
        <f t="shared" ref="J7:K7" si="0">J4+J5+J6</f>
        <v>3935</v>
      </c>
      <c r="K7" s="6">
        <f t="shared" si="0"/>
        <v>4160</v>
      </c>
    </row>
    <row r="9" spans="1:13">
      <c r="A9" s="5"/>
      <c r="B9" s="1"/>
      <c r="C9" s="1"/>
      <c r="D9" s="1"/>
      <c r="H9" s="5"/>
      <c r="I9" s="1"/>
      <c r="J9" s="1"/>
      <c r="K9" s="1"/>
    </row>
    <row r="10" spans="1:13">
      <c r="A10" s="2" t="s">
        <v>11</v>
      </c>
      <c r="B10" s="3">
        <v>3600</v>
      </c>
      <c r="C10" s="3">
        <v>3500</v>
      </c>
      <c r="D10" s="3">
        <v>3400</v>
      </c>
      <c r="H10" s="2" t="s">
        <v>12</v>
      </c>
      <c r="I10" s="3">
        <v>202</v>
      </c>
      <c r="J10" s="3">
        <v>0</v>
      </c>
      <c r="K10" s="3">
        <v>0</v>
      </c>
    </row>
    <row r="11" spans="1:13">
      <c r="A11" s="2" t="s">
        <v>13</v>
      </c>
      <c r="B11" s="3">
        <v>154</v>
      </c>
      <c r="C11" s="3">
        <v>153</v>
      </c>
      <c r="D11" s="3">
        <v>2</v>
      </c>
      <c r="H11" s="2" t="s">
        <v>13</v>
      </c>
      <c r="I11" s="3">
        <v>281</v>
      </c>
      <c r="J11" s="3">
        <v>444</v>
      </c>
      <c r="K11" s="3">
        <v>64</v>
      </c>
    </row>
    <row r="12" spans="1:13">
      <c r="A12" s="2" t="s">
        <v>14</v>
      </c>
      <c r="B12" s="3">
        <v>681</v>
      </c>
      <c r="C12" s="3">
        <v>528</v>
      </c>
      <c r="D12" s="3">
        <v>526</v>
      </c>
      <c r="H12" s="2" t="s">
        <v>14</v>
      </c>
      <c r="I12" s="3">
        <v>2106</v>
      </c>
      <c r="J12" s="3">
        <v>1825</v>
      </c>
      <c r="K12" s="3">
        <v>1381</v>
      </c>
    </row>
    <row r="13" spans="1:13">
      <c r="A13" s="2" t="s">
        <v>15</v>
      </c>
      <c r="B13" s="3">
        <v>302</v>
      </c>
      <c r="C13" s="3">
        <v>239</v>
      </c>
      <c r="D13" s="3">
        <v>170</v>
      </c>
      <c r="F13" t="s">
        <v>16</v>
      </c>
      <c r="H13" s="2" t="s">
        <v>15</v>
      </c>
      <c r="I13" s="3">
        <v>1625</v>
      </c>
      <c r="J13" s="3">
        <v>1974</v>
      </c>
      <c r="K13" s="3">
        <v>2252</v>
      </c>
    </row>
    <row r="14" spans="1:13">
      <c r="A14" s="2" t="s">
        <v>17</v>
      </c>
      <c r="B14" s="3">
        <v>11267</v>
      </c>
      <c r="C14" s="3">
        <v>11898</v>
      </c>
      <c r="D14" s="3">
        <v>12368</v>
      </c>
      <c r="H14" s="2" t="s">
        <v>17</v>
      </c>
      <c r="I14" s="3">
        <v>9282</v>
      </c>
      <c r="J14" s="3">
        <v>11648</v>
      </c>
      <c r="K14" s="3">
        <v>11382</v>
      </c>
    </row>
    <row r="15" spans="1:13">
      <c r="A15" s="2" t="s">
        <v>18</v>
      </c>
      <c r="B15" s="3">
        <v>2722</v>
      </c>
      <c r="C15" s="3">
        <v>2722</v>
      </c>
      <c r="D15" s="3">
        <v>2722</v>
      </c>
      <c r="H15" s="2" t="s">
        <v>18</v>
      </c>
      <c r="I15" s="3">
        <v>1394</v>
      </c>
      <c r="J15" s="3">
        <v>1394</v>
      </c>
      <c r="K15" s="3">
        <v>1394</v>
      </c>
    </row>
    <row r="16" spans="1:13">
      <c r="A16" s="2" t="s">
        <v>19</v>
      </c>
      <c r="B16" s="3">
        <v>487</v>
      </c>
      <c r="C16" s="3">
        <v>782</v>
      </c>
      <c r="D16" s="3">
        <v>1077</v>
      </c>
      <c r="H16" s="2" t="s">
        <v>19</v>
      </c>
      <c r="I16" s="3">
        <v>987</v>
      </c>
      <c r="J16" s="3">
        <v>1282</v>
      </c>
      <c r="K16" s="3">
        <v>1577</v>
      </c>
    </row>
    <row r="17" spans="1:11">
      <c r="A17" s="2" t="s">
        <v>20</v>
      </c>
      <c r="B17" s="4">
        <v>-2364</v>
      </c>
      <c r="C17" s="4">
        <v>-2364</v>
      </c>
      <c r="D17" s="4">
        <v>-2364</v>
      </c>
      <c r="H17" s="2" t="s">
        <v>20</v>
      </c>
      <c r="I17" s="4">
        <v>0</v>
      </c>
      <c r="J17" s="4">
        <v>-1000</v>
      </c>
      <c r="K17" s="4">
        <v>-500</v>
      </c>
    </row>
    <row r="18" spans="1:11">
      <c r="A18" s="5" t="s">
        <v>21</v>
      </c>
      <c r="B18" s="6">
        <f>B10+B11+B12+B13+B14+B15+B16+B17</f>
        <v>16849</v>
      </c>
      <c r="C18" s="6">
        <f t="shared" ref="C18:D18" si="1">C10+C11+C12+C13+C14+C15+C16+C17</f>
        <v>17458</v>
      </c>
      <c r="D18" s="6">
        <f t="shared" si="1"/>
        <v>17901</v>
      </c>
      <c r="H18" s="5" t="s">
        <v>21</v>
      </c>
      <c r="I18" s="6">
        <f>I10+I11+I12+I14+I15+I16+I17+I13</f>
        <v>15877</v>
      </c>
      <c r="J18" s="6">
        <f>J10+J11+J12+J14+J15+J16+J17+J13</f>
        <v>17567</v>
      </c>
      <c r="K18" s="6">
        <f>K10+K11+K12+K14+K15+K16+K17+K13</f>
        <v>17550</v>
      </c>
    </row>
    <row r="20" spans="1:11">
      <c r="A20" s="2" t="s">
        <v>22</v>
      </c>
      <c r="B20" s="7">
        <f>B7/B18</f>
        <v>0.23479138227787999</v>
      </c>
      <c r="C20" s="7">
        <f t="shared" ref="C20:D20" si="2">C7/C18</f>
        <v>0.25604307480811089</v>
      </c>
      <c r="D20" s="7">
        <f t="shared" si="2"/>
        <v>0.26797385620915032</v>
      </c>
      <c r="H20" s="2" t="s">
        <v>22</v>
      </c>
      <c r="I20" s="7">
        <f>I7/I18</f>
        <v>0.2190905082824211</v>
      </c>
      <c r="J20" s="7">
        <f t="shared" ref="J20:K20" si="3">J7/J18</f>
        <v>0.2239995446006717</v>
      </c>
      <c r="K20" s="7">
        <f t="shared" si="3"/>
        <v>0.23703703703703705</v>
      </c>
    </row>
    <row r="22" spans="1:11">
      <c r="A22" s="2" t="s">
        <v>23</v>
      </c>
      <c r="B22" s="7">
        <v>0.08</v>
      </c>
      <c r="C22" s="7">
        <v>0.08</v>
      </c>
      <c r="D22" s="7">
        <v>0.08</v>
      </c>
      <c r="H22" s="2" t="s">
        <v>23</v>
      </c>
      <c r="I22" s="7">
        <v>7.8E-2</v>
      </c>
      <c r="J22" s="7">
        <v>7.8E-2</v>
      </c>
      <c r="K22" s="7">
        <v>7.8E-2</v>
      </c>
    </row>
    <row r="24" spans="1:11">
      <c r="A24" s="2" t="s">
        <v>24</v>
      </c>
      <c r="B24" s="7">
        <f>B20-B22</f>
        <v>0.15479138227787997</v>
      </c>
      <c r="C24" s="7">
        <f t="shared" ref="C24:D24" si="4">C20-C22</f>
        <v>0.17604307480811088</v>
      </c>
      <c r="D24" s="7">
        <f t="shared" si="4"/>
        <v>0.1879738562091503</v>
      </c>
      <c r="H24" s="2" t="s">
        <v>24</v>
      </c>
      <c r="I24" s="7">
        <f>I20-I22</f>
        <v>0.14109050828242109</v>
      </c>
      <c r="J24" s="7">
        <f t="shared" ref="J24:K24" si="5">J20-J22</f>
        <v>0.14599954460067172</v>
      </c>
      <c r="K24" s="7">
        <f t="shared" si="5"/>
        <v>0.15903703703703703</v>
      </c>
    </row>
    <row r="25" spans="1:11">
      <c r="H25" s="1"/>
      <c r="I25" s="9"/>
      <c r="J25" s="9"/>
      <c r="K25" s="9"/>
    </row>
    <row r="26" spans="1:11">
      <c r="A26" s="2" t="s">
        <v>25</v>
      </c>
      <c r="B26" s="8">
        <f>B18*B24</f>
        <v>2608.0799999999995</v>
      </c>
      <c r="C26" s="8">
        <f t="shared" ref="C26:D26" si="6">C18*C24</f>
        <v>3073.3599999999997</v>
      </c>
      <c r="D26" s="8">
        <f t="shared" si="6"/>
        <v>3364.9199999999996</v>
      </c>
      <c r="H26" s="2" t="s">
        <v>25</v>
      </c>
      <c r="I26" s="8">
        <f>I18*I24</f>
        <v>2240.0939999999996</v>
      </c>
      <c r="J26" s="8">
        <f t="shared" ref="J26:K26" si="7">J18*J24</f>
        <v>2564.7739999999999</v>
      </c>
      <c r="K26" s="8">
        <f t="shared" si="7"/>
        <v>2791.1</v>
      </c>
    </row>
  </sheetData>
  <mergeCells count="2">
    <mergeCell ref="A2:D2"/>
    <mergeCell ref="H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5ca9bd-47bd-4ede-a832-fc65fa9e78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360F130E1A24B8483E00CDB095E27" ma:contentTypeVersion="13" ma:contentTypeDescription="Create a new document." ma:contentTypeScope="" ma:versionID="097152a985c8b08b17fcddda31b16c25">
  <xsd:schema xmlns:xsd="http://www.w3.org/2001/XMLSchema" xmlns:xs="http://www.w3.org/2001/XMLSchema" xmlns:p="http://schemas.microsoft.com/office/2006/metadata/properties" xmlns:ns3="755ca9bd-47bd-4ede-a832-fc65fa9e78de" xmlns:ns4="e2d12f73-0dc8-4a2c-8a70-f7a65740b432" targetNamespace="http://schemas.microsoft.com/office/2006/metadata/properties" ma:root="true" ma:fieldsID="e27b975d0ebaf55307a7b30ec9cfbbfa" ns3:_="" ns4:_="">
    <xsd:import namespace="755ca9bd-47bd-4ede-a832-fc65fa9e78de"/>
    <xsd:import namespace="e2d12f73-0dc8-4a2c-8a70-f7a65740b4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ca9bd-47bd-4ede-a832-fc65fa9e7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12f73-0dc8-4a2c-8a70-f7a65740b43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DDF83B-BB46-4838-BEDE-B6E31B61FA18}"/>
</file>

<file path=customXml/itemProps2.xml><?xml version="1.0" encoding="utf-8"?>
<ds:datastoreItem xmlns:ds="http://schemas.openxmlformats.org/officeDocument/2006/customXml" ds:itemID="{45316C1D-ED9F-4E9D-A75D-C72D89839105}"/>
</file>

<file path=customXml/itemProps3.xml><?xml version="1.0" encoding="utf-8"?>
<ds:datastoreItem xmlns:ds="http://schemas.openxmlformats.org/officeDocument/2006/customXml" ds:itemID="{5381605A-8FF6-4709-B59F-BC676C453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Rita</dc:creator>
  <cp:keywords/>
  <dc:description/>
  <cp:lastModifiedBy/>
  <cp:revision/>
  <dcterms:created xsi:type="dcterms:W3CDTF">2015-06-05T18:17:20Z</dcterms:created>
  <dcterms:modified xsi:type="dcterms:W3CDTF">2024-12-29T17:46:53Z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0x0101000AC360F130E1A24B8483E00CDB095E27</vt:lpwstr>
  </property>
</Properties>
</file>