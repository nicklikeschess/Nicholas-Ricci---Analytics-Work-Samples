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flpoly-my.sharepoint.com/personal/nricci0462_floridapoly_edu/Documents/Internal Internship 23/Step 2/"/>
    </mc:Choice>
  </mc:AlternateContent>
  <xr:revisionPtr revIDLastSave="607" documentId="7_{6A06CF95-52B2-D549-B527-D4F46F396514}" xr6:coauthVersionLast="47" xr6:coauthVersionMax="47" xr10:uidLastSave="{C3590EE5-8655-43BC-A99A-BDA28DB870A5}"/>
  <bookViews>
    <workbookView xWindow="-108" yWindow="-108" windowWidth="23256" windowHeight="12456" firstSheet="3" activeTab="5" xr2:uid="{00000000-000D-0000-FFFF-FFFF00000000}"/>
  </bookViews>
  <sheets>
    <sheet name="SATS BS" sheetId="1" r:id="rId1"/>
    <sheet name="SATS IS" sheetId="2" r:id="rId2"/>
    <sheet name="SATS CF" sheetId="3" r:id="rId3"/>
    <sheet name="Price List" sheetId="4" r:id="rId4"/>
    <sheet name="Costs" sheetId="5" r:id="rId5"/>
    <sheet name="Benefit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5" l="1"/>
  <c r="L6" i="5"/>
  <c r="K6" i="5"/>
  <c r="J6" i="5"/>
  <c r="I6" i="5"/>
  <c r="I5" i="5"/>
  <c r="I4" i="5"/>
</calcChain>
</file>

<file path=xl/sharedStrings.xml><?xml version="1.0" encoding="utf-8"?>
<sst xmlns="http://schemas.openxmlformats.org/spreadsheetml/2006/main" count="534" uniqueCount="254">
  <si>
    <t>Fiscal year is April-March. All values SGD Millions.</t>
  </si>
  <si>
    <t>Cash &amp; Short Term Investments</t>
  </si>
  <si>
    <t>Cash Only</t>
  </si>
  <si>
    <t>Cash &amp; Short Term Investments Growth</t>
  </si>
  <si>
    <t>-</t>
  </si>
  <si>
    <t>Cash &amp; ST Investments / Total Assets</t>
  </si>
  <si>
    <t>Total Accounts Receivable</t>
  </si>
  <si>
    <t>Accounts Receivables, Net</t>
  </si>
  <si>
    <t>Accounts Receivables, Gross</t>
  </si>
  <si>
    <t>Bad Debt/Doubtful Accounts</t>
  </si>
  <si>
    <t>Other Receivables</t>
  </si>
  <si>
    <t>Accounts Receivable Growth</t>
  </si>
  <si>
    <t>Accounts Receivable Turnover</t>
  </si>
  <si>
    <t>Inventories</t>
  </si>
  <si>
    <t>Raw Materials</t>
  </si>
  <si>
    <t>Other Current Assets</t>
  </si>
  <si>
    <t>Miscellaneous Current Assets</t>
  </si>
  <si>
    <t>Total Current Assets</t>
  </si>
  <si>
    <t>Net Property, Plant &amp; Equipment</t>
  </si>
  <si>
    <t>Property, Plant &amp; Equipment - Gross</t>
  </si>
  <si>
    <t>Buildings</t>
  </si>
  <si>
    <t>Construction in Progress</t>
  </si>
  <si>
    <t>Leases</t>
  </si>
  <si>
    <t>Transportation Equipment</t>
  </si>
  <si>
    <t>Other Property, Plant &amp; Equipment</t>
  </si>
  <si>
    <t>Accumulated Depreciation</t>
  </si>
  <si>
    <t>Total Investments and Advances</t>
  </si>
  <si>
    <t>LT Investment - Affiliate Companies</t>
  </si>
  <si>
    <t>Other Long-Term Investments</t>
  </si>
  <si>
    <t>Long-Term Note Receivable</t>
  </si>
  <si>
    <t>Intangible Assets</t>
  </si>
  <si>
    <t>Net Goodwill</t>
  </si>
  <si>
    <t>Net Other Intangibles</t>
  </si>
  <si>
    <t>Other Assets</t>
  </si>
  <si>
    <t>Tangible Other Assets</t>
  </si>
  <si>
    <t>Total Assets</t>
  </si>
  <si>
    <t>Assets - Total - Growth</t>
  </si>
  <si>
    <t>Asset Turnover</t>
  </si>
  <si>
    <t>Return On Average Assets</t>
  </si>
  <si>
    <t>Liabilities &amp; Shareholders' Equity</t>
  </si>
  <si>
    <t>All values SGD Millions.</t>
  </si>
  <si>
    <t>ST Debt &amp; Current Portion LT Debt</t>
  </si>
  <si>
    <t>Short Term Debt</t>
  </si>
  <si>
    <t>Current Portion of Long Term Debt</t>
  </si>
  <si>
    <t>Accounts Payable</t>
  </si>
  <si>
    <t>Accounts Payable Growth</t>
  </si>
  <si>
    <t>Income Tax Payable</t>
  </si>
  <si>
    <t>Other Current Liabilities</t>
  </si>
  <si>
    <t>Miscellaneous Current Liabilities</t>
  </si>
  <si>
    <t>Total Current Liabilities</t>
  </si>
  <si>
    <t>Current Ratio</t>
  </si>
  <si>
    <t>Quick Ratio</t>
  </si>
  <si>
    <t>Cash Ratio</t>
  </si>
  <si>
    <t>Long-Term Debt</t>
  </si>
  <si>
    <t>Long-Term Debt excl. Capitalized Leases</t>
  </si>
  <si>
    <t>Non-Convertible Debt</t>
  </si>
  <si>
    <t>Capitalized Lease Obligations</t>
  </si>
  <si>
    <t>Deferred Taxes</t>
  </si>
  <si>
    <t>Deferred Taxes - Credit</t>
  </si>
  <si>
    <t>Deferred Taxes - Debit</t>
  </si>
  <si>
    <t>Other Liabilities</t>
  </si>
  <si>
    <t>Other Liabilities (excl. Deferred Income)</t>
  </si>
  <si>
    <t>Total Liabilities</t>
  </si>
  <si>
    <t>Total Liabilities / Total Assets</t>
  </si>
  <si>
    <t>Common Equity (Total)</t>
  </si>
  <si>
    <t>Common Stock Par/Carry Value</t>
  </si>
  <si>
    <t>Additional Paid-In Capital/Capital Surplus</t>
  </si>
  <si>
    <t>Cumulative Translation Adjustment/Unrealized For. Exch. Gain</t>
  </si>
  <si>
    <t>Unrealized Gain/Loss Marketable Securities</t>
  </si>
  <si>
    <t>Other Appropriated Reserves</t>
  </si>
  <si>
    <t>Unappropriated Reserves</t>
  </si>
  <si>
    <t>Treasury Stock</t>
  </si>
  <si>
    <t>Common Equity / Total Assets</t>
  </si>
  <si>
    <t>Total Shareholders' Equity</t>
  </si>
  <si>
    <t>Total Shareholders' Equity / Total Assets</t>
  </si>
  <si>
    <t>Accumulated Minority Interest</t>
  </si>
  <si>
    <t>Total Equity</t>
  </si>
  <si>
    <t>Sales/Revenue</t>
  </si>
  <si>
    <t>Sales Growth</t>
  </si>
  <si>
    <t>Cost of Goods Sold (COGS) incl. D&amp;A</t>
  </si>
  <si>
    <t>COGS excluding D&amp;A</t>
  </si>
  <si>
    <t>Depreciation &amp; Amortization Expense</t>
  </si>
  <si>
    <t>Depreciation</t>
  </si>
  <si>
    <t>Amortization of Intangibles</t>
  </si>
  <si>
    <t>COGS Growth</t>
  </si>
  <si>
    <t>Gross Income</t>
  </si>
  <si>
    <t>Gross Income Growth</t>
  </si>
  <si>
    <t>Gross Profit Margin</t>
  </si>
  <si>
    <t>SG&amp;A Expense</t>
  </si>
  <si>
    <t>Other SG&amp;A</t>
  </si>
  <si>
    <t>SGA Growth</t>
  </si>
  <si>
    <t>Other Operating Expense</t>
  </si>
  <si>
    <t>EBIT</t>
  </si>
  <si>
    <t>Unusual Expense</t>
  </si>
  <si>
    <t>Non Operating Income/Expense</t>
  </si>
  <si>
    <t>Non-Operating Interest Income</t>
  </si>
  <si>
    <t>Interest Expense</t>
  </si>
  <si>
    <t>Interest Expense Growth</t>
  </si>
  <si>
    <t>Gross Interest Expense</t>
  </si>
  <si>
    <t>Pretax Income</t>
  </si>
  <si>
    <t>Pretax Income Growth</t>
  </si>
  <si>
    <t>Pretax Margin</t>
  </si>
  <si>
    <t>Income Tax</t>
  </si>
  <si>
    <t>Income Tax - Current Domestic</t>
  </si>
  <si>
    <t>Income Tax - Deferred Domestic</t>
  </si>
  <si>
    <t>Equity in Affiliates</t>
  </si>
  <si>
    <t>Consolidated Net Income</t>
  </si>
  <si>
    <t>Minority Interest Expense</t>
  </si>
  <si>
    <t>Net Income</t>
  </si>
  <si>
    <t>Net Income Growth</t>
  </si>
  <si>
    <t>Net Margin</t>
  </si>
  <si>
    <t>Net Income After Extraordinaries</t>
  </si>
  <si>
    <t>Net Income Available to Common</t>
  </si>
  <si>
    <t>EPS (Basic)</t>
  </si>
  <si>
    <t>EPS (Basic) Growth</t>
  </si>
  <si>
    <t>Basic Shares Outstanding</t>
  </si>
  <si>
    <t>EPS (Diluted)</t>
  </si>
  <si>
    <t>EPS (Diluted) Growth</t>
  </si>
  <si>
    <t>Diluted Shares Outstanding</t>
  </si>
  <si>
    <t>EBITDA</t>
  </si>
  <si>
    <t>EBITDA Growth</t>
  </si>
  <si>
    <t>EBITDA Margin</t>
  </si>
  <si>
    <t>Operating Activities</t>
  </si>
  <si>
    <t>Fiscal year is April-March. All values SGD Thousands.</t>
  </si>
  <si>
    <t>Net Income before Extraordinaries</t>
  </si>
  <si>
    <t>Depreciation, Depletion &amp; Amortization</t>
  </si>
  <si>
    <t>Depreciation and Depletion</t>
  </si>
  <si>
    <t>Amortization of Intangible Assets</t>
  </si>
  <si>
    <t>Other Funds</t>
  </si>
  <si>
    <t>Funds from Operations</t>
  </si>
  <si>
    <t>Changes in Working Capital</t>
  </si>
  <si>
    <t>Receivables</t>
  </si>
  <si>
    <t>Other Assets/Liabilities</t>
  </si>
  <si>
    <t>Net Operating Cash Flow</t>
  </si>
  <si>
    <t>Net Operating Cash Flow Growth</t>
  </si>
  <si>
    <t>Net Operating Cash Flow / Sales</t>
  </si>
  <si>
    <t>Investing Activities</t>
  </si>
  <si>
    <t>All values SGD Thousands.</t>
  </si>
  <si>
    <t>Capital Expenditures</t>
  </si>
  <si>
    <t>Capital Expenditures (Fixed Assets)</t>
  </si>
  <si>
    <t>Capital Expenditures (Other Assets)</t>
  </si>
  <si>
    <t>Capital Expenditures Growth</t>
  </si>
  <si>
    <t>Capital Expenditures / Sales</t>
  </si>
  <si>
    <t>Net Assets from Acquisitions</t>
  </si>
  <si>
    <t>Sale of Fixed Assets &amp; Businesses</t>
  </si>
  <si>
    <t>Purchase/Sale of Investments</t>
  </si>
  <si>
    <t>Purchase of Investments</t>
  </si>
  <si>
    <t>Sale/Maturity of Investments</t>
  </si>
  <si>
    <t>Other Sources</t>
  </si>
  <si>
    <t>Other Uses</t>
  </si>
  <si>
    <t>Net Investing Cash Flow</t>
  </si>
  <si>
    <t>Net Investing Cash Flow Growth</t>
  </si>
  <si>
    <t>Net Investing Cash Flow / Sales</t>
  </si>
  <si>
    <t>Financing Activities</t>
  </si>
  <si>
    <t>Cash Dividends Paid - Total</t>
  </si>
  <si>
    <t>Common Dividends</t>
  </si>
  <si>
    <t>Change in Capital Stock</t>
  </si>
  <si>
    <t>Repurchase of Common &amp; Preferred Stk.</t>
  </si>
  <si>
    <t>Sale of Common &amp; Preferred Stock</t>
  </si>
  <si>
    <t>Proceeds from Stock Options</t>
  </si>
  <si>
    <t>Issuance/Reduction of Debt, Net</t>
  </si>
  <si>
    <t>Other Proceeds from Sale of Stock</t>
  </si>
  <si>
    <t>Change in Long-Term Debt</t>
  </si>
  <si>
    <t>Reduction in Long-Term Debt</t>
  </si>
  <si>
    <t>Net Financing Cash Flow</t>
  </si>
  <si>
    <t>Net Financing Cash Flow Growth</t>
  </si>
  <si>
    <t>Net Financing Cash Flow / Sales</t>
  </si>
  <si>
    <t>Exchange Rate Effect</t>
  </si>
  <si>
    <t>Net Change in Cash</t>
  </si>
  <si>
    <t>Free Cash Flow</t>
  </si>
  <si>
    <t>Free Cash Flow Growth</t>
  </si>
  <si>
    <t>Free Cash Flow Yield</t>
  </si>
  <si>
    <t xml:space="preserve">Service </t>
  </si>
  <si>
    <t>Service Description</t>
  </si>
  <si>
    <t>Price Per Unit/Passenger/Cargo (USD)</t>
  </si>
  <si>
    <t>Passenger</t>
  </si>
  <si>
    <t>Check-In</t>
  </si>
  <si>
    <t>Boarding</t>
  </si>
  <si>
    <t>Baggage Handling (per piece)</t>
  </si>
  <si>
    <t>$2 standard luggage and $5 oversized luggage</t>
  </si>
  <si>
    <t>Lounge Access</t>
  </si>
  <si>
    <t>$25 per passenger</t>
  </si>
  <si>
    <t>Special Assistance (disabled)</t>
  </si>
  <si>
    <t>$15 per passenger</t>
  </si>
  <si>
    <t>Cargo</t>
  </si>
  <si>
    <t>Cargo Handling (per kg)</t>
  </si>
  <si>
    <t>$0.50 for standard cargo, $1.00 for hazardous materials</t>
  </si>
  <si>
    <t>Cargo Storage (per day)</t>
  </si>
  <si>
    <t>$1 per kg for general storage and $2 per kg for temperature-sensitive storage</t>
  </si>
  <si>
    <t>Cargo Documentation</t>
  </si>
  <si>
    <t>$20 per shipment</t>
  </si>
  <si>
    <t>Aircraft</t>
  </si>
  <si>
    <t>Aircraft Ground Handling (per turn)</t>
  </si>
  <si>
    <t>$2,000 for a narrow-body, $4,000 for a wide-body aircraft</t>
  </si>
  <si>
    <t>Fueling Services</t>
  </si>
  <si>
    <t>$3,000 for fueling a narrow-body, $6,000 for a wide-body aircraft</t>
  </si>
  <si>
    <t>Aircraft Cleaning</t>
  </si>
  <si>
    <t>$500 for narrow-body, $1,000 for wide-body aircraft</t>
  </si>
  <si>
    <t>Catering</t>
  </si>
  <si>
    <t>In-Flight Meal Service (per passenger)</t>
  </si>
  <si>
    <t>$15 for economy class, $30 for business class, $50 for first class</t>
  </si>
  <si>
    <t>Beverage Service (per passenger)</t>
  </si>
  <si>
    <t>$5 for all classes</t>
  </si>
  <si>
    <t>Special Dietary Meal</t>
  </si>
  <si>
    <t>$10 per special meal request</t>
  </si>
  <si>
    <t>Security</t>
  </si>
  <si>
    <t>Passenger Security Screening (per passenger)</t>
  </si>
  <si>
    <t>Cargo Security Screening (per shipment)</t>
  </si>
  <si>
    <t>Special</t>
  </si>
  <si>
    <t>VIP Handling</t>
  </si>
  <si>
    <t>$100 per passenger</t>
  </si>
  <si>
    <t>Charter Flight Support</t>
  </si>
  <si>
    <t>Customized Pricing Based On Requirements</t>
  </si>
  <si>
    <t>Event and Promotion Support</t>
  </si>
  <si>
    <t>Cost Name</t>
  </si>
  <si>
    <t>Cost (In Millions)</t>
  </si>
  <si>
    <t>Depreciation and rental cost</t>
  </si>
  <si>
    <t>Maintenance costs</t>
  </si>
  <si>
    <t>Insurance costs</t>
  </si>
  <si>
    <t>Reservation and Booking costs</t>
  </si>
  <si>
    <t>Staff and Management costs</t>
  </si>
  <si>
    <t>Fuel Costs</t>
  </si>
  <si>
    <t>Landing Fees</t>
  </si>
  <si>
    <t>Government Taxes</t>
  </si>
  <si>
    <t>Rent</t>
  </si>
  <si>
    <t>FBO costs</t>
  </si>
  <si>
    <t>Name of Benefit</t>
  </si>
  <si>
    <t>Saving (In Millions of Dollars)</t>
  </si>
  <si>
    <t>Handling Cost Savings</t>
  </si>
  <si>
    <t>Efficiency Gains</t>
  </si>
  <si>
    <t>New Revenue Streams</t>
  </si>
  <si>
    <t>Reduced Administrative Costs</t>
  </si>
  <si>
    <t>Economies of Scale</t>
  </si>
  <si>
    <t>Enhanced Customer Service</t>
  </si>
  <si>
    <t>Market Diversification</t>
  </si>
  <si>
    <t>Tax Incentives</t>
  </si>
  <si>
    <t>Description</t>
  </si>
  <si>
    <t>Price per Unit</t>
  </si>
  <si>
    <t>Weeks</t>
  </si>
  <si>
    <t>Dollars per Year</t>
  </si>
  <si>
    <t>Costs / (1 + WACC) = Present Value</t>
  </si>
  <si>
    <t>Luggage per Year</t>
  </si>
  <si>
    <t>Average Price per Ticket</t>
  </si>
  <si>
    <t>Handling Costs (Per Kg/Pound)</t>
  </si>
  <si>
    <t>N/A</t>
  </si>
  <si>
    <t>$N/A</t>
  </si>
  <si>
    <t>Office Opening Costs</t>
  </si>
  <si>
    <t>Office Salaries (Annual)</t>
  </si>
  <si>
    <t>Office Rent/Housing (Annual)</t>
  </si>
  <si>
    <t>Total Costs</t>
  </si>
  <si>
    <t>Savings on Handling Costs</t>
  </si>
  <si>
    <t>Reduced Transit Time</t>
  </si>
  <si>
    <t>Cost of Outsourcing Reduction</t>
  </si>
  <si>
    <t>Total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</si>
</sst>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45923D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45923D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rgb="FFE5E5E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1" applyBorder="1"/>
    <xf numFmtId="0" fontId="2" fillId="0" borderId="2" xfId="0" applyFont="1" applyBorder="1"/>
    <xf numFmtId="3" fontId="2" fillId="0" borderId="2" xfId="0" applyNumberFormat="1" applyFont="1" applyBorder="1"/>
    <xf numFmtId="10" fontId="3" fillId="0" borderId="2" xfId="0" applyNumberFormat="1" applyFont="1" applyBorder="1"/>
    <xf numFmtId="0" fontId="2" fillId="0" borderId="2" xfId="0" quotePrefix="1" applyFont="1" applyBorder="1"/>
    <xf numFmtId="10" fontId="4" fillId="0" borderId="2" xfId="0" applyNumberFormat="1" applyFont="1" applyBorder="1"/>
    <xf numFmtId="0" fontId="3" fillId="0" borderId="2" xfId="0" applyFont="1" applyBorder="1"/>
    <xf numFmtId="0" fontId="6" fillId="0" borderId="2" xfId="0" applyFont="1" applyBorder="1" applyAlignment="1">
      <alignment wrapText="1"/>
    </xf>
    <xf numFmtId="3" fontId="6" fillId="0" borderId="2" xfId="0" applyNumberFormat="1" applyFont="1" applyBorder="1" applyAlignment="1">
      <alignment wrapText="1"/>
    </xf>
    <xf numFmtId="10" fontId="7" fillId="0" borderId="2" xfId="0" applyNumberFormat="1" applyFont="1" applyBorder="1" applyAlignment="1">
      <alignment wrapText="1"/>
    </xf>
    <xf numFmtId="10" fontId="8" fillId="0" borderId="2" xfId="0" applyNumberFormat="1" applyFont="1" applyBorder="1" applyAlignment="1">
      <alignment wrapText="1"/>
    </xf>
    <xf numFmtId="0" fontId="6" fillId="0" borderId="2" xfId="0" quotePrefix="1" applyFont="1" applyBorder="1" applyAlignment="1">
      <alignment wrapText="1"/>
    </xf>
    <xf numFmtId="0" fontId="9" fillId="0" borderId="2" xfId="0" applyFont="1" applyBorder="1"/>
    <xf numFmtId="0" fontId="10" fillId="0" borderId="2" xfId="0" applyFont="1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3" fontId="2" fillId="0" borderId="3" xfId="0" applyNumberFormat="1" applyFont="1" applyBorder="1"/>
    <xf numFmtId="0" fontId="2" fillId="0" borderId="4" xfId="0" applyFont="1" applyBorder="1"/>
    <xf numFmtId="3" fontId="2" fillId="0" borderId="5" xfId="0" applyNumberFormat="1" applyFont="1" applyBorder="1"/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2" fillId="0" borderId="3" xfId="0" applyFont="1" applyBorder="1"/>
    <xf numFmtId="0" fontId="1" fillId="0" borderId="3" xfId="0" applyFont="1" applyBorder="1"/>
    <xf numFmtId="0" fontId="2" fillId="0" borderId="3" xfId="0" quotePrefix="1" applyFont="1" applyBorder="1"/>
    <xf numFmtId="10" fontId="3" fillId="0" borderId="3" xfId="0" applyNumberFormat="1" applyFont="1" applyBorder="1"/>
    <xf numFmtId="10" fontId="4" fillId="0" borderId="3" xfId="0" applyNumberFormat="1" applyFont="1" applyBorder="1"/>
    <xf numFmtId="4" fontId="2" fillId="0" borderId="2" xfId="0" applyNumberFormat="1" applyFont="1" applyBorder="1"/>
    <xf numFmtId="0" fontId="11" fillId="0" borderId="2" xfId="0" applyFont="1" applyBorder="1"/>
    <xf numFmtId="44" fontId="0" fillId="0" borderId="0" xfId="0" applyNumberFormat="1"/>
    <xf numFmtId="6" fontId="0" fillId="0" borderId="0" xfId="0" applyNumberFormat="1" applyAlignment="1">
      <alignment horizontal="left"/>
    </xf>
    <xf numFmtId="44" fontId="0" fillId="0" borderId="0" xfId="0" applyNumberFormat="1" applyAlignment="1">
      <alignment horizontal="left"/>
    </xf>
    <xf numFmtId="0" fontId="0" fillId="0" borderId="6" xfId="0" applyBorder="1"/>
    <xf numFmtId="8" fontId="0" fillId="0" borderId="6" xfId="0" applyNumberFormat="1" applyBorder="1"/>
    <xf numFmtId="3" fontId="0" fillId="0" borderId="6" xfId="0" applyNumberFormat="1" applyBorder="1"/>
    <xf numFmtId="6" fontId="0" fillId="0" borderId="6" xfId="0" applyNumberFormat="1" applyBorder="1"/>
  </cellXfs>
  <cellStyles count="1">
    <cellStyle name="Normal" xfId="0" builtinId="0"/>
  </cellStyles>
  <dxfs count="3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C38BDD-3638-416A-8BCC-0506FE8315CF}" name="Table2" displayName="Table2" ref="A1:C20" totalsRowShown="0">
  <autoFilter ref="A1:C20" xr:uid="{11C38BDD-3638-416A-8BCC-0506FE8315CF}"/>
  <tableColumns count="3">
    <tableColumn id="1" xr3:uid="{9F7B3695-55BF-4FC8-B1E6-7B9FD5CA0E3F}" name="Service "/>
    <tableColumn id="2" xr3:uid="{FCA566FC-9B21-4EA6-8425-F5F5B9D8A086}" name="Service Description"/>
    <tableColumn id="3" xr3:uid="{31164ED2-0E14-45ED-AF5F-E49744B46F41}" name="Price Per Unit/Passenger/Cargo (USD)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CC0CF2-D83B-4B21-9975-294381C017FE}" name="Table1" displayName="Table1" ref="A1:B11" totalsRowShown="0">
  <autoFilter ref="A1:B11" xr:uid="{2ACC0CF2-D83B-4B21-9975-294381C017FE}"/>
  <tableColumns count="2">
    <tableColumn id="1" xr3:uid="{29C90613-4C8E-4E88-B8F7-2DCE232E9E97}" name="Cost Name"/>
    <tableColumn id="2" xr3:uid="{8F6151A2-37AF-4703-9E5A-455FCB827128}" name="Cost (In Millions)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96CC68-71BB-4A0F-8CE4-0B8BC6E30FFD}" name="Table3" displayName="Table3" ref="A1:B9" totalsRowShown="0">
  <autoFilter ref="A1:B9" xr:uid="{B596CC68-71BB-4A0F-8CE4-0B8BC6E30FFD}"/>
  <tableColumns count="2">
    <tableColumn id="1" xr3:uid="{0CDFFA31-B614-4254-8C2B-26D73E5EC69C}" name="Name of Benefit"/>
    <tableColumn id="2" xr3:uid="{FD1F8149-830F-44E4-A67C-CA73C008BB23}" name="Saving (In Millions of Dollars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6AD65-40E6-8B48-82DF-B0D9E03F6C29}">
  <dimension ref="A1:G81"/>
  <sheetViews>
    <sheetView zoomScaleNormal="60" zoomScaleSheetLayoutView="100" workbookViewId="0">
      <selection activeCell="C25" sqref="C25"/>
    </sheetView>
  </sheetViews>
  <sheetFormatPr defaultRowHeight="14.4" x14ac:dyDescent="0.3"/>
  <cols>
    <col min="1" max="1" width="60.5546875" bestFit="1" customWidth="1"/>
    <col min="2" max="2" width="9.109375" bestFit="1" customWidth="1"/>
    <col min="4" max="4" width="9" customWidth="1"/>
    <col min="5" max="5" width="8.6640625" bestFit="1" customWidth="1"/>
    <col min="6" max="6" width="9" customWidth="1"/>
  </cols>
  <sheetData>
    <row r="1" spans="1:7" ht="15.6" x14ac:dyDescent="0.3">
      <c r="A1" s="13" t="s">
        <v>0</v>
      </c>
      <c r="B1" s="13">
        <v>2023</v>
      </c>
      <c r="C1" s="13">
        <v>2022</v>
      </c>
      <c r="D1" s="13">
        <v>2021</v>
      </c>
      <c r="E1" s="13">
        <v>2020</v>
      </c>
      <c r="F1" s="13">
        <v>2019</v>
      </c>
      <c r="G1" s="15"/>
    </row>
    <row r="2" spans="1:7" ht="15.6" x14ac:dyDescent="0.3">
      <c r="A2" s="2" t="s">
        <v>1</v>
      </c>
      <c r="B2" s="3">
        <v>2148</v>
      </c>
      <c r="C2" s="2">
        <v>786</v>
      </c>
      <c r="D2" s="2">
        <v>880</v>
      </c>
      <c r="E2" s="2">
        <v>549</v>
      </c>
      <c r="F2" s="2">
        <v>350</v>
      </c>
      <c r="G2" s="16"/>
    </row>
    <row r="3" spans="1:7" ht="15.6" x14ac:dyDescent="0.3">
      <c r="A3" s="2" t="s">
        <v>2</v>
      </c>
      <c r="B3" s="3">
        <v>2148</v>
      </c>
      <c r="C3" s="2">
        <v>786</v>
      </c>
      <c r="D3" s="2">
        <v>880</v>
      </c>
      <c r="E3" s="2">
        <v>549</v>
      </c>
      <c r="F3" s="2">
        <v>350</v>
      </c>
      <c r="G3" s="16"/>
    </row>
    <row r="4" spans="1:7" ht="15.6" x14ac:dyDescent="0.3">
      <c r="A4" s="2" t="s">
        <v>3</v>
      </c>
      <c r="B4" s="4">
        <v>1.7332000000000001</v>
      </c>
      <c r="C4" s="6">
        <v>-0.1066</v>
      </c>
      <c r="D4" s="4">
        <v>0.60199999999999998</v>
      </c>
      <c r="E4" s="4">
        <v>0.56979999999999997</v>
      </c>
      <c r="F4" s="5" t="s">
        <v>4</v>
      </c>
      <c r="G4" s="16"/>
    </row>
    <row r="5" spans="1:7" ht="15.6" x14ac:dyDescent="0.3">
      <c r="A5" s="2" t="s">
        <v>5</v>
      </c>
      <c r="B5" s="4">
        <v>0.4597</v>
      </c>
      <c r="C5" s="4">
        <v>0.23880000000000001</v>
      </c>
      <c r="D5" s="4">
        <v>0.28460000000000002</v>
      </c>
      <c r="E5" s="4">
        <v>0.18240000000000001</v>
      </c>
      <c r="F5" s="4">
        <v>0.14530000000000001</v>
      </c>
      <c r="G5" s="16"/>
    </row>
    <row r="6" spans="1:7" ht="15.6" x14ac:dyDescent="0.3">
      <c r="A6" s="2" t="s">
        <v>6</v>
      </c>
      <c r="B6" s="2">
        <v>485</v>
      </c>
      <c r="C6" s="2">
        <v>390</v>
      </c>
      <c r="D6" s="2">
        <v>293</v>
      </c>
      <c r="E6" s="2">
        <v>389</v>
      </c>
      <c r="F6" s="2">
        <v>306</v>
      </c>
      <c r="G6" s="16"/>
    </row>
    <row r="7" spans="1:7" ht="15.6" x14ac:dyDescent="0.3">
      <c r="A7" s="2" t="s">
        <v>7</v>
      </c>
      <c r="B7" s="2">
        <v>481</v>
      </c>
      <c r="C7" s="2">
        <v>279</v>
      </c>
      <c r="D7" s="2">
        <v>204</v>
      </c>
      <c r="E7" s="2">
        <v>273</v>
      </c>
      <c r="F7" s="2">
        <v>283</v>
      </c>
      <c r="G7" s="16"/>
    </row>
    <row r="8" spans="1:7" ht="15.6" x14ac:dyDescent="0.3">
      <c r="A8" s="2" t="s">
        <v>8</v>
      </c>
      <c r="B8" s="2">
        <v>481</v>
      </c>
      <c r="C8" s="2">
        <v>305</v>
      </c>
      <c r="D8" s="2">
        <v>218</v>
      </c>
      <c r="E8" s="2">
        <v>276</v>
      </c>
      <c r="F8" s="2">
        <v>283</v>
      </c>
      <c r="G8" s="16"/>
    </row>
    <row r="9" spans="1:7" ht="15.6" x14ac:dyDescent="0.3">
      <c r="A9" s="2" t="s">
        <v>9</v>
      </c>
      <c r="B9" s="5" t="s">
        <v>4</v>
      </c>
      <c r="C9" s="2">
        <v>-26</v>
      </c>
      <c r="D9" s="2">
        <v>-14</v>
      </c>
      <c r="E9" s="2">
        <v>-3</v>
      </c>
      <c r="F9" s="5" t="s">
        <v>4</v>
      </c>
      <c r="G9" s="16"/>
    </row>
    <row r="10" spans="1:7" ht="15.6" x14ac:dyDescent="0.3">
      <c r="A10" s="2" t="s">
        <v>10</v>
      </c>
      <c r="B10" s="2">
        <v>4</v>
      </c>
      <c r="C10" s="2">
        <v>111</v>
      </c>
      <c r="D10" s="2">
        <v>88</v>
      </c>
      <c r="E10" s="2">
        <v>115</v>
      </c>
      <c r="F10" s="2">
        <v>23</v>
      </c>
      <c r="G10" s="16"/>
    </row>
    <row r="11" spans="1:7" ht="15.6" x14ac:dyDescent="0.3">
      <c r="A11" s="2" t="s">
        <v>11</v>
      </c>
      <c r="B11" s="4">
        <v>0.2437</v>
      </c>
      <c r="C11" s="4">
        <v>0.33250000000000002</v>
      </c>
      <c r="D11" s="6">
        <v>-0.24709999999999999</v>
      </c>
      <c r="E11" s="4">
        <v>0.26979999999999998</v>
      </c>
      <c r="F11" s="5" t="s">
        <v>4</v>
      </c>
      <c r="G11" s="16"/>
    </row>
    <row r="12" spans="1:7" ht="15.6" x14ac:dyDescent="0.3">
      <c r="A12" s="2" t="s">
        <v>12</v>
      </c>
      <c r="B12" s="7">
        <v>3.62</v>
      </c>
      <c r="C12" s="7">
        <v>3.02</v>
      </c>
      <c r="D12" s="7">
        <v>3.31</v>
      </c>
      <c r="E12" s="7">
        <v>4.99</v>
      </c>
      <c r="F12" s="7">
        <v>5.97</v>
      </c>
      <c r="G12" s="16"/>
    </row>
    <row r="13" spans="1:7" ht="15.6" x14ac:dyDescent="0.3">
      <c r="A13" s="2" t="s">
        <v>13</v>
      </c>
      <c r="B13" s="2">
        <v>69</v>
      </c>
      <c r="C13" s="2">
        <v>83</v>
      </c>
      <c r="D13" s="2">
        <v>130</v>
      </c>
      <c r="E13" s="2">
        <v>67</v>
      </c>
      <c r="F13" s="2">
        <v>24</v>
      </c>
      <c r="G13" s="16"/>
    </row>
    <row r="14" spans="1:7" ht="15.6" x14ac:dyDescent="0.3">
      <c r="A14" s="2" t="s">
        <v>14</v>
      </c>
      <c r="B14" s="5" t="s">
        <v>4</v>
      </c>
      <c r="C14" s="2">
        <v>83</v>
      </c>
      <c r="D14" s="2">
        <v>130</v>
      </c>
      <c r="E14" s="2">
        <v>67</v>
      </c>
      <c r="F14" s="2">
        <v>24</v>
      </c>
      <c r="G14" s="16"/>
    </row>
    <row r="15" spans="1:7" ht="15.6" x14ac:dyDescent="0.3">
      <c r="A15" s="2" t="s">
        <v>15</v>
      </c>
      <c r="B15" s="2">
        <v>21</v>
      </c>
      <c r="C15" s="2">
        <v>37</v>
      </c>
      <c r="D15" s="2">
        <v>20</v>
      </c>
      <c r="E15" s="2">
        <v>23</v>
      </c>
      <c r="F15" s="2">
        <v>30</v>
      </c>
      <c r="G15" s="16"/>
    </row>
    <row r="16" spans="1:7" ht="15.6" x14ac:dyDescent="0.3">
      <c r="A16" s="2" t="s">
        <v>16</v>
      </c>
      <c r="B16" s="2">
        <v>21</v>
      </c>
      <c r="C16" s="2">
        <v>37</v>
      </c>
      <c r="D16" s="2">
        <v>20</v>
      </c>
      <c r="E16" s="2">
        <v>23</v>
      </c>
      <c r="F16" s="2">
        <v>30</v>
      </c>
      <c r="G16" s="16"/>
    </row>
    <row r="17" spans="1:7" ht="15.6" x14ac:dyDescent="0.3">
      <c r="A17" s="2" t="s">
        <v>17</v>
      </c>
      <c r="B17" s="3">
        <v>2723</v>
      </c>
      <c r="C17" s="3">
        <v>1296</v>
      </c>
      <c r="D17" s="3">
        <v>1323</v>
      </c>
      <c r="E17" s="3">
        <v>1028</v>
      </c>
      <c r="F17" s="2">
        <v>710</v>
      </c>
      <c r="G17" s="16"/>
    </row>
    <row r="18" spans="1:7" ht="15.6" x14ac:dyDescent="0.3">
      <c r="A18" s="2" t="s">
        <v>18</v>
      </c>
      <c r="B18" s="2">
        <v>900</v>
      </c>
      <c r="C18" s="2">
        <v>902</v>
      </c>
      <c r="D18" s="2">
        <v>707</v>
      </c>
      <c r="E18" s="2">
        <v>808</v>
      </c>
      <c r="F18" s="2">
        <v>579</v>
      </c>
      <c r="G18" s="16"/>
    </row>
    <row r="19" spans="1:7" ht="15.6" x14ac:dyDescent="0.3">
      <c r="A19" s="2" t="s">
        <v>19</v>
      </c>
      <c r="B19" s="5" t="s">
        <v>4</v>
      </c>
      <c r="C19" s="3">
        <v>2607</v>
      </c>
      <c r="D19" s="3">
        <v>1973</v>
      </c>
      <c r="E19" s="3">
        <v>1991</v>
      </c>
      <c r="F19" s="3">
        <v>1659</v>
      </c>
      <c r="G19" s="16"/>
    </row>
    <row r="20" spans="1:7" ht="15.6" x14ac:dyDescent="0.3">
      <c r="A20" s="2" t="s">
        <v>20</v>
      </c>
      <c r="B20" s="5" t="s">
        <v>4</v>
      </c>
      <c r="C20" s="2">
        <v>87</v>
      </c>
      <c r="D20" s="2">
        <v>95</v>
      </c>
      <c r="E20" s="2">
        <v>106</v>
      </c>
      <c r="F20" s="2">
        <v>93</v>
      </c>
      <c r="G20" s="16"/>
    </row>
    <row r="21" spans="1:7" ht="15.6" x14ac:dyDescent="0.3">
      <c r="A21" s="2" t="s">
        <v>21</v>
      </c>
      <c r="B21" s="5" t="s">
        <v>4</v>
      </c>
      <c r="C21" s="2">
        <v>74</v>
      </c>
      <c r="D21" s="2">
        <v>33</v>
      </c>
      <c r="E21" s="2">
        <v>34</v>
      </c>
      <c r="F21" s="2">
        <v>101</v>
      </c>
      <c r="G21" s="16"/>
    </row>
    <row r="22" spans="1:7" ht="15.6" x14ac:dyDescent="0.3">
      <c r="A22" s="2" t="s">
        <v>22</v>
      </c>
      <c r="B22" s="5" t="s">
        <v>4</v>
      </c>
      <c r="C22" s="3">
        <v>1090</v>
      </c>
      <c r="D22" s="2">
        <v>804</v>
      </c>
      <c r="E22" s="2">
        <v>804</v>
      </c>
      <c r="F22" s="2">
        <v>709</v>
      </c>
      <c r="G22" s="16"/>
    </row>
    <row r="23" spans="1:7" ht="15.6" x14ac:dyDescent="0.3">
      <c r="A23" s="2" t="s">
        <v>23</v>
      </c>
      <c r="B23" s="5" t="s">
        <v>4</v>
      </c>
      <c r="C23" s="2">
        <v>67</v>
      </c>
      <c r="D23" s="2">
        <v>68</v>
      </c>
      <c r="E23" s="2">
        <v>67</v>
      </c>
      <c r="F23" s="2">
        <v>68</v>
      </c>
      <c r="G23" s="16"/>
    </row>
    <row r="24" spans="1:7" ht="15.6" x14ac:dyDescent="0.3">
      <c r="A24" s="2" t="s">
        <v>24</v>
      </c>
      <c r="B24" s="5" t="s">
        <v>4</v>
      </c>
      <c r="C24" s="2">
        <v>976</v>
      </c>
      <c r="D24" s="2">
        <v>784</v>
      </c>
      <c r="E24" s="2">
        <v>774</v>
      </c>
      <c r="F24" s="2">
        <v>688</v>
      </c>
      <c r="G24" s="16"/>
    </row>
    <row r="25" spans="1:7" ht="15.6" x14ac:dyDescent="0.3">
      <c r="A25" s="2" t="s">
        <v>25</v>
      </c>
      <c r="B25" s="5" t="s">
        <v>4</v>
      </c>
      <c r="C25" s="3">
        <v>1705</v>
      </c>
      <c r="D25" s="3">
        <v>1265</v>
      </c>
      <c r="E25" s="3">
        <v>1182</v>
      </c>
      <c r="F25" s="3">
        <v>1080</v>
      </c>
      <c r="G25" s="16"/>
    </row>
    <row r="26" spans="1:7" ht="15.6" x14ac:dyDescent="0.3">
      <c r="A26" s="2" t="s">
        <v>20</v>
      </c>
      <c r="B26" s="5" t="s">
        <v>4</v>
      </c>
      <c r="C26" s="2">
        <v>23</v>
      </c>
      <c r="D26" s="2">
        <v>27</v>
      </c>
      <c r="E26" s="2">
        <v>26</v>
      </c>
      <c r="F26" s="2">
        <v>18</v>
      </c>
      <c r="G26" s="16"/>
    </row>
    <row r="27" spans="1:7" ht="15.6" x14ac:dyDescent="0.3">
      <c r="A27" s="2" t="s">
        <v>21</v>
      </c>
      <c r="B27" s="5" t="s">
        <v>4</v>
      </c>
      <c r="C27" s="2">
        <v>5</v>
      </c>
      <c r="D27" s="2">
        <v>2</v>
      </c>
      <c r="E27" s="5" t="s">
        <v>4</v>
      </c>
      <c r="F27" s="5" t="s">
        <v>4</v>
      </c>
      <c r="G27" s="16"/>
    </row>
    <row r="28" spans="1:7" ht="15.6" x14ac:dyDescent="0.3">
      <c r="A28" s="2" t="s">
        <v>23</v>
      </c>
      <c r="B28" s="5" t="s">
        <v>4</v>
      </c>
      <c r="C28" s="2">
        <v>45</v>
      </c>
      <c r="D28" s="2">
        <v>42</v>
      </c>
      <c r="E28" s="2">
        <v>38</v>
      </c>
      <c r="F28" s="2">
        <v>36</v>
      </c>
      <c r="G28" s="16"/>
    </row>
    <row r="29" spans="1:7" ht="15.6" x14ac:dyDescent="0.3">
      <c r="A29" s="2" t="s">
        <v>24</v>
      </c>
      <c r="B29" s="5" t="s">
        <v>4</v>
      </c>
      <c r="C29" s="2">
        <v>778</v>
      </c>
      <c r="D29" s="2">
        <v>593</v>
      </c>
      <c r="E29" s="2">
        <v>543</v>
      </c>
      <c r="F29" s="2">
        <v>501</v>
      </c>
      <c r="G29" s="16"/>
    </row>
    <row r="30" spans="1:7" ht="15.6" x14ac:dyDescent="0.3">
      <c r="A30" s="2" t="s">
        <v>26</v>
      </c>
      <c r="B30" s="2">
        <v>459</v>
      </c>
      <c r="C30" s="2">
        <v>469</v>
      </c>
      <c r="D30" s="2">
        <v>593</v>
      </c>
      <c r="E30" s="2">
        <v>718</v>
      </c>
      <c r="F30" s="2">
        <v>752</v>
      </c>
      <c r="G30" s="16"/>
    </row>
    <row r="31" spans="1:7" ht="15.6" x14ac:dyDescent="0.3">
      <c r="A31" s="2" t="s">
        <v>27</v>
      </c>
      <c r="B31" s="2">
        <v>444</v>
      </c>
      <c r="C31" s="2">
        <v>454</v>
      </c>
      <c r="D31" s="2">
        <v>578</v>
      </c>
      <c r="E31" s="2">
        <v>689</v>
      </c>
      <c r="F31" s="2">
        <v>724</v>
      </c>
      <c r="G31" s="16"/>
    </row>
    <row r="32" spans="1:7" ht="15.6" x14ac:dyDescent="0.3">
      <c r="A32" s="2" t="s">
        <v>28</v>
      </c>
      <c r="B32" s="2">
        <v>14</v>
      </c>
      <c r="C32" s="2">
        <v>15</v>
      </c>
      <c r="D32" s="2">
        <v>15</v>
      </c>
      <c r="E32" s="2">
        <v>29</v>
      </c>
      <c r="F32" s="2">
        <v>28</v>
      </c>
      <c r="G32" s="16"/>
    </row>
    <row r="33" spans="1:7" ht="15.6" x14ac:dyDescent="0.3">
      <c r="A33" s="2" t="s">
        <v>29</v>
      </c>
      <c r="B33" s="5" t="s">
        <v>4</v>
      </c>
      <c r="C33" s="2">
        <v>2</v>
      </c>
      <c r="D33" s="5" t="s">
        <v>4</v>
      </c>
      <c r="E33" s="5" t="s">
        <v>4</v>
      </c>
      <c r="F33" s="5" t="s">
        <v>4</v>
      </c>
      <c r="G33" s="16"/>
    </row>
    <row r="34" spans="1:7" ht="15.6" x14ac:dyDescent="0.3">
      <c r="A34" s="2" t="s">
        <v>30</v>
      </c>
      <c r="B34" s="2">
        <v>527</v>
      </c>
      <c r="C34" s="2">
        <v>553</v>
      </c>
      <c r="D34" s="2">
        <v>411</v>
      </c>
      <c r="E34" s="2">
        <v>427</v>
      </c>
      <c r="F34" s="2">
        <v>351</v>
      </c>
      <c r="G34" s="16"/>
    </row>
    <row r="35" spans="1:7" ht="15.6" x14ac:dyDescent="0.3">
      <c r="A35" s="2" t="s">
        <v>31</v>
      </c>
      <c r="B35" s="5" t="s">
        <v>4</v>
      </c>
      <c r="C35" s="2">
        <v>324</v>
      </c>
      <c r="D35" s="2">
        <v>276</v>
      </c>
      <c r="E35" s="2">
        <v>303</v>
      </c>
      <c r="F35" s="2">
        <v>246</v>
      </c>
      <c r="G35" s="16"/>
    </row>
    <row r="36" spans="1:7" ht="15.6" x14ac:dyDescent="0.3">
      <c r="A36" s="2" t="s">
        <v>32</v>
      </c>
      <c r="B36" s="5" t="s">
        <v>4</v>
      </c>
      <c r="C36" s="2">
        <v>229</v>
      </c>
      <c r="D36" s="2">
        <v>134</v>
      </c>
      <c r="E36" s="2">
        <v>125</v>
      </c>
      <c r="F36" s="2">
        <v>105</v>
      </c>
      <c r="G36" s="16"/>
    </row>
    <row r="37" spans="1:7" ht="15.6" x14ac:dyDescent="0.3">
      <c r="A37" s="2" t="s">
        <v>33</v>
      </c>
      <c r="B37" s="2">
        <v>9</v>
      </c>
      <c r="C37" s="2">
        <v>13</v>
      </c>
      <c r="D37" s="2">
        <v>23</v>
      </c>
      <c r="E37" s="2">
        <v>15</v>
      </c>
      <c r="F37" s="2">
        <v>4</v>
      </c>
      <c r="G37" s="16"/>
    </row>
    <row r="38" spans="1:7" ht="15.6" x14ac:dyDescent="0.3">
      <c r="A38" s="2" t="s">
        <v>34</v>
      </c>
      <c r="B38" s="2">
        <v>9</v>
      </c>
      <c r="C38" s="2">
        <v>13</v>
      </c>
      <c r="D38" s="2">
        <v>23</v>
      </c>
      <c r="E38" s="2">
        <v>15</v>
      </c>
      <c r="F38" s="2">
        <v>4</v>
      </c>
      <c r="G38" s="16"/>
    </row>
    <row r="39" spans="1:7" ht="15.6" x14ac:dyDescent="0.3">
      <c r="A39" s="2" t="s">
        <v>35</v>
      </c>
      <c r="B39" s="3">
        <v>4674</v>
      </c>
      <c r="C39" s="3">
        <v>3292</v>
      </c>
      <c r="D39" s="3">
        <v>3092</v>
      </c>
      <c r="E39" s="3">
        <v>3011</v>
      </c>
      <c r="F39" s="3">
        <v>2408</v>
      </c>
      <c r="G39" s="16"/>
    </row>
    <row r="40" spans="1:7" ht="15.6" x14ac:dyDescent="0.3">
      <c r="A40" s="2" t="s">
        <v>36</v>
      </c>
      <c r="B40" s="4">
        <v>0.41959999999999997</v>
      </c>
      <c r="C40" s="4">
        <v>6.4799999999999996E-2</v>
      </c>
      <c r="D40" s="4">
        <v>2.7E-2</v>
      </c>
      <c r="E40" s="4">
        <v>0.25</v>
      </c>
      <c r="F40" s="5" t="s">
        <v>4</v>
      </c>
      <c r="G40" s="16"/>
    </row>
    <row r="41" spans="1:7" ht="15.6" x14ac:dyDescent="0.3">
      <c r="A41" s="2" t="s">
        <v>37</v>
      </c>
      <c r="B41" s="7">
        <v>0.44</v>
      </c>
      <c r="C41" s="5" t="s">
        <v>4</v>
      </c>
      <c r="D41" s="5" t="s">
        <v>4</v>
      </c>
      <c r="E41" s="5" t="s">
        <v>4</v>
      </c>
      <c r="F41" s="5" t="s">
        <v>4</v>
      </c>
      <c r="G41" s="16"/>
    </row>
    <row r="42" spans="1:7" ht="15.6" x14ac:dyDescent="0.3">
      <c r="A42" s="2" t="s">
        <v>38</v>
      </c>
      <c r="B42" s="6">
        <v>-6.7000000000000002E-3</v>
      </c>
      <c r="C42" s="5" t="s">
        <v>4</v>
      </c>
      <c r="D42" s="5" t="s">
        <v>4</v>
      </c>
      <c r="E42" s="5" t="s">
        <v>4</v>
      </c>
      <c r="F42" s="5" t="s">
        <v>4</v>
      </c>
      <c r="G42" s="16"/>
    </row>
    <row r="43" spans="1:7" ht="15.6" x14ac:dyDescent="0.3">
      <c r="A43" s="2" t="s">
        <v>39</v>
      </c>
      <c r="B43" s="2"/>
      <c r="C43" s="2"/>
      <c r="D43" s="2"/>
      <c r="E43" s="2"/>
      <c r="F43" s="2"/>
      <c r="G43" s="17"/>
    </row>
    <row r="44" spans="1:7" ht="15.6" x14ac:dyDescent="0.3">
      <c r="A44" s="1" t="s">
        <v>40</v>
      </c>
      <c r="B44" s="1">
        <v>2023</v>
      </c>
      <c r="C44" s="1">
        <v>2022</v>
      </c>
      <c r="D44" s="1">
        <v>2021</v>
      </c>
      <c r="E44" s="1">
        <v>2020</v>
      </c>
      <c r="F44" s="1">
        <v>2019</v>
      </c>
      <c r="G44" s="15"/>
    </row>
    <row r="45" spans="1:7" ht="15.6" x14ac:dyDescent="0.3">
      <c r="A45" s="2" t="s">
        <v>41</v>
      </c>
      <c r="B45" s="2">
        <v>54</v>
      </c>
      <c r="C45" s="2">
        <v>143</v>
      </c>
      <c r="D45" s="2">
        <v>159</v>
      </c>
      <c r="E45" s="2">
        <v>132</v>
      </c>
      <c r="F45" s="2">
        <v>0</v>
      </c>
      <c r="G45" s="16"/>
    </row>
    <row r="46" spans="1:7" ht="15.6" x14ac:dyDescent="0.3">
      <c r="A46" s="2" t="s">
        <v>42</v>
      </c>
      <c r="B46" s="2">
        <v>13</v>
      </c>
      <c r="C46" s="2">
        <v>102</v>
      </c>
      <c r="D46" s="2">
        <v>143</v>
      </c>
      <c r="E46" s="2">
        <v>112</v>
      </c>
      <c r="F46" s="5" t="s">
        <v>4</v>
      </c>
      <c r="G46" s="16"/>
    </row>
    <row r="47" spans="1:7" ht="15.6" x14ac:dyDescent="0.3">
      <c r="A47" s="2" t="s">
        <v>43</v>
      </c>
      <c r="B47" s="2">
        <v>41</v>
      </c>
      <c r="C47" s="2">
        <v>41</v>
      </c>
      <c r="D47" s="2">
        <v>16</v>
      </c>
      <c r="E47" s="2">
        <v>19</v>
      </c>
      <c r="F47" s="2">
        <v>0</v>
      </c>
      <c r="G47" s="16"/>
    </row>
    <row r="48" spans="1:7" ht="15.6" x14ac:dyDescent="0.3">
      <c r="A48" s="2" t="s">
        <v>44</v>
      </c>
      <c r="B48" s="2">
        <v>522</v>
      </c>
      <c r="C48" s="2">
        <v>261</v>
      </c>
      <c r="D48" s="2">
        <v>170</v>
      </c>
      <c r="E48" s="2">
        <v>189</v>
      </c>
      <c r="F48" s="2">
        <v>162</v>
      </c>
      <c r="G48" s="16"/>
    </row>
    <row r="49" spans="1:7" ht="15.6" x14ac:dyDescent="0.3">
      <c r="A49" s="2" t="s">
        <v>45</v>
      </c>
      <c r="B49" s="4">
        <v>0.998</v>
      </c>
      <c r="C49" s="4">
        <v>0.53639999999999999</v>
      </c>
      <c r="D49" s="6">
        <v>-0.1017</v>
      </c>
      <c r="E49" s="4">
        <v>0.1719</v>
      </c>
      <c r="F49" s="5" t="s">
        <v>4</v>
      </c>
      <c r="G49" s="16"/>
    </row>
    <row r="50" spans="1:7" ht="15.6" x14ac:dyDescent="0.3">
      <c r="A50" s="2" t="s">
        <v>46</v>
      </c>
      <c r="B50" s="2">
        <v>18</v>
      </c>
      <c r="C50" s="2">
        <v>18</v>
      </c>
      <c r="D50" s="2">
        <v>36</v>
      </c>
      <c r="E50" s="2">
        <v>46</v>
      </c>
      <c r="F50" s="2">
        <v>57</v>
      </c>
      <c r="G50" s="16"/>
    </row>
    <row r="51" spans="1:7" ht="15.6" x14ac:dyDescent="0.3">
      <c r="A51" s="2" t="s">
        <v>47</v>
      </c>
      <c r="B51" s="2">
        <v>12</v>
      </c>
      <c r="C51" s="2">
        <v>208</v>
      </c>
      <c r="D51" s="2">
        <v>200</v>
      </c>
      <c r="E51" s="2">
        <v>194</v>
      </c>
      <c r="F51" s="2">
        <v>170</v>
      </c>
      <c r="G51" s="16"/>
    </row>
    <row r="52" spans="1:7" ht="15.6" x14ac:dyDescent="0.3">
      <c r="A52" s="2" t="s">
        <v>48</v>
      </c>
      <c r="B52" s="2">
        <v>12</v>
      </c>
      <c r="C52" s="2">
        <v>208</v>
      </c>
      <c r="D52" s="2">
        <v>200</v>
      </c>
      <c r="E52" s="2">
        <v>194</v>
      </c>
      <c r="F52" s="2">
        <v>170</v>
      </c>
      <c r="G52" s="16"/>
    </row>
    <row r="53" spans="1:7" ht="15.6" x14ac:dyDescent="0.3">
      <c r="A53" s="2" t="s">
        <v>49</v>
      </c>
      <c r="B53" s="2">
        <v>606</v>
      </c>
      <c r="C53" s="2">
        <v>631</v>
      </c>
      <c r="D53" s="2">
        <v>565</v>
      </c>
      <c r="E53" s="2">
        <v>561</v>
      </c>
      <c r="F53" s="2">
        <v>389</v>
      </c>
      <c r="G53" s="16"/>
    </row>
    <row r="54" spans="1:7" ht="15.6" x14ac:dyDescent="0.3">
      <c r="A54" s="2" t="s">
        <v>50</v>
      </c>
      <c r="B54" s="7">
        <v>4.49</v>
      </c>
      <c r="C54" s="7">
        <v>2.06</v>
      </c>
      <c r="D54" s="7">
        <v>2.34</v>
      </c>
      <c r="E54" s="7">
        <v>1.83</v>
      </c>
      <c r="F54" s="7">
        <v>1.82</v>
      </c>
      <c r="G54" s="16"/>
    </row>
    <row r="55" spans="1:7" ht="15.6" x14ac:dyDescent="0.3">
      <c r="A55" s="2" t="s">
        <v>51</v>
      </c>
      <c r="B55" s="7">
        <v>4.38</v>
      </c>
      <c r="C55" s="7">
        <v>1.92</v>
      </c>
      <c r="D55" s="7">
        <v>2.11</v>
      </c>
      <c r="E55" s="7">
        <v>1.71</v>
      </c>
      <c r="F55" s="7">
        <v>1.76</v>
      </c>
      <c r="G55" s="16"/>
    </row>
    <row r="56" spans="1:7" ht="15.6" x14ac:dyDescent="0.3">
      <c r="A56" s="2" t="s">
        <v>52</v>
      </c>
      <c r="B56" s="7">
        <v>3.54</v>
      </c>
      <c r="C56" s="7">
        <v>1.25</v>
      </c>
      <c r="D56" s="7">
        <v>1.56</v>
      </c>
      <c r="E56" s="7">
        <v>0.98</v>
      </c>
      <c r="F56" s="7">
        <v>0.9</v>
      </c>
      <c r="G56" s="16"/>
    </row>
    <row r="57" spans="1:7" ht="15.6" x14ac:dyDescent="0.3">
      <c r="A57" s="2" t="s">
        <v>53</v>
      </c>
      <c r="B57" s="3">
        <v>1424</v>
      </c>
      <c r="C57" s="2">
        <v>695</v>
      </c>
      <c r="D57" s="2">
        <v>714</v>
      </c>
      <c r="E57" s="2">
        <v>493</v>
      </c>
      <c r="F57" s="2">
        <v>96</v>
      </c>
      <c r="G57" s="16"/>
    </row>
    <row r="58" spans="1:7" ht="15.6" x14ac:dyDescent="0.3">
      <c r="A58" s="2" t="s">
        <v>54</v>
      </c>
      <c r="B58" s="3">
        <v>1134</v>
      </c>
      <c r="C58" s="2">
        <v>409</v>
      </c>
      <c r="D58" s="2">
        <v>535</v>
      </c>
      <c r="E58" s="2">
        <v>302</v>
      </c>
      <c r="F58" s="2">
        <v>95</v>
      </c>
      <c r="G58" s="16"/>
    </row>
    <row r="59" spans="1:7" ht="15.6" x14ac:dyDescent="0.3">
      <c r="A59" s="2" t="s">
        <v>55</v>
      </c>
      <c r="B59" s="5" t="s">
        <v>4</v>
      </c>
      <c r="C59" s="2">
        <v>409</v>
      </c>
      <c r="D59" s="2">
        <v>535</v>
      </c>
      <c r="E59" s="2">
        <v>302</v>
      </c>
      <c r="F59" s="2">
        <v>95</v>
      </c>
      <c r="G59" s="16"/>
    </row>
    <row r="60" spans="1:7" ht="15.6" x14ac:dyDescent="0.3">
      <c r="A60" s="2" t="s">
        <v>56</v>
      </c>
      <c r="B60" s="5" t="s">
        <v>4</v>
      </c>
      <c r="C60" s="5" t="s">
        <v>4</v>
      </c>
      <c r="D60" s="5" t="s">
        <v>4</v>
      </c>
      <c r="E60" s="5" t="s">
        <v>4</v>
      </c>
      <c r="F60" s="2">
        <v>0</v>
      </c>
      <c r="G60" s="16"/>
    </row>
    <row r="61" spans="1:7" ht="15.6" x14ac:dyDescent="0.3">
      <c r="A61" s="2" t="s">
        <v>57</v>
      </c>
      <c r="B61" s="2">
        <v>33</v>
      </c>
      <c r="C61" s="2">
        <v>33</v>
      </c>
      <c r="D61" s="2">
        <v>34</v>
      </c>
      <c r="E61" s="2">
        <v>77</v>
      </c>
      <c r="F61" s="2">
        <v>76</v>
      </c>
      <c r="G61" s="16"/>
    </row>
    <row r="62" spans="1:7" ht="15.6" x14ac:dyDescent="0.3">
      <c r="A62" s="2" t="s">
        <v>58</v>
      </c>
      <c r="B62" s="2">
        <v>88</v>
      </c>
      <c r="C62" s="2">
        <v>90</v>
      </c>
      <c r="D62" s="2">
        <v>69</v>
      </c>
      <c r="E62" s="2">
        <v>91</v>
      </c>
      <c r="F62" s="2">
        <v>88</v>
      </c>
      <c r="G62" s="16"/>
    </row>
    <row r="63" spans="1:7" ht="15.6" x14ac:dyDescent="0.3">
      <c r="A63" s="2" t="s">
        <v>59</v>
      </c>
      <c r="B63" s="2">
        <v>56</v>
      </c>
      <c r="C63" s="2">
        <v>57</v>
      </c>
      <c r="D63" s="2">
        <v>34</v>
      </c>
      <c r="E63" s="2">
        <v>14</v>
      </c>
      <c r="F63" s="2">
        <v>12</v>
      </c>
      <c r="G63" s="16"/>
    </row>
    <row r="64" spans="1:7" ht="15.6" x14ac:dyDescent="0.3">
      <c r="A64" s="2" t="s">
        <v>60</v>
      </c>
      <c r="B64" s="2">
        <v>40</v>
      </c>
      <c r="C64" s="2">
        <v>43</v>
      </c>
      <c r="D64" s="2">
        <v>45</v>
      </c>
      <c r="E64" s="2">
        <v>60</v>
      </c>
      <c r="F64" s="2">
        <v>19</v>
      </c>
      <c r="G64" s="16"/>
    </row>
    <row r="65" spans="1:7" ht="15.6" x14ac:dyDescent="0.3">
      <c r="A65" s="2" t="s">
        <v>61</v>
      </c>
      <c r="B65" s="2">
        <v>40</v>
      </c>
      <c r="C65" s="2">
        <v>43</v>
      </c>
      <c r="D65" s="2">
        <v>45</v>
      </c>
      <c r="E65" s="2">
        <v>60</v>
      </c>
      <c r="F65" s="2">
        <v>19</v>
      </c>
      <c r="G65" s="16"/>
    </row>
    <row r="66" spans="1:7" ht="15.6" x14ac:dyDescent="0.3">
      <c r="A66" s="2" t="s">
        <v>62</v>
      </c>
      <c r="B66" s="3">
        <v>2159</v>
      </c>
      <c r="C66" s="3">
        <v>1459</v>
      </c>
      <c r="D66" s="3">
        <v>1393</v>
      </c>
      <c r="E66" s="3">
        <v>1205</v>
      </c>
      <c r="F66" s="2">
        <v>591</v>
      </c>
      <c r="G66" s="16"/>
    </row>
    <row r="67" spans="1:7" ht="15.6" x14ac:dyDescent="0.3">
      <c r="A67" s="2" t="s">
        <v>63</v>
      </c>
      <c r="B67" s="4">
        <v>0.46189999999999998</v>
      </c>
      <c r="C67" s="4">
        <v>0.443</v>
      </c>
      <c r="D67" s="4">
        <v>0.45050000000000001</v>
      </c>
      <c r="E67" s="4">
        <v>0.40029999999999999</v>
      </c>
      <c r="F67" s="4">
        <v>0.2455</v>
      </c>
      <c r="G67" s="16"/>
    </row>
    <row r="68" spans="1:7" ht="15.6" x14ac:dyDescent="0.3">
      <c r="A68" s="2" t="s">
        <v>64</v>
      </c>
      <c r="B68" s="3">
        <v>2334</v>
      </c>
      <c r="C68" s="3">
        <v>1603</v>
      </c>
      <c r="D68" s="3">
        <v>1546</v>
      </c>
      <c r="E68" s="3">
        <v>1617</v>
      </c>
      <c r="F68" s="3">
        <v>1649</v>
      </c>
      <c r="G68" s="16"/>
    </row>
    <row r="69" spans="1:7" ht="15.6" x14ac:dyDescent="0.3">
      <c r="A69" s="2" t="s">
        <v>65</v>
      </c>
      <c r="B69" s="3">
        <v>1154</v>
      </c>
      <c r="C69" s="2">
        <v>368</v>
      </c>
      <c r="D69" s="2">
        <v>368</v>
      </c>
      <c r="E69" s="2">
        <v>368</v>
      </c>
      <c r="F69" s="2">
        <v>368</v>
      </c>
      <c r="G69" s="16"/>
    </row>
    <row r="70" spans="1:7" ht="15.6" x14ac:dyDescent="0.3">
      <c r="A70" s="2" t="s">
        <v>66</v>
      </c>
      <c r="B70" s="2">
        <v>-26</v>
      </c>
      <c r="C70" s="2">
        <v>-26</v>
      </c>
      <c r="D70" s="2">
        <v>-26</v>
      </c>
      <c r="E70" s="2">
        <v>-26</v>
      </c>
      <c r="F70" s="2">
        <v>-20</v>
      </c>
      <c r="G70" s="16"/>
    </row>
    <row r="71" spans="1:7" ht="15.6" x14ac:dyDescent="0.3">
      <c r="A71" s="2" t="s">
        <v>67</v>
      </c>
      <c r="B71" s="2">
        <v>-169</v>
      </c>
      <c r="C71" s="2">
        <v>-119</v>
      </c>
      <c r="D71" s="2">
        <v>-150</v>
      </c>
      <c r="E71" s="2">
        <v>-148</v>
      </c>
      <c r="F71" s="2">
        <v>-151</v>
      </c>
      <c r="G71" s="16"/>
    </row>
    <row r="72" spans="1:7" ht="15.6" x14ac:dyDescent="0.3">
      <c r="A72" s="2" t="s">
        <v>68</v>
      </c>
      <c r="B72" s="2">
        <v>13</v>
      </c>
      <c r="C72" s="2">
        <v>1</v>
      </c>
      <c r="D72" s="2">
        <v>0</v>
      </c>
      <c r="E72" s="2">
        <v>0</v>
      </c>
      <c r="F72" s="2">
        <v>0</v>
      </c>
      <c r="G72" s="16"/>
    </row>
    <row r="73" spans="1:7" ht="15.6" x14ac:dyDescent="0.3">
      <c r="A73" s="2" t="s">
        <v>69</v>
      </c>
      <c r="B73" s="2">
        <v>20</v>
      </c>
      <c r="C73" s="2">
        <v>19</v>
      </c>
      <c r="D73" s="2">
        <v>24</v>
      </c>
      <c r="E73" s="2">
        <v>23</v>
      </c>
      <c r="F73" s="2">
        <v>22</v>
      </c>
      <c r="G73" s="16"/>
    </row>
    <row r="74" spans="1:7" ht="15.6" x14ac:dyDescent="0.3">
      <c r="A74" s="2" t="s">
        <v>70</v>
      </c>
      <c r="B74" s="5" t="s">
        <v>4</v>
      </c>
      <c r="C74" s="3">
        <v>1369</v>
      </c>
      <c r="D74" s="3">
        <v>1349</v>
      </c>
      <c r="E74" s="3">
        <v>1426</v>
      </c>
      <c r="F74" s="3">
        <v>1473</v>
      </c>
      <c r="G74" s="16"/>
    </row>
    <row r="75" spans="1:7" ht="15.6" x14ac:dyDescent="0.3">
      <c r="A75" s="2" t="s">
        <v>71</v>
      </c>
      <c r="B75" s="2">
        <v>-1</v>
      </c>
      <c r="C75" s="2">
        <v>-8</v>
      </c>
      <c r="D75" s="2">
        <v>-19</v>
      </c>
      <c r="E75" s="2">
        <v>-26</v>
      </c>
      <c r="F75" s="2">
        <v>-43</v>
      </c>
      <c r="G75" s="16"/>
    </row>
    <row r="76" spans="1:7" ht="15.6" x14ac:dyDescent="0.3">
      <c r="A76" s="2" t="s">
        <v>72</v>
      </c>
      <c r="B76" s="4">
        <v>0.49930000000000002</v>
      </c>
      <c r="C76" s="4">
        <v>0.48680000000000001</v>
      </c>
      <c r="D76" s="4">
        <v>0.50009999999999999</v>
      </c>
      <c r="E76" s="4">
        <v>0.5373</v>
      </c>
      <c r="F76" s="4">
        <v>0.68479999999999996</v>
      </c>
      <c r="G76" s="16"/>
    </row>
    <row r="77" spans="1:7" ht="15.6" x14ac:dyDescent="0.3">
      <c r="A77" s="2" t="s">
        <v>73</v>
      </c>
      <c r="B77" s="3">
        <v>2334</v>
      </c>
      <c r="C77" s="3">
        <v>1603</v>
      </c>
      <c r="D77" s="3">
        <v>1546</v>
      </c>
      <c r="E77" s="3">
        <v>1617</v>
      </c>
      <c r="F77" s="3">
        <v>1649</v>
      </c>
      <c r="G77" s="16"/>
    </row>
    <row r="78" spans="1:7" ht="15.6" x14ac:dyDescent="0.3">
      <c r="A78" s="2" t="s">
        <v>74</v>
      </c>
      <c r="B78" s="4">
        <v>0.49930000000000002</v>
      </c>
      <c r="C78" s="4">
        <v>0.48680000000000001</v>
      </c>
      <c r="D78" s="4">
        <v>0.50009999999999999</v>
      </c>
      <c r="E78" s="4">
        <v>0.5373</v>
      </c>
      <c r="F78" s="4">
        <v>0.68479999999999996</v>
      </c>
      <c r="G78" s="16"/>
    </row>
    <row r="79" spans="1:7" ht="15.6" x14ac:dyDescent="0.3">
      <c r="A79" s="2" t="s">
        <v>75</v>
      </c>
      <c r="B79" s="2">
        <v>181</v>
      </c>
      <c r="C79" s="2">
        <v>231</v>
      </c>
      <c r="D79" s="2">
        <v>152</v>
      </c>
      <c r="E79" s="2">
        <v>188</v>
      </c>
      <c r="F79" s="19">
        <v>168</v>
      </c>
      <c r="G79" s="17"/>
    </row>
    <row r="80" spans="1:7" ht="15.6" x14ac:dyDescent="0.3">
      <c r="A80" s="2" t="s">
        <v>76</v>
      </c>
      <c r="B80" s="3">
        <v>2515</v>
      </c>
      <c r="C80" s="3">
        <v>1834</v>
      </c>
      <c r="D80" s="3">
        <v>1699</v>
      </c>
      <c r="E80" s="18">
        <v>1806</v>
      </c>
      <c r="F80" s="3">
        <v>1817</v>
      </c>
      <c r="G80" s="17"/>
    </row>
    <row r="81" spans="1:7" ht="15.6" x14ac:dyDescent="0.3">
      <c r="A81" s="2" t="s">
        <v>39</v>
      </c>
      <c r="B81" s="3">
        <v>4674</v>
      </c>
      <c r="C81" s="3">
        <v>3292</v>
      </c>
      <c r="D81" s="3">
        <v>3092</v>
      </c>
      <c r="E81" s="3">
        <v>3011</v>
      </c>
      <c r="F81" s="20">
        <v>2408</v>
      </c>
      <c r="G81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2E53B-DF99-484E-8F79-8AC67FB67CFB}">
  <dimension ref="A1:G47"/>
  <sheetViews>
    <sheetView workbookViewId="0"/>
  </sheetViews>
  <sheetFormatPr defaultRowHeight="14.4" x14ac:dyDescent="0.3"/>
  <cols>
    <col min="1" max="1" width="45.33203125" bestFit="1" customWidth="1"/>
    <col min="2" max="2" width="10.5546875" customWidth="1"/>
    <col min="3" max="3" width="10.88671875" customWidth="1"/>
    <col min="4" max="4" width="10.44140625" customWidth="1"/>
    <col min="5" max="5" width="10" customWidth="1"/>
    <col min="6" max="6" width="9.44140625" customWidth="1"/>
  </cols>
  <sheetData>
    <row r="1" spans="1:7" ht="31.2" x14ac:dyDescent="0.3">
      <c r="A1" s="14" t="s">
        <v>0</v>
      </c>
      <c r="B1" s="14">
        <v>2023</v>
      </c>
      <c r="C1" s="14">
        <v>2022</v>
      </c>
      <c r="D1" s="14">
        <v>2021</v>
      </c>
      <c r="E1" s="14">
        <v>2020</v>
      </c>
      <c r="F1" s="14">
        <v>2019</v>
      </c>
      <c r="G1" s="21"/>
    </row>
    <row r="2" spans="1:7" ht="15.6" x14ac:dyDescent="0.3">
      <c r="A2" s="8" t="s">
        <v>77</v>
      </c>
      <c r="B2" s="9">
        <v>1758</v>
      </c>
      <c r="C2" s="9">
        <v>1177</v>
      </c>
      <c r="D2" s="8">
        <v>970</v>
      </c>
      <c r="E2" s="9">
        <v>1941</v>
      </c>
      <c r="F2" s="9">
        <v>1828</v>
      </c>
      <c r="G2" s="22"/>
    </row>
    <row r="3" spans="1:7" ht="15.6" x14ac:dyDescent="0.3">
      <c r="A3" s="8" t="s">
        <v>78</v>
      </c>
      <c r="B3" s="10">
        <v>0.49419999999999997</v>
      </c>
      <c r="C3" s="10">
        <v>0.2132</v>
      </c>
      <c r="D3" s="11">
        <v>-0.50029999999999997</v>
      </c>
      <c r="E3" s="10">
        <v>6.1899999999999997E-2</v>
      </c>
      <c r="F3" s="12" t="s">
        <v>4</v>
      </c>
      <c r="G3" s="22"/>
    </row>
    <row r="4" spans="1:7" ht="15.6" x14ac:dyDescent="0.3">
      <c r="A4" s="8" t="s">
        <v>79</v>
      </c>
      <c r="B4" s="9">
        <v>1404</v>
      </c>
      <c r="C4" s="9">
        <v>1095</v>
      </c>
      <c r="D4" s="8">
        <v>782</v>
      </c>
      <c r="E4" s="9">
        <v>1343</v>
      </c>
      <c r="F4" s="9">
        <v>1226</v>
      </c>
      <c r="G4" s="22"/>
    </row>
    <row r="5" spans="1:7" ht="15.6" x14ac:dyDescent="0.3">
      <c r="A5" s="8" t="s">
        <v>80</v>
      </c>
      <c r="B5" s="9">
        <v>1228</v>
      </c>
      <c r="C5" s="8">
        <v>975</v>
      </c>
      <c r="D5" s="8">
        <v>652</v>
      </c>
      <c r="E5" s="9">
        <v>1226</v>
      </c>
      <c r="F5" s="9">
        <v>1141</v>
      </c>
      <c r="G5" s="22"/>
    </row>
    <row r="6" spans="1:7" ht="15.6" x14ac:dyDescent="0.3">
      <c r="A6" s="8" t="s">
        <v>81</v>
      </c>
      <c r="B6" s="8">
        <v>176</v>
      </c>
      <c r="C6" s="8">
        <v>120</v>
      </c>
      <c r="D6" s="8">
        <v>130</v>
      </c>
      <c r="E6" s="8">
        <v>118</v>
      </c>
      <c r="F6" s="8">
        <v>85</v>
      </c>
      <c r="G6" s="22"/>
    </row>
    <row r="7" spans="1:7" ht="15.6" x14ac:dyDescent="0.3">
      <c r="A7" s="8" t="s">
        <v>82</v>
      </c>
      <c r="B7" s="12" t="s">
        <v>4</v>
      </c>
      <c r="C7" s="8">
        <v>105</v>
      </c>
      <c r="D7" s="8">
        <v>115</v>
      </c>
      <c r="E7" s="12" t="s">
        <v>4</v>
      </c>
      <c r="F7" s="8">
        <v>77</v>
      </c>
      <c r="G7" s="22"/>
    </row>
    <row r="8" spans="1:7" ht="15.6" x14ac:dyDescent="0.3">
      <c r="A8" s="8" t="s">
        <v>83</v>
      </c>
      <c r="B8" s="12" t="s">
        <v>4</v>
      </c>
      <c r="C8" s="8">
        <v>15</v>
      </c>
      <c r="D8" s="8">
        <v>16</v>
      </c>
      <c r="E8" s="12" t="s">
        <v>4</v>
      </c>
      <c r="F8" s="8">
        <v>8</v>
      </c>
      <c r="G8" s="22"/>
    </row>
    <row r="9" spans="1:7" ht="15.6" x14ac:dyDescent="0.3">
      <c r="A9" s="8" t="s">
        <v>84</v>
      </c>
      <c r="B9" s="10">
        <v>0.28239999999999998</v>
      </c>
      <c r="C9" s="10">
        <v>0.39900000000000002</v>
      </c>
      <c r="D9" s="11">
        <v>-0.41739999999999999</v>
      </c>
      <c r="E9" s="10">
        <v>9.5299999999999996E-2</v>
      </c>
      <c r="F9" s="12" t="s">
        <v>4</v>
      </c>
      <c r="G9" s="22"/>
    </row>
    <row r="10" spans="1:7" ht="15.6" x14ac:dyDescent="0.3">
      <c r="A10" s="8" t="s">
        <v>85</v>
      </c>
      <c r="B10" s="8">
        <v>354</v>
      </c>
      <c r="C10" s="8">
        <v>82</v>
      </c>
      <c r="D10" s="8">
        <v>188</v>
      </c>
      <c r="E10" s="8">
        <v>598</v>
      </c>
      <c r="F10" s="8">
        <v>602</v>
      </c>
      <c r="G10" s="22"/>
    </row>
    <row r="11" spans="1:7" ht="15.6" x14ac:dyDescent="0.3">
      <c r="A11" s="8" t="s">
        <v>86</v>
      </c>
      <c r="B11" s="10">
        <v>3.3193999999999999</v>
      </c>
      <c r="C11" s="11">
        <v>-0.56240000000000001</v>
      </c>
      <c r="D11" s="11">
        <v>-0.6865</v>
      </c>
      <c r="E11" s="11">
        <v>-6.1999999999999998E-3</v>
      </c>
      <c r="F11" s="12" t="s">
        <v>4</v>
      </c>
      <c r="G11" s="22"/>
    </row>
    <row r="12" spans="1:7" ht="15.6" x14ac:dyDescent="0.3">
      <c r="A12" s="8" t="s">
        <v>87</v>
      </c>
      <c r="B12" s="10">
        <v>0.2016</v>
      </c>
      <c r="C12" s="12" t="s">
        <v>4</v>
      </c>
      <c r="D12" s="12" t="s">
        <v>4</v>
      </c>
      <c r="E12" s="12" t="s">
        <v>4</v>
      </c>
      <c r="F12" s="12" t="s">
        <v>4</v>
      </c>
      <c r="G12" s="22"/>
    </row>
    <row r="13" spans="1:7" ht="15.6" x14ac:dyDescent="0.3">
      <c r="A13" s="8" t="s">
        <v>88</v>
      </c>
      <c r="B13" s="8">
        <v>403</v>
      </c>
      <c r="C13" s="8">
        <v>270</v>
      </c>
      <c r="D13" s="8">
        <v>196</v>
      </c>
      <c r="E13" s="8">
        <v>373</v>
      </c>
      <c r="F13" s="8">
        <v>359</v>
      </c>
      <c r="G13" s="22"/>
    </row>
    <row r="14" spans="1:7" ht="15.6" x14ac:dyDescent="0.3">
      <c r="A14" s="8" t="s">
        <v>89</v>
      </c>
      <c r="B14" s="8">
        <v>403</v>
      </c>
      <c r="C14" s="8">
        <v>270</v>
      </c>
      <c r="D14" s="8">
        <v>196</v>
      </c>
      <c r="E14" s="8">
        <v>373</v>
      </c>
      <c r="F14" s="8">
        <v>359</v>
      </c>
      <c r="G14" s="22"/>
    </row>
    <row r="15" spans="1:7" ht="15.6" x14ac:dyDescent="0.3">
      <c r="A15" s="8" t="s">
        <v>90</v>
      </c>
      <c r="B15" s="10">
        <v>0.49030000000000001</v>
      </c>
      <c r="C15" s="10">
        <v>0.37830000000000003</v>
      </c>
      <c r="D15" s="11">
        <v>-0.47460000000000002</v>
      </c>
      <c r="E15" s="10">
        <v>4.0500000000000001E-2</v>
      </c>
      <c r="F15" s="12" t="s">
        <v>4</v>
      </c>
      <c r="G15" s="22"/>
    </row>
    <row r="16" spans="1:7" ht="15.6" x14ac:dyDescent="0.3">
      <c r="A16" s="8" t="s">
        <v>91</v>
      </c>
      <c r="B16" s="12" t="s">
        <v>4</v>
      </c>
      <c r="C16" s="12" t="s">
        <v>4</v>
      </c>
      <c r="D16" s="12" t="s">
        <v>4</v>
      </c>
      <c r="E16" s="12" t="s">
        <v>4</v>
      </c>
      <c r="F16" s="8">
        <v>0</v>
      </c>
      <c r="G16" s="22"/>
    </row>
    <row r="17" spans="1:7" ht="15.6" x14ac:dyDescent="0.3">
      <c r="A17" s="8" t="s">
        <v>92</v>
      </c>
      <c r="B17" s="8">
        <v>-48</v>
      </c>
      <c r="C17" s="8">
        <v>-188</v>
      </c>
      <c r="D17" s="8">
        <v>-8</v>
      </c>
      <c r="E17" s="12" t="s">
        <v>4</v>
      </c>
      <c r="F17" s="8">
        <v>244</v>
      </c>
      <c r="G17" s="22"/>
    </row>
    <row r="18" spans="1:7" ht="15.6" x14ac:dyDescent="0.3">
      <c r="A18" s="8" t="s">
        <v>93</v>
      </c>
      <c r="B18" s="12" t="s">
        <v>4</v>
      </c>
      <c r="C18" s="8">
        <v>-129</v>
      </c>
      <c r="D18" s="8">
        <v>83</v>
      </c>
      <c r="E18" s="8">
        <v>47</v>
      </c>
      <c r="F18" s="12" t="s">
        <v>4</v>
      </c>
      <c r="G18" s="22"/>
    </row>
    <row r="19" spans="1:7" ht="15.6" x14ac:dyDescent="0.3">
      <c r="A19" s="8" t="s">
        <v>94</v>
      </c>
      <c r="B19" s="8">
        <v>-32</v>
      </c>
      <c r="C19" s="8">
        <v>29</v>
      </c>
      <c r="D19" s="8">
        <v>-2</v>
      </c>
      <c r="E19" s="8">
        <v>0</v>
      </c>
      <c r="F19" s="8">
        <v>2</v>
      </c>
      <c r="G19" s="22"/>
    </row>
    <row r="20" spans="1:7" ht="15.6" x14ac:dyDescent="0.3">
      <c r="A20" s="8" t="s">
        <v>95</v>
      </c>
      <c r="B20" s="8">
        <v>10</v>
      </c>
      <c r="C20" s="8">
        <v>3</v>
      </c>
      <c r="D20" s="8">
        <v>5</v>
      </c>
      <c r="E20" s="8">
        <v>4</v>
      </c>
      <c r="F20" s="8">
        <v>4</v>
      </c>
      <c r="G20" s="22"/>
    </row>
    <row r="21" spans="1:7" ht="15.6" x14ac:dyDescent="0.3">
      <c r="A21" s="8" t="s">
        <v>96</v>
      </c>
      <c r="B21" s="8">
        <v>19</v>
      </c>
      <c r="C21" s="8">
        <v>17</v>
      </c>
      <c r="D21" s="8">
        <v>21</v>
      </c>
      <c r="E21" s="8">
        <v>8</v>
      </c>
      <c r="F21" s="8">
        <v>1</v>
      </c>
      <c r="G21" s="22"/>
    </row>
    <row r="22" spans="1:7" ht="15.6" x14ac:dyDescent="0.3">
      <c r="A22" s="8" t="s">
        <v>97</v>
      </c>
      <c r="B22" s="10">
        <v>0.09</v>
      </c>
      <c r="C22" s="11">
        <v>-0.16789999999999999</v>
      </c>
      <c r="D22" s="10">
        <v>1.6989000000000001</v>
      </c>
      <c r="E22" s="10">
        <v>8.3239000000000001</v>
      </c>
      <c r="F22" s="12" t="s">
        <v>4</v>
      </c>
      <c r="G22" s="22"/>
    </row>
    <row r="23" spans="1:7" ht="15.6" x14ac:dyDescent="0.3">
      <c r="A23" s="8" t="s">
        <v>98</v>
      </c>
      <c r="B23" s="8">
        <v>19</v>
      </c>
      <c r="C23" s="8">
        <v>17</v>
      </c>
      <c r="D23" s="8">
        <v>21</v>
      </c>
      <c r="E23" s="8">
        <v>8</v>
      </c>
      <c r="F23" s="8">
        <v>1</v>
      </c>
      <c r="G23" s="22"/>
    </row>
    <row r="24" spans="1:7" ht="15.6" x14ac:dyDescent="0.3">
      <c r="A24" s="8" t="s">
        <v>99</v>
      </c>
      <c r="B24" s="8">
        <v>-89</v>
      </c>
      <c r="C24" s="8">
        <v>-44</v>
      </c>
      <c r="D24" s="8">
        <v>-109</v>
      </c>
      <c r="E24" s="8">
        <v>174</v>
      </c>
      <c r="F24" s="8">
        <v>249</v>
      </c>
      <c r="G24" s="22"/>
    </row>
    <row r="25" spans="1:7" ht="15.6" x14ac:dyDescent="0.3">
      <c r="A25" s="8" t="s">
        <v>100</v>
      </c>
      <c r="B25" s="11">
        <v>-1.0156000000000001</v>
      </c>
      <c r="C25" s="10">
        <v>0.59499999999999997</v>
      </c>
      <c r="D25" s="11">
        <v>-1.6295999999999999</v>
      </c>
      <c r="E25" s="11">
        <v>-0.3024</v>
      </c>
      <c r="F25" s="12" t="s">
        <v>4</v>
      </c>
      <c r="G25" s="22"/>
    </row>
    <row r="26" spans="1:7" ht="15.6" x14ac:dyDescent="0.3">
      <c r="A26" s="8" t="s">
        <v>101</v>
      </c>
      <c r="B26" s="11">
        <v>-5.0700000000000002E-2</v>
      </c>
      <c r="C26" s="12" t="s">
        <v>4</v>
      </c>
      <c r="D26" s="12" t="s">
        <v>4</v>
      </c>
      <c r="E26" s="12" t="s">
        <v>4</v>
      </c>
      <c r="F26" s="12" t="s">
        <v>4</v>
      </c>
      <c r="G26" s="22"/>
    </row>
    <row r="27" spans="1:7" ht="15.6" x14ac:dyDescent="0.3">
      <c r="A27" s="8" t="s">
        <v>102</v>
      </c>
      <c r="B27" s="8">
        <v>-5</v>
      </c>
      <c r="C27" s="8">
        <v>-31</v>
      </c>
      <c r="D27" s="8">
        <v>-36</v>
      </c>
      <c r="E27" s="8">
        <v>38</v>
      </c>
      <c r="F27" s="8">
        <v>51</v>
      </c>
      <c r="G27" s="22"/>
    </row>
    <row r="28" spans="1:7" ht="15.6" x14ac:dyDescent="0.3">
      <c r="A28" s="8" t="s">
        <v>103</v>
      </c>
      <c r="B28" s="12" t="s">
        <v>4</v>
      </c>
      <c r="C28" s="8">
        <v>5</v>
      </c>
      <c r="D28" s="8">
        <v>13</v>
      </c>
      <c r="E28" s="8">
        <v>40</v>
      </c>
      <c r="F28" s="8">
        <v>47</v>
      </c>
      <c r="G28" s="22"/>
    </row>
    <row r="29" spans="1:7" ht="15.6" x14ac:dyDescent="0.3">
      <c r="A29" s="8" t="s">
        <v>104</v>
      </c>
      <c r="B29" s="12" t="s">
        <v>4</v>
      </c>
      <c r="C29" s="8">
        <v>-36</v>
      </c>
      <c r="D29" s="8">
        <v>-49</v>
      </c>
      <c r="E29" s="8">
        <v>-2</v>
      </c>
      <c r="F29" s="8">
        <v>4</v>
      </c>
      <c r="G29" s="22"/>
    </row>
    <row r="30" spans="1:7" ht="15.6" x14ac:dyDescent="0.3">
      <c r="A30" s="8" t="s">
        <v>105</v>
      </c>
      <c r="B30" s="8">
        <v>45</v>
      </c>
      <c r="C30" s="8">
        <v>17</v>
      </c>
      <c r="D30" s="8">
        <v>-36</v>
      </c>
      <c r="E30" s="8">
        <v>40</v>
      </c>
      <c r="F30" s="8">
        <v>59</v>
      </c>
      <c r="G30" s="22"/>
    </row>
    <row r="31" spans="1:7" ht="15.6" x14ac:dyDescent="0.3">
      <c r="A31" s="8" t="s">
        <v>106</v>
      </c>
      <c r="B31" s="8">
        <v>-39</v>
      </c>
      <c r="C31" s="8">
        <v>4</v>
      </c>
      <c r="D31" s="8">
        <v>-109</v>
      </c>
      <c r="E31" s="8">
        <v>176</v>
      </c>
      <c r="F31" s="8">
        <v>256</v>
      </c>
      <c r="G31" s="22"/>
    </row>
    <row r="32" spans="1:7" ht="15.6" x14ac:dyDescent="0.3">
      <c r="A32" s="8" t="s">
        <v>107</v>
      </c>
      <c r="B32" s="8">
        <v>-12</v>
      </c>
      <c r="C32" s="8">
        <v>-16</v>
      </c>
      <c r="D32" s="8">
        <v>-30</v>
      </c>
      <c r="E32" s="8">
        <v>7</v>
      </c>
      <c r="F32" s="8">
        <v>8</v>
      </c>
      <c r="G32" s="22"/>
    </row>
    <row r="33" spans="1:7" ht="15.6" x14ac:dyDescent="0.3">
      <c r="A33" s="8" t="s">
        <v>108</v>
      </c>
      <c r="B33" s="8">
        <v>-27</v>
      </c>
      <c r="C33" s="8">
        <v>20</v>
      </c>
      <c r="D33" s="8">
        <v>-79</v>
      </c>
      <c r="E33" s="8">
        <v>168</v>
      </c>
      <c r="F33" s="8">
        <v>248</v>
      </c>
      <c r="G33" s="22"/>
    </row>
    <row r="34" spans="1:7" ht="15.6" x14ac:dyDescent="0.3">
      <c r="A34" s="8" t="s">
        <v>109</v>
      </c>
      <c r="B34" s="11">
        <v>-2.3008999999999999</v>
      </c>
      <c r="C34" s="10">
        <v>1.2581</v>
      </c>
      <c r="D34" s="11">
        <v>-1.4688000000000001</v>
      </c>
      <c r="E34" s="11">
        <v>-0.32219999999999999</v>
      </c>
      <c r="F34" s="12" t="s">
        <v>4</v>
      </c>
      <c r="G34" s="22"/>
    </row>
    <row r="35" spans="1:7" ht="15.6" x14ac:dyDescent="0.3">
      <c r="A35" s="8" t="s">
        <v>110</v>
      </c>
      <c r="B35" s="11">
        <v>-1.5100000000000001E-2</v>
      </c>
      <c r="C35" s="12" t="s">
        <v>4</v>
      </c>
      <c r="D35" s="12" t="s">
        <v>4</v>
      </c>
      <c r="E35" s="12" t="s">
        <v>4</v>
      </c>
      <c r="F35" s="12" t="s">
        <v>4</v>
      </c>
      <c r="G35" s="22"/>
    </row>
    <row r="36" spans="1:7" ht="15.6" x14ac:dyDescent="0.3">
      <c r="A36" s="8" t="s">
        <v>111</v>
      </c>
      <c r="B36" s="8">
        <v>-27</v>
      </c>
      <c r="C36" s="8">
        <v>20</v>
      </c>
      <c r="D36" s="8">
        <v>-79</v>
      </c>
      <c r="E36" s="8">
        <v>168</v>
      </c>
      <c r="F36" s="8">
        <v>248</v>
      </c>
      <c r="G36" s="22"/>
    </row>
    <row r="37" spans="1:7" ht="15.6" x14ac:dyDescent="0.3">
      <c r="A37" s="8" t="s">
        <v>112</v>
      </c>
      <c r="B37" s="8">
        <v>-27</v>
      </c>
      <c r="C37" s="8">
        <v>20</v>
      </c>
      <c r="D37" s="8">
        <v>-79</v>
      </c>
      <c r="E37" s="8">
        <v>168</v>
      </c>
      <c r="F37" s="8">
        <v>248</v>
      </c>
      <c r="G37" s="22"/>
    </row>
    <row r="38" spans="1:7" ht="15.6" x14ac:dyDescent="0.3">
      <c r="A38" s="8" t="s">
        <v>113</v>
      </c>
      <c r="B38" s="8">
        <v>-0.02</v>
      </c>
      <c r="C38" s="8">
        <v>0.02</v>
      </c>
      <c r="D38" s="8">
        <v>-7.0000000000000007E-2</v>
      </c>
      <c r="E38" s="8">
        <v>0.14000000000000001</v>
      </c>
      <c r="F38" s="8">
        <v>0.21</v>
      </c>
      <c r="G38" s="22"/>
    </row>
    <row r="39" spans="1:7" ht="15.6" x14ac:dyDescent="0.3">
      <c r="A39" s="8" t="s">
        <v>114</v>
      </c>
      <c r="B39" s="11">
        <v>-2.2907000000000002</v>
      </c>
      <c r="C39" s="10">
        <v>1.2579</v>
      </c>
      <c r="D39" s="11">
        <v>-1.4681</v>
      </c>
      <c r="E39" s="11">
        <v>-0.32369999999999999</v>
      </c>
      <c r="F39" s="12" t="s">
        <v>4</v>
      </c>
      <c r="G39" s="22"/>
    </row>
    <row r="40" spans="1:7" ht="15.6" x14ac:dyDescent="0.3">
      <c r="A40" s="8" t="s">
        <v>115</v>
      </c>
      <c r="B40" s="9">
        <v>1193</v>
      </c>
      <c r="C40" s="9">
        <v>1185</v>
      </c>
      <c r="D40" s="9">
        <v>1183</v>
      </c>
      <c r="E40" s="9">
        <v>1181</v>
      </c>
      <c r="F40" s="9">
        <v>1179</v>
      </c>
      <c r="G40" s="22"/>
    </row>
    <row r="41" spans="1:7" ht="15.6" x14ac:dyDescent="0.3">
      <c r="A41" s="8" t="s">
        <v>116</v>
      </c>
      <c r="B41" s="8">
        <v>-0.02</v>
      </c>
      <c r="C41" s="8">
        <v>0.02</v>
      </c>
      <c r="D41" s="8">
        <v>-7.0000000000000007E-2</v>
      </c>
      <c r="E41" s="8">
        <v>0.14000000000000001</v>
      </c>
      <c r="F41" s="8">
        <v>0.21</v>
      </c>
      <c r="G41" s="22"/>
    </row>
    <row r="42" spans="1:7" ht="15.6" x14ac:dyDescent="0.3">
      <c r="A42" s="8" t="s">
        <v>117</v>
      </c>
      <c r="B42" s="11">
        <v>-2.2982</v>
      </c>
      <c r="C42" s="10">
        <v>1.2565999999999999</v>
      </c>
      <c r="D42" s="11">
        <v>-1.4702999999999999</v>
      </c>
      <c r="E42" s="11">
        <v>-0.32300000000000001</v>
      </c>
      <c r="F42" s="12" t="s">
        <v>4</v>
      </c>
      <c r="G42" s="22"/>
    </row>
    <row r="43" spans="1:7" ht="15.6" x14ac:dyDescent="0.3">
      <c r="A43" s="8" t="s">
        <v>118</v>
      </c>
      <c r="B43" s="9">
        <v>1193</v>
      </c>
      <c r="C43" s="9">
        <v>1190</v>
      </c>
      <c r="D43" s="9">
        <v>1183</v>
      </c>
      <c r="E43" s="9">
        <v>1187</v>
      </c>
      <c r="F43" s="9">
        <v>1185</v>
      </c>
      <c r="G43" s="22"/>
    </row>
    <row r="44" spans="1:7" ht="15.6" x14ac:dyDescent="0.3">
      <c r="A44" s="8" t="s">
        <v>119</v>
      </c>
      <c r="B44" s="8">
        <v>128</v>
      </c>
      <c r="C44" s="8">
        <v>-68</v>
      </c>
      <c r="D44" s="8">
        <v>122</v>
      </c>
      <c r="E44" s="8">
        <v>343</v>
      </c>
      <c r="F44" s="8">
        <v>328</v>
      </c>
      <c r="G44" s="22"/>
    </row>
    <row r="45" spans="1:7" ht="15.6" x14ac:dyDescent="0.3">
      <c r="A45" s="8" t="s">
        <v>120</v>
      </c>
      <c r="B45" s="10">
        <v>2.8645999999999998</v>
      </c>
      <c r="C45" s="11">
        <v>-1.5611999999999999</v>
      </c>
      <c r="D45" s="11">
        <v>-0.64400000000000002</v>
      </c>
      <c r="E45" s="10">
        <v>4.3200000000000002E-2</v>
      </c>
      <c r="F45" s="12" t="s">
        <v>4</v>
      </c>
      <c r="G45" s="22"/>
    </row>
    <row r="46" spans="1:7" ht="15.6" x14ac:dyDescent="0.3">
      <c r="A46" s="8" t="s">
        <v>121</v>
      </c>
      <c r="B46" s="10">
        <v>7.2599999999999998E-2</v>
      </c>
      <c r="C46" s="12" t="s">
        <v>4</v>
      </c>
      <c r="D46" s="12" t="s">
        <v>4</v>
      </c>
      <c r="E46" s="12" t="s">
        <v>4</v>
      </c>
      <c r="F46" s="12" t="s">
        <v>4</v>
      </c>
      <c r="G46" s="22"/>
    </row>
    <row r="47" spans="1:7" ht="15.6" x14ac:dyDescent="0.3">
      <c r="A47" s="8" t="s">
        <v>92</v>
      </c>
      <c r="B47" s="8">
        <v>-48</v>
      </c>
      <c r="C47" s="8">
        <v>-188</v>
      </c>
      <c r="D47" s="8">
        <v>-8</v>
      </c>
      <c r="E47" s="12" t="s">
        <v>4</v>
      </c>
      <c r="F47" s="8">
        <v>244</v>
      </c>
      <c r="G47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5B1BD-9448-42BE-8D56-E34D55EE2DEF}">
  <dimension ref="A1:L55"/>
  <sheetViews>
    <sheetView topLeftCell="G12" workbookViewId="0">
      <selection activeCell="G34" sqref="G34"/>
    </sheetView>
  </sheetViews>
  <sheetFormatPr defaultRowHeight="14.4" x14ac:dyDescent="0.3"/>
  <cols>
    <col min="1" max="1" width="48.109375" bestFit="1" customWidth="1"/>
    <col min="2" max="2" width="10.33203125" bestFit="1" customWidth="1"/>
    <col min="4" max="4" width="11" bestFit="1" customWidth="1"/>
    <col min="5" max="5" width="9.88671875" bestFit="1" customWidth="1"/>
    <col min="6" max="6" width="8.6640625" bestFit="1" customWidth="1"/>
    <col min="7" max="7" width="35.5546875" bestFit="1" customWidth="1"/>
    <col min="8" max="8" width="13.33203125" bestFit="1" customWidth="1"/>
    <col min="9" max="12" width="12.33203125" bestFit="1" customWidth="1"/>
  </cols>
  <sheetData>
    <row r="1" spans="1:12" ht="15.6" x14ac:dyDescent="0.3">
      <c r="A1" s="2" t="s">
        <v>122</v>
      </c>
      <c r="B1" s="2"/>
      <c r="C1" s="2"/>
      <c r="D1" s="2"/>
      <c r="E1" s="2"/>
      <c r="F1" s="23"/>
      <c r="G1" s="29" t="s">
        <v>122</v>
      </c>
      <c r="H1" s="2"/>
      <c r="I1" s="2"/>
      <c r="J1" s="2"/>
      <c r="K1" s="2"/>
      <c r="L1" s="2"/>
    </row>
    <row r="2" spans="1:12" ht="15.6" x14ac:dyDescent="0.3">
      <c r="A2" s="1" t="s">
        <v>0</v>
      </c>
      <c r="B2" s="1">
        <v>2023</v>
      </c>
      <c r="C2" s="1">
        <v>2022</v>
      </c>
      <c r="D2" s="1">
        <v>2021</v>
      </c>
      <c r="E2" s="1">
        <v>2020</v>
      </c>
      <c r="F2" s="24">
        <v>2019</v>
      </c>
      <c r="G2" s="1" t="s">
        <v>123</v>
      </c>
      <c r="H2" s="13">
        <v>2023</v>
      </c>
      <c r="I2" s="13">
        <v>2022</v>
      </c>
      <c r="J2" s="13">
        <v>2021</v>
      </c>
      <c r="K2" s="13">
        <v>2020</v>
      </c>
      <c r="L2" s="13">
        <v>2019</v>
      </c>
    </row>
    <row r="3" spans="1:12" ht="15.6" x14ac:dyDescent="0.3">
      <c r="A3" s="2" t="s">
        <v>124</v>
      </c>
      <c r="B3" s="3">
        <v>2637</v>
      </c>
      <c r="C3" s="3">
        <v>-1090</v>
      </c>
      <c r="D3" s="3">
        <v>-4957</v>
      </c>
      <c r="E3" s="2">
        <v>-220</v>
      </c>
      <c r="F3" s="23">
        <v>869</v>
      </c>
      <c r="G3" s="2" t="s">
        <v>124</v>
      </c>
      <c r="H3" s="28">
        <v>-43800</v>
      </c>
      <c r="I3" s="28">
        <v>-27101</v>
      </c>
      <c r="J3" s="28">
        <v>-145449</v>
      </c>
      <c r="K3" s="28">
        <v>213906</v>
      </c>
      <c r="L3" s="28">
        <v>307710</v>
      </c>
    </row>
    <row r="4" spans="1:12" ht="15.6" x14ac:dyDescent="0.3">
      <c r="A4" s="2" t="s">
        <v>109</v>
      </c>
      <c r="B4" s="4">
        <v>3.4190999999999998</v>
      </c>
      <c r="C4" s="4">
        <v>0.78010000000000002</v>
      </c>
      <c r="D4" s="6">
        <v>-21.5123</v>
      </c>
      <c r="E4" s="6">
        <v>-1.2535000000000001</v>
      </c>
      <c r="F4" s="25" t="s">
        <v>4</v>
      </c>
      <c r="G4" s="2" t="s">
        <v>109</v>
      </c>
      <c r="H4" s="6">
        <v>-0.61619999999999997</v>
      </c>
      <c r="I4" s="4">
        <v>0.81369999999999998</v>
      </c>
      <c r="J4" s="6">
        <v>-1.68</v>
      </c>
      <c r="K4" s="6">
        <v>-0.30480000000000002</v>
      </c>
      <c r="L4" s="5" t="s">
        <v>4</v>
      </c>
    </row>
    <row r="5" spans="1:12" ht="15.6" x14ac:dyDescent="0.3">
      <c r="A5" s="2" t="s">
        <v>125</v>
      </c>
      <c r="B5" s="3">
        <v>2081</v>
      </c>
      <c r="C5" s="3">
        <v>2000</v>
      </c>
      <c r="D5" s="3">
        <v>2142</v>
      </c>
      <c r="E5" s="3">
        <v>2192</v>
      </c>
      <c r="F5" s="18">
        <v>1390</v>
      </c>
      <c r="G5" s="2" t="s">
        <v>125</v>
      </c>
      <c r="H5" s="28">
        <v>175800</v>
      </c>
      <c r="I5" s="28">
        <v>119667</v>
      </c>
      <c r="J5" s="28">
        <v>130442</v>
      </c>
      <c r="K5" s="28">
        <v>117642</v>
      </c>
      <c r="L5" s="28">
        <v>84874</v>
      </c>
    </row>
    <row r="6" spans="1:12" ht="15.6" x14ac:dyDescent="0.3">
      <c r="A6" s="2" t="s">
        <v>126</v>
      </c>
      <c r="B6" s="3">
        <v>2005</v>
      </c>
      <c r="C6" s="3">
        <v>1928</v>
      </c>
      <c r="D6" s="3">
        <v>2076</v>
      </c>
      <c r="E6" s="3">
        <v>2134</v>
      </c>
      <c r="F6" s="18">
        <v>1328</v>
      </c>
      <c r="G6" s="2" t="s">
        <v>126</v>
      </c>
      <c r="H6" s="5" t="s">
        <v>4</v>
      </c>
      <c r="I6" s="28">
        <v>104562</v>
      </c>
      <c r="J6" s="28">
        <v>114693</v>
      </c>
      <c r="K6" s="5" t="s">
        <v>4</v>
      </c>
      <c r="L6" s="28">
        <v>76565</v>
      </c>
    </row>
    <row r="7" spans="1:12" ht="15.6" x14ac:dyDescent="0.3">
      <c r="A7" s="2" t="s">
        <v>127</v>
      </c>
      <c r="B7" s="2">
        <v>76</v>
      </c>
      <c r="C7" s="2">
        <v>72</v>
      </c>
      <c r="D7" s="2">
        <v>66</v>
      </c>
      <c r="E7" s="2">
        <v>58</v>
      </c>
      <c r="F7" s="23">
        <v>62</v>
      </c>
      <c r="G7" s="2" t="s">
        <v>127</v>
      </c>
      <c r="H7" s="5" t="s">
        <v>4</v>
      </c>
      <c r="I7" s="28">
        <v>15105</v>
      </c>
      <c r="J7" s="28">
        <v>15749</v>
      </c>
      <c r="K7" s="5" t="s">
        <v>4</v>
      </c>
      <c r="L7" s="28">
        <v>8309</v>
      </c>
    </row>
    <row r="8" spans="1:12" ht="15.6" x14ac:dyDescent="0.3">
      <c r="A8" s="2" t="s">
        <v>128</v>
      </c>
      <c r="B8" s="2">
        <v>400</v>
      </c>
      <c r="C8" s="2">
        <v>406</v>
      </c>
      <c r="D8" s="3">
        <v>2796</v>
      </c>
      <c r="E8" s="3">
        <v>1145</v>
      </c>
      <c r="F8" s="23">
        <v>543</v>
      </c>
      <c r="G8" s="2" t="s">
        <v>128</v>
      </c>
      <c r="H8" s="28">
        <v>-27400</v>
      </c>
      <c r="I8" s="2">
        <v>-20</v>
      </c>
      <c r="J8" s="28">
        <v>157630</v>
      </c>
      <c r="K8" s="28">
        <v>-1845</v>
      </c>
      <c r="L8" s="28">
        <v>-62489</v>
      </c>
    </row>
    <row r="9" spans="1:12" ht="15.6" x14ac:dyDescent="0.3">
      <c r="A9" s="2" t="s">
        <v>129</v>
      </c>
      <c r="B9" s="3">
        <v>5117</v>
      </c>
      <c r="C9" s="3">
        <v>1315</v>
      </c>
      <c r="D9" s="2">
        <v>-19</v>
      </c>
      <c r="E9" s="3">
        <v>3117</v>
      </c>
      <c r="F9" s="18">
        <v>2802</v>
      </c>
      <c r="G9" s="2" t="s">
        <v>129</v>
      </c>
      <c r="H9" s="28">
        <v>104600</v>
      </c>
      <c r="I9" s="28">
        <v>92546</v>
      </c>
      <c r="J9" s="28">
        <v>142623</v>
      </c>
      <c r="K9" s="28">
        <v>329703</v>
      </c>
      <c r="L9" s="28">
        <v>330095</v>
      </c>
    </row>
    <row r="10" spans="1:12" ht="15.6" x14ac:dyDescent="0.3">
      <c r="A10" s="2" t="s">
        <v>130</v>
      </c>
      <c r="B10" s="3">
        <v>4037</v>
      </c>
      <c r="C10" s="3">
        <v>1519</v>
      </c>
      <c r="D10" s="3">
        <v>-3424</v>
      </c>
      <c r="E10" s="2">
        <v>-460</v>
      </c>
      <c r="F10" s="23">
        <v>36</v>
      </c>
      <c r="G10" s="2" t="s">
        <v>130</v>
      </c>
      <c r="H10" s="28">
        <v>8000</v>
      </c>
      <c r="I10" s="2">
        <v>-296</v>
      </c>
      <c r="J10" s="28">
        <v>6716</v>
      </c>
      <c r="K10" s="28">
        <v>-49075</v>
      </c>
      <c r="L10" s="28">
        <v>7856</v>
      </c>
    </row>
    <row r="11" spans="1:12" ht="15.6" x14ac:dyDescent="0.3">
      <c r="A11" s="2" t="s">
        <v>131</v>
      </c>
      <c r="B11" s="2">
        <v>439</v>
      </c>
      <c r="C11" s="2">
        <v>-462</v>
      </c>
      <c r="D11" s="2">
        <v>441</v>
      </c>
      <c r="E11" s="2">
        <v>423</v>
      </c>
      <c r="F11" s="23">
        <v>-217</v>
      </c>
      <c r="G11" s="2" t="s">
        <v>131</v>
      </c>
      <c r="H11" s="28">
        <v>-90300</v>
      </c>
      <c r="I11" s="28">
        <v>-79300</v>
      </c>
      <c r="J11" s="28">
        <v>71764</v>
      </c>
      <c r="K11" s="28">
        <v>-49147</v>
      </c>
      <c r="L11" s="28">
        <v>19209</v>
      </c>
    </row>
    <row r="12" spans="1:12" ht="15.6" x14ac:dyDescent="0.3">
      <c r="A12" s="2" t="s">
        <v>13</v>
      </c>
      <c r="B12" s="2">
        <v>-46</v>
      </c>
      <c r="C12" s="2">
        <v>1</v>
      </c>
      <c r="D12" s="2">
        <v>-13</v>
      </c>
      <c r="E12" s="2">
        <v>-18</v>
      </c>
      <c r="F12" s="23">
        <v>-67</v>
      </c>
      <c r="G12" s="2" t="s">
        <v>13</v>
      </c>
      <c r="H12" s="28">
        <v>12800</v>
      </c>
      <c r="I12" s="28">
        <v>47199</v>
      </c>
      <c r="J12" s="28">
        <v>-60922</v>
      </c>
      <c r="K12" s="28">
        <v>-10557</v>
      </c>
      <c r="L12" s="28">
        <v>-1884</v>
      </c>
    </row>
    <row r="13" spans="1:12" ht="15.6" x14ac:dyDescent="0.3">
      <c r="A13" s="2" t="s">
        <v>44</v>
      </c>
      <c r="B13" s="3">
        <v>1191</v>
      </c>
      <c r="C13" s="2">
        <v>485</v>
      </c>
      <c r="D13" s="3">
        <v>-2622</v>
      </c>
      <c r="E13" s="2">
        <v>-346</v>
      </c>
      <c r="F13" s="23">
        <v>-28</v>
      </c>
      <c r="G13" s="2" t="s">
        <v>44</v>
      </c>
      <c r="H13" s="28">
        <v>69300</v>
      </c>
      <c r="I13" s="28">
        <v>48081</v>
      </c>
      <c r="J13" s="28">
        <v>-9612</v>
      </c>
      <c r="K13" s="28">
        <v>28312</v>
      </c>
      <c r="L13" s="28">
        <v>-12091</v>
      </c>
    </row>
    <row r="14" spans="1:12" ht="15.6" x14ac:dyDescent="0.3">
      <c r="A14" s="2" t="s">
        <v>132</v>
      </c>
      <c r="B14" s="3">
        <v>2452</v>
      </c>
      <c r="C14" s="3">
        <v>1495</v>
      </c>
      <c r="D14" s="3">
        <v>-1231</v>
      </c>
      <c r="E14" s="2">
        <v>-519</v>
      </c>
      <c r="F14" s="23">
        <v>348</v>
      </c>
      <c r="G14" s="2" t="s">
        <v>132</v>
      </c>
      <c r="H14" s="28">
        <v>16200</v>
      </c>
      <c r="I14" s="28">
        <v>-16276</v>
      </c>
      <c r="J14" s="28">
        <v>5486</v>
      </c>
      <c r="K14" s="28">
        <v>-17683</v>
      </c>
      <c r="L14" s="28">
        <v>2622</v>
      </c>
    </row>
    <row r="15" spans="1:12" ht="15.6" x14ac:dyDescent="0.3">
      <c r="A15" s="2" t="s">
        <v>133</v>
      </c>
      <c r="B15" s="3">
        <v>9154</v>
      </c>
      <c r="C15" s="3">
        <v>2834</v>
      </c>
      <c r="D15" s="3">
        <v>-3443</v>
      </c>
      <c r="E15" s="3">
        <v>2657</v>
      </c>
      <c r="F15" s="18">
        <v>2838</v>
      </c>
      <c r="G15" s="2" t="s">
        <v>133</v>
      </c>
      <c r="H15" s="28">
        <v>112600</v>
      </c>
      <c r="I15" s="28">
        <v>92250</v>
      </c>
      <c r="J15" s="28">
        <v>149339</v>
      </c>
      <c r="K15" s="28">
        <v>280628</v>
      </c>
      <c r="L15" s="28">
        <v>337951</v>
      </c>
    </row>
    <row r="16" spans="1:12" ht="15.6" x14ac:dyDescent="0.3">
      <c r="A16" s="2" t="s">
        <v>134</v>
      </c>
      <c r="B16" s="4">
        <v>2.23</v>
      </c>
      <c r="C16" s="4">
        <v>1.823</v>
      </c>
      <c r="D16" s="6">
        <v>-2.2957999999999998</v>
      </c>
      <c r="E16" s="6">
        <v>-6.3600000000000004E-2</v>
      </c>
      <c r="F16" s="25" t="s">
        <v>4</v>
      </c>
      <c r="G16" s="2" t="s">
        <v>134</v>
      </c>
      <c r="H16" s="4">
        <v>0.22059999999999999</v>
      </c>
      <c r="I16" s="6">
        <v>-0.38229999999999997</v>
      </c>
      <c r="J16" s="6">
        <v>-0.46779999999999999</v>
      </c>
      <c r="K16" s="6">
        <v>-0.1696</v>
      </c>
      <c r="L16" s="5" t="s">
        <v>4</v>
      </c>
    </row>
    <row r="17" spans="1:12" ht="15.6" x14ac:dyDescent="0.3">
      <c r="A17" s="2" t="s">
        <v>135</v>
      </c>
      <c r="B17" s="4">
        <v>0.51500000000000001</v>
      </c>
      <c r="C17" s="4">
        <v>0.37219999999999998</v>
      </c>
      <c r="D17" s="6">
        <v>-0.90229999999999999</v>
      </c>
      <c r="E17" s="4">
        <v>0.1663</v>
      </c>
      <c r="F17" s="26">
        <v>0.1739</v>
      </c>
      <c r="G17" s="2" t="s">
        <v>135</v>
      </c>
      <c r="H17" s="4">
        <v>6.4000000000000001E-2</v>
      </c>
      <c r="I17" s="4">
        <v>7.8399999999999997E-2</v>
      </c>
      <c r="J17" s="4">
        <v>0.154</v>
      </c>
      <c r="K17" s="4">
        <v>0.14460000000000001</v>
      </c>
      <c r="L17" s="4">
        <v>0.18490000000000001</v>
      </c>
    </row>
    <row r="18" spans="1:12" ht="15.6" x14ac:dyDescent="0.3">
      <c r="A18" s="2" t="s">
        <v>136</v>
      </c>
      <c r="B18" s="2"/>
      <c r="C18" s="2"/>
      <c r="D18" s="2"/>
      <c r="E18" s="2"/>
      <c r="F18" s="23"/>
      <c r="G18" s="29" t="s">
        <v>136</v>
      </c>
      <c r="H18" s="2"/>
      <c r="I18" s="2"/>
      <c r="J18" s="2"/>
      <c r="K18" s="2"/>
      <c r="L18" s="2"/>
    </row>
    <row r="19" spans="1:12" ht="15.6" x14ac:dyDescent="0.3">
      <c r="A19" s="1" t="s">
        <v>40</v>
      </c>
      <c r="B19" s="1">
        <v>2023</v>
      </c>
      <c r="C19" s="1">
        <v>2022</v>
      </c>
      <c r="D19" s="1">
        <v>2021</v>
      </c>
      <c r="E19" s="1">
        <v>2020</v>
      </c>
      <c r="F19" s="24">
        <v>2019</v>
      </c>
      <c r="G19" s="1" t="s">
        <v>137</v>
      </c>
      <c r="H19" s="13">
        <v>2023</v>
      </c>
      <c r="I19" s="13">
        <v>2022</v>
      </c>
      <c r="J19" s="13">
        <v>2021</v>
      </c>
      <c r="K19" s="13">
        <v>2020</v>
      </c>
      <c r="L19" s="13">
        <v>2019</v>
      </c>
    </row>
    <row r="20" spans="1:12" ht="15.6" x14ac:dyDescent="0.3">
      <c r="A20" s="2" t="s">
        <v>138</v>
      </c>
      <c r="B20" s="3">
        <v>-1688</v>
      </c>
      <c r="C20" s="3">
        <v>-3123</v>
      </c>
      <c r="D20" s="3">
        <v>-2770</v>
      </c>
      <c r="E20" s="3">
        <v>-5195</v>
      </c>
      <c r="F20" s="18">
        <v>-5668</v>
      </c>
      <c r="G20" s="2" t="s">
        <v>138</v>
      </c>
      <c r="H20" s="28">
        <v>-119400</v>
      </c>
      <c r="I20" s="28">
        <v>-79259</v>
      </c>
      <c r="J20" s="28">
        <v>-62612</v>
      </c>
      <c r="K20" s="28">
        <v>-82809</v>
      </c>
      <c r="L20" s="28">
        <v>-90480</v>
      </c>
    </row>
    <row r="21" spans="1:12" ht="15.6" x14ac:dyDescent="0.3">
      <c r="A21" s="2" t="s">
        <v>139</v>
      </c>
      <c r="B21" s="3">
        <v>-1606</v>
      </c>
      <c r="C21" s="3">
        <v>-3049</v>
      </c>
      <c r="D21" s="3">
        <v>-2696</v>
      </c>
      <c r="E21" s="3">
        <v>-5104</v>
      </c>
      <c r="F21" s="18">
        <v>-5562</v>
      </c>
      <c r="G21" s="2" t="s">
        <v>139</v>
      </c>
      <c r="H21" s="28">
        <v>-119400</v>
      </c>
      <c r="I21" s="28">
        <v>-62605</v>
      </c>
      <c r="J21" s="28">
        <v>-37825</v>
      </c>
      <c r="K21" s="28">
        <v>-73817</v>
      </c>
      <c r="L21" s="28">
        <v>-83419</v>
      </c>
    </row>
    <row r="22" spans="1:12" ht="15.6" x14ac:dyDescent="0.3">
      <c r="A22" s="2" t="s">
        <v>140</v>
      </c>
      <c r="B22" s="2">
        <v>-82</v>
      </c>
      <c r="C22" s="2">
        <v>-74</v>
      </c>
      <c r="D22" s="2">
        <v>-74</v>
      </c>
      <c r="E22" s="2">
        <v>-92</v>
      </c>
      <c r="F22" s="23">
        <v>-105</v>
      </c>
      <c r="G22" s="2" t="s">
        <v>140</v>
      </c>
      <c r="H22" s="5" t="s">
        <v>4</v>
      </c>
      <c r="I22" s="28">
        <v>-16654</v>
      </c>
      <c r="J22" s="28">
        <v>-24787</v>
      </c>
      <c r="K22" s="28">
        <v>-8992</v>
      </c>
      <c r="L22" s="28">
        <v>-7061</v>
      </c>
    </row>
    <row r="23" spans="1:12" ht="15.6" x14ac:dyDescent="0.3">
      <c r="A23" s="2" t="s">
        <v>141</v>
      </c>
      <c r="B23" s="4">
        <v>0.45960000000000001</v>
      </c>
      <c r="C23" s="6">
        <v>-0.12759999999999999</v>
      </c>
      <c r="D23" s="4">
        <v>0.46689999999999998</v>
      </c>
      <c r="E23" s="4">
        <v>8.3400000000000002E-2</v>
      </c>
      <c r="F23" s="25" t="s">
        <v>4</v>
      </c>
      <c r="G23" s="2" t="s">
        <v>141</v>
      </c>
      <c r="H23" s="6">
        <v>-0.50649999999999995</v>
      </c>
      <c r="I23" s="6">
        <v>-0.26590000000000003</v>
      </c>
      <c r="J23" s="4">
        <v>0.24390000000000001</v>
      </c>
      <c r="K23" s="4">
        <v>8.48E-2</v>
      </c>
      <c r="L23" s="5" t="s">
        <v>4</v>
      </c>
    </row>
    <row r="24" spans="1:12" ht="15.6" x14ac:dyDescent="0.3">
      <c r="A24" s="2" t="s">
        <v>142</v>
      </c>
      <c r="B24" s="6">
        <v>-9.5000000000000001E-2</v>
      </c>
      <c r="C24" s="6">
        <v>-0.41010000000000002</v>
      </c>
      <c r="D24" s="6">
        <v>-0.7258</v>
      </c>
      <c r="E24" s="6">
        <v>-0.32519999999999999</v>
      </c>
      <c r="F24" s="27">
        <v>-0.34720000000000001</v>
      </c>
      <c r="G24" s="2" t="s">
        <v>142</v>
      </c>
      <c r="H24" s="6">
        <v>-6.7900000000000002E-2</v>
      </c>
      <c r="I24" s="6">
        <v>-6.7400000000000002E-2</v>
      </c>
      <c r="J24" s="6">
        <v>-6.4500000000000002E-2</v>
      </c>
      <c r="K24" s="6">
        <v>-4.2700000000000002E-2</v>
      </c>
      <c r="L24" s="6">
        <v>-4.9500000000000002E-2</v>
      </c>
    </row>
    <row r="25" spans="1:12" ht="15.6" x14ac:dyDescent="0.3">
      <c r="A25" s="2" t="s">
        <v>143</v>
      </c>
      <c r="B25" s="2">
        <v>-4</v>
      </c>
      <c r="C25" s="5" t="s">
        <v>4</v>
      </c>
      <c r="D25" s="2">
        <v>-4</v>
      </c>
      <c r="E25" s="5" t="s">
        <v>4</v>
      </c>
      <c r="F25" s="23">
        <v>-5</v>
      </c>
      <c r="G25" s="2" t="s">
        <v>143</v>
      </c>
      <c r="H25" s="5" t="s">
        <v>4</v>
      </c>
      <c r="I25" s="5" t="s">
        <v>4</v>
      </c>
      <c r="J25" s="5" t="s">
        <v>4</v>
      </c>
      <c r="K25" s="28">
        <v>-52924</v>
      </c>
      <c r="L25" s="28">
        <v>-16132</v>
      </c>
    </row>
    <row r="26" spans="1:12" ht="15.6" x14ac:dyDescent="0.3">
      <c r="A26" s="2" t="s">
        <v>144</v>
      </c>
      <c r="B26" s="2">
        <v>18</v>
      </c>
      <c r="C26" s="2">
        <v>300</v>
      </c>
      <c r="D26" s="2">
        <v>162</v>
      </c>
      <c r="E26" s="2">
        <v>124</v>
      </c>
      <c r="F26" s="23">
        <v>182</v>
      </c>
      <c r="G26" s="2" t="s">
        <v>144</v>
      </c>
      <c r="H26" s="28">
        <v>25500</v>
      </c>
      <c r="I26" s="28">
        <v>82283</v>
      </c>
      <c r="J26" s="28">
        <v>2340</v>
      </c>
      <c r="K26" s="28">
        <v>8261</v>
      </c>
      <c r="L26" s="28">
        <v>20730</v>
      </c>
    </row>
    <row r="27" spans="1:12" ht="15.6" x14ac:dyDescent="0.3">
      <c r="A27" s="2" t="s">
        <v>145</v>
      </c>
      <c r="B27" s="2">
        <v>-35</v>
      </c>
      <c r="C27" s="2">
        <v>-263</v>
      </c>
      <c r="D27" s="2">
        <v>-27</v>
      </c>
      <c r="E27" s="2">
        <v>-152</v>
      </c>
      <c r="F27" s="23">
        <v>-38</v>
      </c>
      <c r="G27" s="2" t="s">
        <v>145</v>
      </c>
      <c r="H27" s="28">
        <v>3000</v>
      </c>
      <c r="I27" s="2">
        <v>306</v>
      </c>
      <c r="J27" s="2">
        <v>306</v>
      </c>
      <c r="K27" s="28">
        <v>-26067</v>
      </c>
      <c r="L27" s="28">
        <v>-25016</v>
      </c>
    </row>
    <row r="28" spans="1:12" ht="15.6" x14ac:dyDescent="0.3">
      <c r="A28" s="2" t="s">
        <v>146</v>
      </c>
      <c r="B28" s="2">
        <v>-189</v>
      </c>
      <c r="C28" s="2">
        <v>-354</v>
      </c>
      <c r="D28" s="2">
        <v>-797</v>
      </c>
      <c r="E28" s="2">
        <v>-860</v>
      </c>
      <c r="F28" s="18">
        <v>-1050</v>
      </c>
      <c r="G28" s="2" t="s">
        <v>146</v>
      </c>
      <c r="H28" s="2">
        <v>-100</v>
      </c>
      <c r="I28" s="5" t="s">
        <v>4</v>
      </c>
      <c r="J28" s="5" t="s">
        <v>4</v>
      </c>
      <c r="K28" s="28">
        <v>-29485</v>
      </c>
      <c r="L28" s="28">
        <v>-25016</v>
      </c>
    </row>
    <row r="29" spans="1:12" ht="15.6" x14ac:dyDescent="0.3">
      <c r="A29" s="2" t="s">
        <v>147</v>
      </c>
      <c r="B29" s="2">
        <v>154</v>
      </c>
      <c r="C29" s="2">
        <v>91</v>
      </c>
      <c r="D29" s="2">
        <v>770</v>
      </c>
      <c r="E29" s="2">
        <v>708</v>
      </c>
      <c r="F29" s="18">
        <v>1012</v>
      </c>
      <c r="G29" s="2" t="s">
        <v>147</v>
      </c>
      <c r="H29" s="28">
        <v>3100</v>
      </c>
      <c r="I29" s="2">
        <v>306</v>
      </c>
      <c r="J29" s="2">
        <v>306</v>
      </c>
      <c r="K29" s="28">
        <v>3418</v>
      </c>
      <c r="L29" s="5" t="s">
        <v>4</v>
      </c>
    </row>
    <row r="30" spans="1:12" ht="15.6" x14ac:dyDescent="0.3">
      <c r="A30" s="2" t="s">
        <v>148</v>
      </c>
      <c r="B30" s="3">
        <v>1220</v>
      </c>
      <c r="C30" s="2">
        <v>770</v>
      </c>
      <c r="D30" s="3">
        <v>1239</v>
      </c>
      <c r="E30" s="2">
        <v>126</v>
      </c>
      <c r="F30" s="25" t="s">
        <v>4</v>
      </c>
      <c r="G30" s="2" t="s">
        <v>149</v>
      </c>
      <c r="H30" s="5" t="s">
        <v>4</v>
      </c>
      <c r="I30" s="28">
        <v>-2152</v>
      </c>
      <c r="J30" s="5" t="s">
        <v>4</v>
      </c>
      <c r="K30" s="5" t="s">
        <v>4</v>
      </c>
      <c r="L30" s="5" t="s">
        <v>4</v>
      </c>
    </row>
    <row r="31" spans="1:12" ht="15.6" x14ac:dyDescent="0.3">
      <c r="A31" s="2" t="s">
        <v>150</v>
      </c>
      <c r="B31" s="2">
        <v>-490</v>
      </c>
      <c r="C31" s="3">
        <v>-2316</v>
      </c>
      <c r="D31" s="3">
        <v>-1400</v>
      </c>
      <c r="E31" s="3">
        <v>-5096</v>
      </c>
      <c r="F31" s="18">
        <v>-5528</v>
      </c>
      <c r="G31" s="2" t="s">
        <v>150</v>
      </c>
      <c r="H31" s="28">
        <v>-90900</v>
      </c>
      <c r="I31" s="28">
        <v>1178</v>
      </c>
      <c r="J31" s="28">
        <v>-59966</v>
      </c>
      <c r="K31" s="28">
        <v>-153539</v>
      </c>
      <c r="L31" s="28">
        <v>-110898</v>
      </c>
    </row>
    <row r="32" spans="1:12" ht="15.6" x14ac:dyDescent="0.3">
      <c r="A32" s="2" t="s">
        <v>151</v>
      </c>
      <c r="B32" s="4">
        <v>0.78839999999999999</v>
      </c>
      <c r="C32" s="6">
        <v>-0.65429999999999999</v>
      </c>
      <c r="D32" s="4">
        <v>0.72529999999999994</v>
      </c>
      <c r="E32" s="4">
        <v>7.8200000000000006E-2</v>
      </c>
      <c r="F32" s="25" t="s">
        <v>4</v>
      </c>
      <c r="G32" s="2" t="s">
        <v>151</v>
      </c>
      <c r="H32" s="6">
        <v>-78.164699999999996</v>
      </c>
      <c r="I32" s="4">
        <v>1.0196000000000001</v>
      </c>
      <c r="J32" s="4">
        <v>0.60940000000000005</v>
      </c>
      <c r="K32" s="6">
        <v>-0.38450000000000001</v>
      </c>
      <c r="L32" s="5" t="s">
        <v>4</v>
      </c>
    </row>
    <row r="33" spans="1:12" ht="15.6" x14ac:dyDescent="0.3">
      <c r="A33" s="2" t="s">
        <v>152</v>
      </c>
      <c r="B33" s="6">
        <v>-2.76E-2</v>
      </c>
      <c r="C33" s="6">
        <v>-0.30409999999999998</v>
      </c>
      <c r="D33" s="6">
        <v>-0.3669</v>
      </c>
      <c r="E33" s="6">
        <v>-0.31900000000000001</v>
      </c>
      <c r="F33" s="27">
        <v>-0.3387</v>
      </c>
      <c r="G33" s="2" t="s">
        <v>152</v>
      </c>
      <c r="H33" s="6">
        <v>-5.1700000000000003E-2</v>
      </c>
      <c r="I33" s="4">
        <v>1E-3</v>
      </c>
      <c r="J33" s="6">
        <v>-6.1800000000000001E-2</v>
      </c>
      <c r="K33" s="6">
        <v>-7.9100000000000004E-2</v>
      </c>
      <c r="L33" s="6">
        <v>-6.0699999999999997E-2</v>
      </c>
    </row>
    <row r="34" spans="1:12" ht="15.6" x14ac:dyDescent="0.3">
      <c r="A34" s="2" t="s">
        <v>153</v>
      </c>
      <c r="B34" s="2"/>
      <c r="C34" s="2"/>
      <c r="D34" s="2"/>
      <c r="E34" s="2"/>
      <c r="F34" s="23"/>
      <c r="G34" s="29" t="s">
        <v>153</v>
      </c>
      <c r="H34" s="2"/>
      <c r="I34" s="2"/>
      <c r="J34" s="2"/>
      <c r="K34" s="2"/>
      <c r="L34" s="2"/>
    </row>
    <row r="35" spans="1:12" ht="15.6" x14ac:dyDescent="0.3">
      <c r="A35" s="1" t="s">
        <v>40</v>
      </c>
      <c r="B35" s="1">
        <v>2023</v>
      </c>
      <c r="C35" s="1">
        <v>2022</v>
      </c>
      <c r="D35" s="1">
        <v>2021</v>
      </c>
      <c r="E35" s="1">
        <v>2020</v>
      </c>
      <c r="F35" s="24">
        <v>2019</v>
      </c>
      <c r="G35" s="1" t="s">
        <v>137</v>
      </c>
      <c r="H35" s="13">
        <v>2023</v>
      </c>
      <c r="I35" s="13">
        <v>2022</v>
      </c>
      <c r="J35" s="13">
        <v>2021</v>
      </c>
      <c r="K35" s="13">
        <v>2020</v>
      </c>
      <c r="L35" s="13">
        <v>2019</v>
      </c>
    </row>
    <row r="36" spans="1:12" ht="15.6" x14ac:dyDescent="0.3">
      <c r="A36" s="2" t="s">
        <v>154</v>
      </c>
      <c r="B36" s="2">
        <v>-297</v>
      </c>
      <c r="C36" s="5" t="s">
        <v>4</v>
      </c>
      <c r="D36" s="5" t="s">
        <v>4</v>
      </c>
      <c r="E36" s="2">
        <v>-356</v>
      </c>
      <c r="F36" s="23">
        <v>-450</v>
      </c>
      <c r="G36" s="2" t="s">
        <v>154</v>
      </c>
      <c r="H36" s="5" t="s">
        <v>4</v>
      </c>
      <c r="I36" s="5" t="s">
        <v>4</v>
      </c>
      <c r="J36" s="5" t="s">
        <v>4</v>
      </c>
      <c r="K36" s="28">
        <v>-212452</v>
      </c>
      <c r="L36" s="28">
        <v>-200941</v>
      </c>
    </row>
    <row r="37" spans="1:12" ht="15.6" x14ac:dyDescent="0.3">
      <c r="A37" s="2" t="s">
        <v>155</v>
      </c>
      <c r="B37" s="2">
        <v>-297</v>
      </c>
      <c r="C37" s="5" t="s">
        <v>4</v>
      </c>
      <c r="D37" s="5" t="s">
        <v>4</v>
      </c>
      <c r="E37" s="2">
        <v>-356</v>
      </c>
      <c r="F37" s="23">
        <v>-450</v>
      </c>
      <c r="G37" s="2" t="s">
        <v>155</v>
      </c>
      <c r="H37" s="5" t="s">
        <v>4</v>
      </c>
      <c r="I37" s="5" t="s">
        <v>4</v>
      </c>
      <c r="J37" s="5" t="s">
        <v>4</v>
      </c>
      <c r="K37" s="28">
        <v>-212452</v>
      </c>
      <c r="L37" s="28">
        <v>-200941</v>
      </c>
    </row>
    <row r="38" spans="1:12" ht="15.6" x14ac:dyDescent="0.3">
      <c r="A38" s="2" t="s">
        <v>156</v>
      </c>
      <c r="B38" s="3">
        <v>-3860</v>
      </c>
      <c r="C38" s="3">
        <v>6195</v>
      </c>
      <c r="D38" s="3">
        <v>8820</v>
      </c>
      <c r="E38" s="2">
        <v>1</v>
      </c>
      <c r="F38" s="23">
        <v>20</v>
      </c>
      <c r="G38" s="2" t="s">
        <v>156</v>
      </c>
      <c r="H38" s="28">
        <v>789700</v>
      </c>
      <c r="I38" s="5" t="s">
        <v>4</v>
      </c>
      <c r="J38" s="28">
        <v>-1568</v>
      </c>
      <c r="K38" s="5" t="s">
        <v>4</v>
      </c>
      <c r="L38" s="28">
        <v>-27982</v>
      </c>
    </row>
    <row r="39" spans="1:12" ht="15.6" x14ac:dyDescent="0.3">
      <c r="A39" s="2" t="s">
        <v>157</v>
      </c>
      <c r="B39" s="3">
        <v>-3860</v>
      </c>
      <c r="C39" s="5" t="s">
        <v>4</v>
      </c>
      <c r="D39" s="5" t="s">
        <v>4</v>
      </c>
      <c r="E39" s="5" t="s">
        <v>4</v>
      </c>
      <c r="F39" s="25" t="s">
        <v>4</v>
      </c>
      <c r="G39" s="2" t="s">
        <v>157</v>
      </c>
      <c r="H39" s="5" t="s">
        <v>4</v>
      </c>
      <c r="I39" s="5" t="s">
        <v>4</v>
      </c>
      <c r="J39" s="28">
        <v>-1568</v>
      </c>
      <c r="K39" s="5" t="s">
        <v>4</v>
      </c>
      <c r="L39" s="28">
        <v>-29012</v>
      </c>
    </row>
    <row r="40" spans="1:12" ht="15.6" x14ac:dyDescent="0.3">
      <c r="A40" s="2" t="s">
        <v>158</v>
      </c>
      <c r="B40" s="5" t="s">
        <v>4</v>
      </c>
      <c r="C40" s="3">
        <v>6195</v>
      </c>
      <c r="D40" s="3">
        <v>8820</v>
      </c>
      <c r="E40" s="2">
        <v>1</v>
      </c>
      <c r="F40" s="23">
        <v>20</v>
      </c>
      <c r="G40" s="2" t="s">
        <v>158</v>
      </c>
      <c r="H40" s="28">
        <v>789700</v>
      </c>
      <c r="I40" s="5" t="s">
        <v>4</v>
      </c>
      <c r="J40" s="5" t="s">
        <v>4</v>
      </c>
      <c r="K40" s="5" t="s">
        <v>4</v>
      </c>
      <c r="L40" s="28">
        <v>1030</v>
      </c>
    </row>
    <row r="41" spans="1:12" ht="15.6" x14ac:dyDescent="0.3">
      <c r="A41" s="2" t="s">
        <v>159</v>
      </c>
      <c r="B41" s="5" t="s">
        <v>4</v>
      </c>
      <c r="C41" s="3">
        <v>6195</v>
      </c>
      <c r="D41" s="3">
        <v>8820</v>
      </c>
      <c r="E41" s="2">
        <v>1</v>
      </c>
      <c r="F41" s="23">
        <v>20</v>
      </c>
      <c r="G41" s="2" t="s">
        <v>159</v>
      </c>
      <c r="H41" s="28">
        <v>789700</v>
      </c>
      <c r="I41" s="5" t="s">
        <v>4</v>
      </c>
      <c r="J41" s="5" t="s">
        <v>4</v>
      </c>
      <c r="K41" s="5" t="s">
        <v>4</v>
      </c>
      <c r="L41" s="5" t="s">
        <v>4</v>
      </c>
    </row>
    <row r="42" spans="1:12" ht="15.6" x14ac:dyDescent="0.3">
      <c r="A42" s="2" t="s">
        <v>160</v>
      </c>
      <c r="B42" s="2">
        <v>-982</v>
      </c>
      <c r="C42" s="2">
        <v>-80</v>
      </c>
      <c r="D42" s="3">
        <v>1719</v>
      </c>
      <c r="E42" s="3">
        <v>3103</v>
      </c>
      <c r="F42" s="18">
        <v>2176</v>
      </c>
      <c r="G42" s="2" t="s">
        <v>161</v>
      </c>
      <c r="H42" s="5" t="s">
        <v>4</v>
      </c>
      <c r="I42" s="5" t="s">
        <v>4</v>
      </c>
      <c r="J42" s="5" t="s">
        <v>4</v>
      </c>
      <c r="K42" s="5" t="s">
        <v>4</v>
      </c>
      <c r="L42" s="28">
        <v>1030</v>
      </c>
    </row>
    <row r="43" spans="1:12" ht="15.6" x14ac:dyDescent="0.3">
      <c r="A43" s="2" t="s">
        <v>128</v>
      </c>
      <c r="B43" s="2">
        <v>-2</v>
      </c>
      <c r="C43" s="2">
        <v>-1</v>
      </c>
      <c r="D43" s="2">
        <v>-14</v>
      </c>
      <c r="E43" s="2">
        <v>-31</v>
      </c>
      <c r="F43" s="18">
        <v>1316</v>
      </c>
      <c r="G43" s="2" t="s">
        <v>160</v>
      </c>
      <c r="H43" s="28">
        <v>646500</v>
      </c>
      <c r="I43" s="28">
        <v>-160917</v>
      </c>
      <c r="J43" s="28">
        <v>273612</v>
      </c>
      <c r="K43" s="28">
        <v>301336</v>
      </c>
      <c r="L43" s="28">
        <v>-10044</v>
      </c>
    </row>
    <row r="44" spans="1:12" ht="15.6" x14ac:dyDescent="0.3">
      <c r="A44" s="2" t="s">
        <v>149</v>
      </c>
      <c r="B44" s="2">
        <v>-2</v>
      </c>
      <c r="C44" s="2">
        <v>-1</v>
      </c>
      <c r="D44" s="2">
        <v>-14</v>
      </c>
      <c r="E44" s="2">
        <v>-31</v>
      </c>
      <c r="F44" s="23">
        <v>-34</v>
      </c>
      <c r="G44" s="2" t="s">
        <v>162</v>
      </c>
      <c r="H44" s="5" t="s">
        <v>4</v>
      </c>
      <c r="I44" s="5" t="s">
        <v>4</v>
      </c>
      <c r="J44" s="5" t="s">
        <v>4</v>
      </c>
      <c r="K44" s="5" t="s">
        <v>4</v>
      </c>
      <c r="L44" s="2">
        <v>-255</v>
      </c>
    </row>
    <row r="45" spans="1:12" ht="15.6" x14ac:dyDescent="0.3">
      <c r="A45" s="2" t="s">
        <v>148</v>
      </c>
      <c r="B45" s="5" t="s">
        <v>4</v>
      </c>
      <c r="C45" s="5" t="s">
        <v>4</v>
      </c>
      <c r="D45" s="5" t="s">
        <v>4</v>
      </c>
      <c r="E45" s="5" t="s">
        <v>4</v>
      </c>
      <c r="F45" s="18">
        <v>1350</v>
      </c>
      <c r="G45" s="2" t="s">
        <v>163</v>
      </c>
      <c r="H45" s="5" t="s">
        <v>4</v>
      </c>
      <c r="I45" s="5" t="s">
        <v>4</v>
      </c>
      <c r="J45" s="5" t="s">
        <v>4</v>
      </c>
      <c r="K45" s="5" t="s">
        <v>4</v>
      </c>
      <c r="L45" s="2">
        <v>-255</v>
      </c>
    </row>
    <row r="46" spans="1:12" ht="15.6" x14ac:dyDescent="0.3">
      <c r="A46" s="2" t="s">
        <v>164</v>
      </c>
      <c r="B46" s="3">
        <v>-5881</v>
      </c>
      <c r="C46" s="3">
        <v>5437</v>
      </c>
      <c r="D46" s="3">
        <v>9974</v>
      </c>
      <c r="E46" s="3">
        <v>2142</v>
      </c>
      <c r="F46" s="18">
        <v>3061</v>
      </c>
      <c r="G46" s="2" t="s">
        <v>128</v>
      </c>
      <c r="H46" s="28">
        <v>-36100</v>
      </c>
      <c r="I46" s="28">
        <v>-2400</v>
      </c>
      <c r="J46" s="28">
        <v>-3403</v>
      </c>
      <c r="K46" s="28">
        <v>-5672</v>
      </c>
      <c r="L46" s="28">
        <v>-9700</v>
      </c>
    </row>
    <row r="47" spans="1:12" ht="15.6" x14ac:dyDescent="0.3">
      <c r="A47" s="2" t="s">
        <v>165</v>
      </c>
      <c r="B47" s="6">
        <v>-2.0817000000000001</v>
      </c>
      <c r="C47" s="6">
        <v>-0.45490000000000003</v>
      </c>
      <c r="D47" s="4">
        <v>3.657</v>
      </c>
      <c r="E47" s="6">
        <v>-0.30030000000000001</v>
      </c>
      <c r="F47" s="25" t="s">
        <v>4</v>
      </c>
      <c r="G47" s="2" t="s">
        <v>149</v>
      </c>
      <c r="H47" s="28">
        <v>-36100</v>
      </c>
      <c r="I47" s="28">
        <v>-2400</v>
      </c>
      <c r="J47" s="28">
        <v>-3403</v>
      </c>
      <c r="K47" s="28">
        <v>-5672</v>
      </c>
      <c r="L47" s="28">
        <v>-9700</v>
      </c>
    </row>
    <row r="48" spans="1:12" ht="15.6" x14ac:dyDescent="0.3">
      <c r="A48" s="2" t="s">
        <v>166</v>
      </c>
      <c r="B48" s="6">
        <v>-0.33090000000000003</v>
      </c>
      <c r="C48" s="4">
        <v>0.71399999999999997</v>
      </c>
      <c r="D48" s="4">
        <v>2.6137000000000001</v>
      </c>
      <c r="E48" s="4">
        <v>0.1341</v>
      </c>
      <c r="F48" s="26">
        <v>0.1875</v>
      </c>
      <c r="G48" s="2" t="s">
        <v>164</v>
      </c>
      <c r="H48" s="28">
        <v>1340000</v>
      </c>
      <c r="I48" s="28">
        <v>-189303</v>
      </c>
      <c r="J48" s="28">
        <v>239521</v>
      </c>
      <c r="K48" s="28">
        <v>66067</v>
      </c>
      <c r="L48" s="28">
        <v>-248667</v>
      </c>
    </row>
    <row r="49" spans="1:12" ht="15.6" x14ac:dyDescent="0.3">
      <c r="A49" s="2" t="s">
        <v>167</v>
      </c>
      <c r="B49" s="2">
        <v>-218</v>
      </c>
      <c r="C49" s="2">
        <v>25</v>
      </c>
      <c r="D49" s="2">
        <v>-33</v>
      </c>
      <c r="E49" s="2">
        <v>39</v>
      </c>
      <c r="F49" s="23">
        <v>5</v>
      </c>
      <c r="G49" s="2" t="s">
        <v>165</v>
      </c>
      <c r="H49" s="4">
        <v>8.0785999999999998</v>
      </c>
      <c r="I49" s="6">
        <v>-1.7903</v>
      </c>
      <c r="J49" s="4">
        <v>2.6254</v>
      </c>
      <c r="K49" s="4">
        <v>1.2657</v>
      </c>
      <c r="L49" s="5" t="s">
        <v>4</v>
      </c>
    </row>
    <row r="50" spans="1:12" ht="15.6" x14ac:dyDescent="0.3">
      <c r="A50" s="2" t="s">
        <v>168</v>
      </c>
      <c r="B50" s="3">
        <v>2565</v>
      </c>
      <c r="C50" s="3">
        <v>5980</v>
      </c>
      <c r="D50" s="3">
        <v>5098</v>
      </c>
      <c r="E50" s="2">
        <v>-259</v>
      </c>
      <c r="F50" s="23">
        <v>376</v>
      </c>
      <c r="G50" s="2" t="s">
        <v>166</v>
      </c>
      <c r="H50" s="4">
        <v>0.7621</v>
      </c>
      <c r="I50" s="6">
        <v>-0.16089999999999999</v>
      </c>
      <c r="J50" s="4">
        <v>0.24690000000000001</v>
      </c>
      <c r="K50" s="4">
        <v>3.4000000000000002E-2</v>
      </c>
      <c r="L50" s="6">
        <v>-0.13600000000000001</v>
      </c>
    </row>
    <row r="51" spans="1:12" ht="15.6" x14ac:dyDescent="0.3">
      <c r="A51" s="2" t="s">
        <v>169</v>
      </c>
      <c r="B51" s="3">
        <v>7548</v>
      </c>
      <c r="C51" s="2">
        <v>-215</v>
      </c>
      <c r="D51" s="3">
        <v>-6139</v>
      </c>
      <c r="E51" s="3">
        <v>-2446</v>
      </c>
      <c r="F51" s="18">
        <v>-2725</v>
      </c>
      <c r="G51" s="2" t="s">
        <v>167</v>
      </c>
      <c r="H51" s="2">
        <v>700</v>
      </c>
      <c r="I51" s="28">
        <v>2067</v>
      </c>
      <c r="J51" s="28">
        <v>1750</v>
      </c>
      <c r="K51" s="28">
        <v>6190</v>
      </c>
      <c r="L51" s="28">
        <v>-1805</v>
      </c>
    </row>
    <row r="52" spans="1:12" ht="15.6" x14ac:dyDescent="0.3">
      <c r="A52" s="2" t="s">
        <v>170</v>
      </c>
      <c r="B52" s="4">
        <v>36.139699999999998</v>
      </c>
      <c r="C52" s="4">
        <v>0.96499999999999997</v>
      </c>
      <c r="D52" s="6">
        <v>-1.5095000000000001</v>
      </c>
      <c r="E52" s="4">
        <v>0.1021</v>
      </c>
      <c r="F52" s="25" t="s">
        <v>4</v>
      </c>
      <c r="G52" s="2" t="s">
        <v>168</v>
      </c>
      <c r="H52" s="28">
        <v>1362400</v>
      </c>
      <c r="I52" s="28">
        <v>-93808</v>
      </c>
      <c r="J52" s="28">
        <v>330644</v>
      </c>
      <c r="K52" s="28">
        <v>199346</v>
      </c>
      <c r="L52" s="28">
        <v>-23419</v>
      </c>
    </row>
    <row r="53" spans="1:12" ht="15.6" x14ac:dyDescent="0.3">
      <c r="A53" s="2" t="s">
        <v>171</v>
      </c>
      <c r="B53" s="4">
        <v>0.20369999999999999</v>
      </c>
      <c r="C53" s="5" t="s">
        <v>4</v>
      </c>
      <c r="D53" s="5" t="s">
        <v>4</v>
      </c>
      <c r="E53" s="5" t="s">
        <v>4</v>
      </c>
      <c r="F53" s="25" t="s">
        <v>4</v>
      </c>
      <c r="G53" s="2" t="s">
        <v>169</v>
      </c>
      <c r="H53" s="28">
        <v>-6800</v>
      </c>
      <c r="I53" s="28">
        <v>29645</v>
      </c>
      <c r="J53" s="28">
        <v>111514</v>
      </c>
      <c r="K53" s="28">
        <v>206811</v>
      </c>
      <c r="L53" s="28">
        <v>254532</v>
      </c>
    </row>
    <row r="54" spans="1:12" ht="15.6" x14ac:dyDescent="0.3">
      <c r="G54" s="2" t="s">
        <v>170</v>
      </c>
      <c r="H54" s="6">
        <v>-1.2294</v>
      </c>
      <c r="I54" s="6">
        <v>-0.73419999999999996</v>
      </c>
      <c r="J54" s="6">
        <v>-0.46079999999999999</v>
      </c>
      <c r="K54" s="6">
        <v>-0.1875</v>
      </c>
      <c r="L54" s="5" t="s">
        <v>4</v>
      </c>
    </row>
    <row r="55" spans="1:12" ht="15.6" x14ac:dyDescent="0.3">
      <c r="G55" s="2" t="s">
        <v>171</v>
      </c>
      <c r="H55" s="6">
        <v>-2E-3</v>
      </c>
      <c r="I55" s="5" t="s">
        <v>4</v>
      </c>
      <c r="J55" s="5" t="s">
        <v>4</v>
      </c>
      <c r="K55" s="5" t="s">
        <v>4</v>
      </c>
      <c r="L55" s="5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3367B-B9A9-461C-AF85-05C7F5DBAF96}">
  <dimension ref="A1:C24"/>
  <sheetViews>
    <sheetView workbookViewId="0">
      <selection activeCell="B22" sqref="B22"/>
    </sheetView>
  </sheetViews>
  <sheetFormatPr defaultRowHeight="14.4" x14ac:dyDescent="0.3"/>
  <cols>
    <col min="1" max="1" width="11.44140625" bestFit="1" customWidth="1"/>
    <col min="2" max="2" width="41.5546875" bestFit="1" customWidth="1"/>
    <col min="3" max="3" width="71.5546875" bestFit="1" customWidth="1"/>
  </cols>
  <sheetData>
    <row r="1" spans="1:3" x14ac:dyDescent="0.3">
      <c r="A1" t="s">
        <v>172</v>
      </c>
      <c r="B1" t="s">
        <v>173</v>
      </c>
      <c r="C1" t="s">
        <v>174</v>
      </c>
    </row>
    <row r="2" spans="1:3" x14ac:dyDescent="0.3">
      <c r="A2" t="s">
        <v>175</v>
      </c>
      <c r="B2" t="s">
        <v>176</v>
      </c>
      <c r="C2" s="32">
        <v>10</v>
      </c>
    </row>
    <row r="3" spans="1:3" x14ac:dyDescent="0.3">
      <c r="B3" t="s">
        <v>177</v>
      </c>
      <c r="C3" s="32">
        <v>5</v>
      </c>
    </row>
    <row r="4" spans="1:3" x14ac:dyDescent="0.3">
      <c r="B4" t="s">
        <v>178</v>
      </c>
      <c r="C4" s="30" t="s">
        <v>179</v>
      </c>
    </row>
    <row r="5" spans="1:3" x14ac:dyDescent="0.3">
      <c r="B5" t="s">
        <v>180</v>
      </c>
      <c r="C5" s="30" t="s">
        <v>181</v>
      </c>
    </row>
    <row r="6" spans="1:3" x14ac:dyDescent="0.3">
      <c r="B6" t="s">
        <v>182</v>
      </c>
      <c r="C6" s="30" t="s">
        <v>183</v>
      </c>
    </row>
    <row r="7" spans="1:3" x14ac:dyDescent="0.3">
      <c r="A7" t="s">
        <v>184</v>
      </c>
      <c r="B7" t="s">
        <v>185</v>
      </c>
      <c r="C7" s="30" t="s">
        <v>186</v>
      </c>
    </row>
    <row r="8" spans="1:3" x14ac:dyDescent="0.3">
      <c r="B8" t="s">
        <v>187</v>
      </c>
      <c r="C8" s="30" t="s">
        <v>188</v>
      </c>
    </row>
    <row r="9" spans="1:3" x14ac:dyDescent="0.3">
      <c r="B9" t="s">
        <v>189</v>
      </c>
      <c r="C9" s="30" t="s">
        <v>190</v>
      </c>
    </row>
    <row r="10" spans="1:3" x14ac:dyDescent="0.3">
      <c r="A10" t="s">
        <v>191</v>
      </c>
      <c r="B10" t="s">
        <v>192</v>
      </c>
      <c r="C10" s="30" t="s">
        <v>193</v>
      </c>
    </row>
    <row r="11" spans="1:3" x14ac:dyDescent="0.3">
      <c r="B11" t="s">
        <v>194</v>
      </c>
      <c r="C11" s="30" t="s">
        <v>195</v>
      </c>
    </row>
    <row r="12" spans="1:3" x14ac:dyDescent="0.3">
      <c r="B12" t="s">
        <v>196</v>
      </c>
      <c r="C12" s="30" t="s">
        <v>197</v>
      </c>
    </row>
    <row r="13" spans="1:3" x14ac:dyDescent="0.3">
      <c r="A13" t="s">
        <v>198</v>
      </c>
      <c r="B13" t="s">
        <v>199</v>
      </c>
      <c r="C13" s="30" t="s">
        <v>200</v>
      </c>
    </row>
    <row r="14" spans="1:3" x14ac:dyDescent="0.3">
      <c r="B14" t="s">
        <v>201</v>
      </c>
      <c r="C14" s="30" t="s">
        <v>202</v>
      </c>
    </row>
    <row r="15" spans="1:3" x14ac:dyDescent="0.3">
      <c r="B15" t="s">
        <v>203</v>
      </c>
      <c r="C15" s="30" t="s">
        <v>204</v>
      </c>
    </row>
    <row r="16" spans="1:3" x14ac:dyDescent="0.3">
      <c r="A16" t="s">
        <v>205</v>
      </c>
      <c r="B16" t="s">
        <v>206</v>
      </c>
      <c r="C16" s="31">
        <v>5</v>
      </c>
    </row>
    <row r="17" spans="1:3" x14ac:dyDescent="0.3">
      <c r="B17" t="s">
        <v>207</v>
      </c>
      <c r="C17" s="31">
        <v>10</v>
      </c>
    </row>
    <row r="18" spans="1:3" x14ac:dyDescent="0.3">
      <c r="A18" t="s">
        <v>208</v>
      </c>
      <c r="B18" t="s">
        <v>209</v>
      </c>
      <c r="C18" s="30" t="s">
        <v>210</v>
      </c>
    </row>
    <row r="19" spans="1:3" x14ac:dyDescent="0.3">
      <c r="B19" t="s">
        <v>211</v>
      </c>
      <c r="C19" s="30" t="s">
        <v>212</v>
      </c>
    </row>
    <row r="20" spans="1:3" x14ac:dyDescent="0.3">
      <c r="B20" t="s">
        <v>213</v>
      </c>
      <c r="C20" s="30" t="s">
        <v>212</v>
      </c>
    </row>
    <row r="24" spans="1:3" hidden="1" x14ac:dyDescent="0.3"/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A9FC5-FF52-402C-B960-EA5A85E726AD}">
  <dimension ref="A1:L11"/>
  <sheetViews>
    <sheetView workbookViewId="0">
      <selection activeCell="F5" sqref="F5"/>
    </sheetView>
  </sheetViews>
  <sheetFormatPr defaultRowHeight="14.4" x14ac:dyDescent="0.3"/>
  <cols>
    <col min="1" max="1" width="28.33203125" bestFit="1" customWidth="1"/>
    <col min="2" max="2" width="18.5546875" bestFit="1" customWidth="1"/>
    <col min="6" max="6" width="25.77734375" bestFit="1" customWidth="1"/>
    <col min="7" max="7" width="13.109375" bestFit="1" customWidth="1"/>
    <col min="8" max="8" width="6.44140625" bestFit="1" customWidth="1"/>
    <col min="9" max="9" width="14" bestFit="1" customWidth="1"/>
    <col min="10" max="10" width="29.77734375" bestFit="1" customWidth="1"/>
    <col min="11" max="11" width="14.88671875" bestFit="1" customWidth="1"/>
    <col min="12" max="12" width="20.6640625" bestFit="1" customWidth="1"/>
  </cols>
  <sheetData>
    <row r="1" spans="1:12" x14ac:dyDescent="0.3">
      <c r="A1" t="s">
        <v>214</v>
      </c>
      <c r="B1" t="s">
        <v>215</v>
      </c>
      <c r="F1" s="33" t="s">
        <v>236</v>
      </c>
      <c r="G1" s="33" t="s">
        <v>237</v>
      </c>
      <c r="H1" s="33" t="s">
        <v>238</v>
      </c>
      <c r="I1" s="33" t="s">
        <v>239</v>
      </c>
      <c r="J1" s="33" t="s">
        <v>240</v>
      </c>
      <c r="K1" s="33" t="s">
        <v>241</v>
      </c>
      <c r="L1" s="33" t="s">
        <v>242</v>
      </c>
    </row>
    <row r="2" spans="1:12" x14ac:dyDescent="0.3">
      <c r="A2" t="s">
        <v>216</v>
      </c>
      <c r="B2" s="30">
        <v>1308.33</v>
      </c>
      <c r="F2" s="33" t="s">
        <v>243</v>
      </c>
      <c r="G2" s="34">
        <v>0.1</v>
      </c>
      <c r="H2" s="33" t="s">
        <v>244</v>
      </c>
      <c r="I2" s="33" t="s">
        <v>245</v>
      </c>
      <c r="J2" s="33" t="s">
        <v>244</v>
      </c>
      <c r="K2" s="35">
        <v>1000000</v>
      </c>
      <c r="L2" s="33" t="s">
        <v>244</v>
      </c>
    </row>
    <row r="3" spans="1:12" x14ac:dyDescent="0.3">
      <c r="A3" t="s">
        <v>217</v>
      </c>
      <c r="B3" s="30">
        <v>11.7</v>
      </c>
      <c r="F3" s="33" t="s">
        <v>246</v>
      </c>
      <c r="G3" s="36">
        <v>5000000</v>
      </c>
      <c r="H3" s="33" t="s">
        <v>244</v>
      </c>
      <c r="I3" s="33" t="s">
        <v>245</v>
      </c>
      <c r="J3" s="33" t="s">
        <v>244</v>
      </c>
      <c r="K3" s="33" t="s">
        <v>244</v>
      </c>
      <c r="L3" s="33" t="s">
        <v>244</v>
      </c>
    </row>
    <row r="4" spans="1:12" x14ac:dyDescent="0.3">
      <c r="A4" t="s">
        <v>218</v>
      </c>
      <c r="B4" s="30">
        <v>80.819999999999993</v>
      </c>
      <c r="F4" s="33" t="s">
        <v>247</v>
      </c>
      <c r="G4" s="36">
        <v>1000000</v>
      </c>
      <c r="H4" s="33">
        <v>52</v>
      </c>
      <c r="I4" s="36">
        <f>G4*H4</f>
        <v>52000000</v>
      </c>
      <c r="J4" s="36">
        <v>48387097</v>
      </c>
      <c r="K4" s="33" t="s">
        <v>244</v>
      </c>
      <c r="L4" s="33" t="s">
        <v>244</v>
      </c>
    </row>
    <row r="5" spans="1:12" x14ac:dyDescent="0.3">
      <c r="A5" t="s">
        <v>219</v>
      </c>
      <c r="B5" s="30">
        <v>300.45</v>
      </c>
      <c r="F5" s="33" t="s">
        <v>248</v>
      </c>
      <c r="G5" s="36">
        <v>500000</v>
      </c>
      <c r="H5" s="33">
        <v>52</v>
      </c>
      <c r="I5" s="36">
        <f t="shared" ref="I5:I6" si="0">G5*H5</f>
        <v>26000000</v>
      </c>
      <c r="J5" s="36">
        <v>24193548</v>
      </c>
      <c r="K5" s="33" t="s">
        <v>244</v>
      </c>
      <c r="L5" s="33" t="s">
        <v>244</v>
      </c>
    </row>
    <row r="6" spans="1:12" x14ac:dyDescent="0.3">
      <c r="A6" t="s">
        <v>220</v>
      </c>
      <c r="B6" s="30">
        <v>369.375</v>
      </c>
      <c r="F6" s="33" t="s">
        <v>249</v>
      </c>
      <c r="G6" s="34">
        <f>SUM(G2:G5)</f>
        <v>6500000.0999999996</v>
      </c>
      <c r="H6" s="33" t="s">
        <v>244</v>
      </c>
      <c r="I6" s="36">
        <f>SUM(I2:I5)</f>
        <v>78000000</v>
      </c>
      <c r="J6" s="36">
        <f>SUM(J2:J5)</f>
        <v>72580645</v>
      </c>
      <c r="K6" s="35">
        <f>SUM(K2:K5)</f>
        <v>1000000</v>
      </c>
      <c r="L6" s="33">
        <f>SUM(L2:L5)</f>
        <v>0</v>
      </c>
    </row>
    <row r="7" spans="1:12" x14ac:dyDescent="0.3">
      <c r="A7" t="s">
        <v>221</v>
      </c>
      <c r="B7" s="30">
        <v>70.78</v>
      </c>
    </row>
    <row r="8" spans="1:12" x14ac:dyDescent="0.3">
      <c r="A8" t="s">
        <v>222</v>
      </c>
      <c r="B8" s="30">
        <v>50.02</v>
      </c>
    </row>
    <row r="9" spans="1:12" x14ac:dyDescent="0.3">
      <c r="A9" t="s">
        <v>223</v>
      </c>
      <c r="B9" s="30">
        <v>150.57</v>
      </c>
    </row>
    <row r="10" spans="1:12" x14ac:dyDescent="0.3">
      <c r="A10" t="s">
        <v>224</v>
      </c>
      <c r="B10" s="30">
        <v>60.98</v>
      </c>
    </row>
    <row r="11" spans="1:12" x14ac:dyDescent="0.3">
      <c r="A11" t="s">
        <v>225</v>
      </c>
      <c r="B11" s="30">
        <v>40.24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35B90-06A3-45C1-8603-59DE032DA590}">
  <dimension ref="A1:G22"/>
  <sheetViews>
    <sheetView tabSelected="1" workbookViewId="0">
      <selection activeCell="G21" sqref="G21"/>
    </sheetView>
  </sheetViews>
  <sheetFormatPr defaultRowHeight="14.4" x14ac:dyDescent="0.3"/>
  <cols>
    <col min="1" max="1" width="27.6640625" bestFit="1" customWidth="1"/>
    <col min="2" max="2" width="28" bestFit="1" customWidth="1"/>
    <col min="3" max="3" width="6.44140625" bestFit="1" customWidth="1"/>
    <col min="4" max="4" width="14" bestFit="1" customWidth="1"/>
    <col min="5" max="5" width="29.77734375" bestFit="1" customWidth="1"/>
    <col min="6" max="6" width="14.88671875" bestFit="1" customWidth="1"/>
    <col min="7" max="7" width="26.21875" bestFit="1" customWidth="1"/>
  </cols>
  <sheetData>
    <row r="1" spans="1:7" x14ac:dyDescent="0.3">
      <c r="A1" t="s">
        <v>226</v>
      </c>
      <c r="B1" t="s">
        <v>227</v>
      </c>
    </row>
    <row r="2" spans="1:7" x14ac:dyDescent="0.3">
      <c r="A2" t="s">
        <v>228</v>
      </c>
      <c r="B2" s="30">
        <v>5.89</v>
      </c>
    </row>
    <row r="3" spans="1:7" x14ac:dyDescent="0.3">
      <c r="A3" t="s">
        <v>229</v>
      </c>
      <c r="B3" s="30">
        <v>2.57</v>
      </c>
    </row>
    <row r="4" spans="1:7" x14ac:dyDescent="0.3">
      <c r="A4" t="s">
        <v>230</v>
      </c>
      <c r="B4" s="30">
        <v>3.43</v>
      </c>
    </row>
    <row r="5" spans="1:7" x14ac:dyDescent="0.3">
      <c r="A5" t="s">
        <v>231</v>
      </c>
      <c r="B5" s="30">
        <v>1.1299999999999999</v>
      </c>
    </row>
    <row r="6" spans="1:7" x14ac:dyDescent="0.3">
      <c r="A6" t="s">
        <v>232</v>
      </c>
      <c r="B6" s="30">
        <v>1.56</v>
      </c>
    </row>
    <row r="7" spans="1:7" x14ac:dyDescent="0.3">
      <c r="A7" t="s">
        <v>233</v>
      </c>
      <c r="B7" s="30">
        <v>2.78</v>
      </c>
    </row>
    <row r="8" spans="1:7" x14ac:dyDescent="0.3">
      <c r="A8" t="s">
        <v>234</v>
      </c>
      <c r="B8" s="30">
        <v>1.53</v>
      </c>
    </row>
    <row r="9" spans="1:7" x14ac:dyDescent="0.3">
      <c r="A9" t="s">
        <v>235</v>
      </c>
      <c r="B9" s="30">
        <v>1.24</v>
      </c>
    </row>
    <row r="11" spans="1:7" x14ac:dyDescent="0.3">
      <c r="A11" s="33" t="s">
        <v>236</v>
      </c>
      <c r="B11" s="33" t="s">
        <v>237</v>
      </c>
      <c r="C11" s="33" t="s">
        <v>238</v>
      </c>
      <c r="D11" s="33" t="s">
        <v>239</v>
      </c>
      <c r="E11" s="33" t="s">
        <v>240</v>
      </c>
      <c r="F11" s="33" t="s">
        <v>241</v>
      </c>
      <c r="G11" s="33" t="s">
        <v>242</v>
      </c>
    </row>
    <row r="12" spans="1:7" x14ac:dyDescent="0.3">
      <c r="A12" s="33" t="s">
        <v>250</v>
      </c>
      <c r="B12" s="34">
        <v>0.1</v>
      </c>
      <c r="C12" s="33" t="s">
        <v>244</v>
      </c>
      <c r="D12" s="36">
        <v>1000000</v>
      </c>
      <c r="E12" s="36">
        <v>925926</v>
      </c>
      <c r="F12" s="35">
        <v>10000000</v>
      </c>
      <c r="G12" s="33" t="s">
        <v>244</v>
      </c>
    </row>
    <row r="13" spans="1:7" x14ac:dyDescent="0.3">
      <c r="A13" s="33" t="s">
        <v>229</v>
      </c>
      <c r="B13" s="36">
        <v>2500000</v>
      </c>
      <c r="C13" s="33">
        <v>52</v>
      </c>
      <c r="D13" s="36">
        <v>130000000</v>
      </c>
      <c r="E13" s="36">
        <v>120774194</v>
      </c>
      <c r="F13" s="33" t="s">
        <v>244</v>
      </c>
      <c r="G13" s="33" t="s">
        <v>244</v>
      </c>
    </row>
    <row r="14" spans="1:7" x14ac:dyDescent="0.3">
      <c r="A14" s="33" t="s">
        <v>230</v>
      </c>
      <c r="B14" s="36">
        <v>3000000</v>
      </c>
      <c r="C14" s="33">
        <v>52</v>
      </c>
      <c r="D14" s="36">
        <v>156000000</v>
      </c>
      <c r="E14" s="36">
        <v>145290323</v>
      </c>
      <c r="F14" s="33" t="s">
        <v>244</v>
      </c>
      <c r="G14" s="33" t="s">
        <v>244</v>
      </c>
    </row>
    <row r="15" spans="1:7" x14ac:dyDescent="0.3">
      <c r="A15" s="33" t="s">
        <v>231</v>
      </c>
      <c r="B15" s="36">
        <v>1000000</v>
      </c>
      <c r="C15" s="33">
        <v>52</v>
      </c>
      <c r="D15" s="36">
        <v>52000000</v>
      </c>
      <c r="E15" s="36">
        <v>48387097</v>
      </c>
      <c r="F15" s="33" t="s">
        <v>244</v>
      </c>
      <c r="G15" s="33" t="s">
        <v>244</v>
      </c>
    </row>
    <row r="16" spans="1:7" x14ac:dyDescent="0.3">
      <c r="A16" s="33" t="s">
        <v>232</v>
      </c>
      <c r="B16" s="36">
        <v>1500000</v>
      </c>
      <c r="C16" s="33">
        <v>52</v>
      </c>
      <c r="D16" s="36">
        <v>78000000</v>
      </c>
      <c r="E16" s="36">
        <v>72580645</v>
      </c>
      <c r="F16" s="33" t="s">
        <v>244</v>
      </c>
      <c r="G16" s="33" t="s">
        <v>244</v>
      </c>
    </row>
    <row r="17" spans="1:7" x14ac:dyDescent="0.3">
      <c r="A17" s="33" t="s">
        <v>251</v>
      </c>
      <c r="B17" s="36">
        <v>500000</v>
      </c>
      <c r="C17" s="33">
        <v>52</v>
      </c>
      <c r="D17" s="36">
        <v>26000000</v>
      </c>
      <c r="E17" s="36">
        <v>24193548</v>
      </c>
      <c r="F17" s="33" t="s">
        <v>244</v>
      </c>
      <c r="G17" s="33" t="s">
        <v>244</v>
      </c>
    </row>
    <row r="18" spans="1:7" x14ac:dyDescent="0.3">
      <c r="A18" s="33" t="s">
        <v>233</v>
      </c>
      <c r="B18" s="36">
        <v>2000000</v>
      </c>
      <c r="C18" s="33">
        <v>52</v>
      </c>
      <c r="D18" s="36">
        <v>104000000</v>
      </c>
      <c r="E18" s="36">
        <v>96774194</v>
      </c>
      <c r="F18" s="33" t="s">
        <v>244</v>
      </c>
      <c r="G18" s="33" t="s">
        <v>244</v>
      </c>
    </row>
    <row r="19" spans="1:7" x14ac:dyDescent="0.3">
      <c r="A19" s="33" t="s">
        <v>252</v>
      </c>
      <c r="B19" s="36">
        <v>1500000</v>
      </c>
      <c r="C19" s="33">
        <v>52</v>
      </c>
      <c r="D19" s="36">
        <v>78000000</v>
      </c>
      <c r="E19" s="36">
        <v>72580645</v>
      </c>
      <c r="F19" s="33" t="s">
        <v>244</v>
      </c>
      <c r="G19" s="33" t="s">
        <v>244</v>
      </c>
    </row>
    <row r="20" spans="1:7" x14ac:dyDescent="0.3">
      <c r="A20" s="33" t="s">
        <v>234</v>
      </c>
      <c r="B20" s="33" t="s">
        <v>244</v>
      </c>
      <c r="C20" s="33" t="s">
        <v>244</v>
      </c>
      <c r="D20" s="36">
        <v>10000000</v>
      </c>
      <c r="E20" s="36">
        <v>9259259</v>
      </c>
      <c r="F20" s="33" t="s">
        <v>244</v>
      </c>
      <c r="G20" s="33" t="s">
        <v>244</v>
      </c>
    </row>
    <row r="21" spans="1:7" x14ac:dyDescent="0.3">
      <c r="A21" s="33" t="s">
        <v>235</v>
      </c>
      <c r="B21" s="36">
        <v>1200000</v>
      </c>
      <c r="C21" s="33">
        <v>52</v>
      </c>
      <c r="D21" s="36">
        <v>62400000</v>
      </c>
      <c r="E21" s="36">
        <v>58064516</v>
      </c>
      <c r="F21" s="33" t="s">
        <v>244</v>
      </c>
      <c r="G21" s="33" t="s">
        <v>244</v>
      </c>
    </row>
    <row r="22" spans="1:7" x14ac:dyDescent="0.3">
      <c r="A22" s="33" t="s">
        <v>253</v>
      </c>
      <c r="B22" s="33" t="s">
        <v>244</v>
      </c>
      <c r="C22" s="33" t="s">
        <v>244</v>
      </c>
      <c r="D22" s="36">
        <v>698400000</v>
      </c>
      <c r="E22" s="36">
        <v>648000000</v>
      </c>
      <c r="F22" s="33" t="s">
        <v>244</v>
      </c>
      <c r="G22" s="33" t="s">
        <v>244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SATS BS</vt:lpstr>
      <vt:lpstr>SATS IS</vt:lpstr>
      <vt:lpstr>SATS CF</vt:lpstr>
      <vt:lpstr>Price List</vt:lpstr>
      <vt:lpstr>Costs</vt:lpstr>
      <vt:lpstr>Benefits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Ricci, Nicholas</dc:creator>
  <cp:keywords/>
  <dc:description/>
  <cp:lastModifiedBy>Ricci, Nicholas</cp:lastModifiedBy>
  <cp:revision/>
  <dcterms:created xsi:type="dcterms:W3CDTF">2023-09-05T12:53:03Z</dcterms:created>
  <dcterms:modified xsi:type="dcterms:W3CDTF">2023-10-20T00:25:45Z</dcterms:modified>
  <cp:category/>
  <cp:contentStatus/>
</cp:coreProperties>
</file>