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flpoly-my.sharepoint.com/personal/nricci0462_floridapoly_edu/Documents/"/>
    </mc:Choice>
  </mc:AlternateContent>
  <xr:revisionPtr revIDLastSave="1640" documentId="7_{16F994B1-008B-0142-8728-4B8D85C213B6}" xr6:coauthVersionLast="47" xr6:coauthVersionMax="47" xr10:uidLastSave="{F83E4F12-A35B-40AC-93CF-7F4C1A9246E0}"/>
  <bookViews>
    <workbookView xWindow="11424" yWindow="0" windowWidth="11712" windowHeight="12336" firstSheet="7" activeTab="7" xr2:uid="{00000000-000D-0000-FFFF-FFFF00000000}"/>
  </bookViews>
  <sheets>
    <sheet name="Delta BS from 2017 to 2021" sheetId="3" r:id="rId1"/>
    <sheet name="Delta IS from 2017 to 2021" sheetId="4" r:id="rId2"/>
    <sheet name="Delta CAPM 2017 to 2021" sheetId="6" r:id="rId3"/>
    <sheet name="Beta 1" sheetId="8" r:id="rId4"/>
    <sheet name="CAPM" sheetId="9" r:id="rId5"/>
    <sheet name="Cost of Debt" sheetId="11" r:id="rId6"/>
    <sheet name="WACC" sheetId="10" r:id="rId7"/>
    <sheet name="All in 1" sheetId="13" r:id="rId8"/>
    <sheet name="NPV" sheetId="1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3" l="1"/>
  <c r="E46" i="13"/>
  <c r="B40" i="13"/>
  <c r="C16" i="13"/>
  <c r="B6" i="13"/>
  <c r="B8" i="8"/>
  <c r="D4" i="11"/>
  <c r="C9" i="9"/>
  <c r="E16" i="10"/>
  <c r="E11" i="10"/>
  <c r="E13" i="10" s="1"/>
  <c r="D15" i="9"/>
  <c r="E9" i="9" s="1"/>
  <c r="I11" i="3"/>
  <c r="I18" i="3" s="1"/>
  <c r="G35" i="3"/>
  <c r="D15" i="8"/>
  <c r="G38" i="3"/>
  <c r="H38" i="3"/>
  <c r="I38" i="3"/>
  <c r="J38" i="3"/>
  <c r="F38" i="3"/>
  <c r="L38" i="3" s="1"/>
  <c r="G37" i="3"/>
  <c r="H37" i="3"/>
  <c r="I37" i="3"/>
  <c r="J37" i="3"/>
  <c r="F37" i="3"/>
  <c r="L37" i="3" s="1"/>
  <c r="G36" i="3"/>
  <c r="H36" i="3"/>
  <c r="I36" i="3"/>
  <c r="J36" i="3"/>
  <c r="F36" i="3"/>
  <c r="L36" i="3" s="1"/>
  <c r="H35" i="3"/>
  <c r="I35" i="3"/>
  <c r="J35" i="3"/>
  <c r="F35" i="3"/>
  <c r="L35" i="3" s="1"/>
  <c r="H27" i="4"/>
  <c r="H26" i="4"/>
  <c r="C26" i="4"/>
  <c r="D26" i="4"/>
  <c r="E26" i="4"/>
  <c r="F26" i="4"/>
  <c r="B26" i="4"/>
  <c r="C27" i="4"/>
  <c r="D27" i="4"/>
  <c r="E27" i="4"/>
  <c r="F27" i="4"/>
  <c r="B27" i="4"/>
  <c r="L32" i="3"/>
  <c r="F32" i="3" a="1"/>
  <c r="F32" i="3"/>
  <c r="B42" i="13" l="1"/>
  <c r="B45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<sst xmlns="http://schemas.openxmlformats.org/spreadsheetml/2006/main" count="272" uniqueCount="175">
  <si>
    <t xml:space="preserve">Annual Data in Millions of US $ </t>
  </si>
  <si>
    <t>Cash On Hand</t>
  </si>
  <si>
    <t>1.calc beta</t>
  </si>
  <si>
    <t>(try to get 1.30)</t>
  </si>
  <si>
    <t>Receivables</t>
  </si>
  <si>
    <t>2. wacc</t>
  </si>
  <si>
    <t>Inventory</t>
  </si>
  <si>
    <t>Pre-Paid Expenses</t>
  </si>
  <si>
    <t>Other Current Assets</t>
  </si>
  <si>
    <t>-</t>
  </si>
  <si>
    <t>Total Current Assets</t>
  </si>
  <si>
    <t>Property, Plant, And Equipment</t>
  </si>
  <si>
    <t>Long-Term Investments</t>
  </si>
  <si>
    <t>Goodwill And Intangible Assets</t>
  </si>
  <si>
    <t>Other Long-Term Assets</t>
  </si>
  <si>
    <t>"=rate"</t>
  </si>
  <si>
    <t>Total Long-Term Assets</t>
  </si>
  <si>
    <t>price of bonds</t>
  </si>
  <si>
    <t>Total Assets</t>
  </si>
  <si>
    <t># of per</t>
  </si>
  <si>
    <t>Total Current Liabilities</t>
  </si>
  <si>
    <t>coupon rate</t>
  </si>
  <si>
    <t>Long Term Debt</t>
  </si>
  <si>
    <t># payments per yr</t>
  </si>
  <si>
    <t>Other Non-Current Liabilities</t>
  </si>
  <si>
    <t xml:space="preserve">par val </t>
  </si>
  <si>
    <t>Total Long Term Liabilities</t>
  </si>
  <si>
    <t>Total Liabilities</t>
  </si>
  <si>
    <t>cost of debt?</t>
  </si>
  <si>
    <t>closer to 5.5%</t>
  </si>
  <si>
    <t>Common Stock Net</t>
  </si>
  <si>
    <t>Retained Earnings (Accumulated Deficit)</t>
  </si>
  <si>
    <t>Comprehensive Income</t>
  </si>
  <si>
    <t>benchmark</t>
  </si>
  <si>
    <t>https://valueinvesting.io/DAL/valuation/wacc</t>
  </si>
  <si>
    <t>Other Share Holders Equity</t>
  </si>
  <si>
    <t xml:space="preserve">5.4% - 5.7%	</t>
  </si>
  <si>
    <t>Share Holder Equity</t>
  </si>
  <si>
    <t>annual</t>
  </si>
  <si>
    <t>Total Liabilities And Share Holders Equity</t>
  </si>
  <si>
    <t xml:space="preserve">5-7 ratios and calc.  </t>
  </si>
  <si>
    <t xml:space="preserve">check with Yahoo and check beta </t>
  </si>
  <si>
    <t>1.29?</t>
  </si>
  <si>
    <t>why lowcoaster (spirit) have low and more established airlines high betas</t>
  </si>
  <si>
    <t>play with numbers, try to make sure that they close but not exactly like Delta</t>
  </si>
  <si>
    <t>covid year, decide include or not/mention why</t>
  </si>
  <si>
    <t>AVG</t>
  </si>
  <si>
    <t>Current Ratio</t>
  </si>
  <si>
    <t>CA/CL</t>
  </si>
  <si>
    <t>Profit Margin Ratio</t>
  </si>
  <si>
    <t>(Net Income / Revenue) * 100</t>
  </si>
  <si>
    <t>IS Sheet</t>
  </si>
  <si>
    <t>Gross Margin Ratio</t>
  </si>
  <si>
    <t>[(Revenue - COGS) / Revenue] * 100</t>
  </si>
  <si>
    <t>ROE Ratio</t>
  </si>
  <si>
    <t>(Net Income / Shareholder's Equity) * 100</t>
  </si>
  <si>
    <t>ROA Ratio</t>
  </si>
  <si>
    <t>(Net Income / Total Assets) * 100</t>
  </si>
  <si>
    <t>Long-Term Debt to Total Capitalization Ratio</t>
  </si>
  <si>
    <t xml:space="preserve">LTD / (LTD + Shareholder Equity) </t>
  </si>
  <si>
    <t>Asset Turnover Ratio</t>
  </si>
  <si>
    <t>Revenue / Total Assets</t>
  </si>
  <si>
    <t xml:space="preserve">5 ratios </t>
  </si>
  <si>
    <t>Why lowcoasters may have lower betas than more established airlines?</t>
  </si>
  <si>
    <t xml:space="preserve">Net Income from IS Sheet: </t>
  </si>
  <si>
    <t>Business Model and Cost Structures (Maybe spirit has better cost efficiency)</t>
  </si>
  <si>
    <t>Sensitivity to Economic Conditions (Delta operates on larger scale and is more sensitive to changes in economic conditions / fuel)</t>
  </si>
  <si>
    <t>Revenue from IS Sheet:</t>
  </si>
  <si>
    <t>Market Competition (Market competition for lowcoasters is very competitive and could have an impact by making their prices less susceptible to large changes)</t>
  </si>
  <si>
    <t>Growth Prospects (More established airlines like delta have lower growth prospects which could lead to higher betas because investors could see these stocks as potentially being riskier)</t>
  </si>
  <si>
    <t>Financial Stability (Smaller airlines could face greater financial challenges which could make their stocks less attractive to investors seeking lower risk assets)</t>
  </si>
  <si>
    <t>Annual Data in Millions of US $</t>
  </si>
  <si>
    <t>Revenue</t>
  </si>
  <si>
    <t>Cost Of Goods Sold</t>
  </si>
  <si>
    <t>Gross Profit</t>
  </si>
  <si>
    <t>Research And Development Expenses</t>
  </si>
  <si>
    <t>SG&amp;A Expenses</t>
  </si>
  <si>
    <t>Other Operating Income Or Expenses</t>
  </si>
  <si>
    <t>Operating Expenses</t>
  </si>
  <si>
    <t>Operating Income</t>
  </si>
  <si>
    <t>Total Non-Operating Income/Expense</t>
  </si>
  <si>
    <t>Pre-Tax Income</t>
  </si>
  <si>
    <t>Income Taxes</t>
  </si>
  <si>
    <t>Income After Taxes</t>
  </si>
  <si>
    <t>Other Income</t>
  </si>
  <si>
    <t>Income From Continuous Operations</t>
  </si>
  <si>
    <t>Income From Discountinued Operations</t>
  </si>
  <si>
    <t>Net Income</t>
  </si>
  <si>
    <t>EBITDA</t>
  </si>
  <si>
    <t>EBIT</t>
  </si>
  <si>
    <t>Basic Shares Outstanding</t>
  </si>
  <si>
    <t>Shares Outstanding</t>
  </si>
  <si>
    <t>Basic EPS</t>
  </si>
  <si>
    <t>EPS - Earnings Per Share</t>
  </si>
  <si>
    <t>Delta Air Lines Inc.</t>
  </si>
  <si>
    <t>Monthly rates of return</t>
  </si>
  <si>
    <t>Delta Air Lines Inc. (DAL)</t>
  </si>
  <si>
    <t>Standard &amp; Poor’s 500 (S&amp;P 500)</t>
  </si>
  <si>
    <t>t</t>
  </si>
  <si>
    <t>Date</t>
  </si>
  <si>
    <t>Price(DAL, t)</t>
  </si>
  <si>
    <t>Dividend(DAL, t)</t>
  </si>
  <si>
    <t>R(DAL, t)</t>
  </si>
  <si>
    <t>Price(S&amp;P 500, t)</t>
  </si>
  <si>
    <t>R(S&amp;P 500, t)</t>
  </si>
  <si>
    <t>Average (R̅):</t>
  </si>
  <si>
    <t>Standard deviation:</t>
  </si>
  <si>
    <t>Source: https://www.stock-analysis-on.net/NYSE/Company/Delta-Air-Lines-Inc/DCF/CAPM</t>
  </si>
  <si>
    <t>Systematic risk (β) estimation</t>
  </si>
  <si>
    <t>Variance(DAL)</t>
  </si>
  <si>
    <t>Variance(S&amp;P 500)</t>
  </si>
  <si>
    <t>need</t>
  </si>
  <si>
    <t>Covariance(DAL, S&amp;P 500)</t>
  </si>
  <si>
    <t>Correlation coefficient(DAL, S&amp;P 500)</t>
  </si>
  <si>
    <t>β(DAL)</t>
  </si>
  <si>
    <t xml:space="preserve">need </t>
  </si>
  <si>
    <t>α(DAL)</t>
  </si>
  <si>
    <t>beta calc, close to 1.29</t>
  </si>
  <si>
    <t>Beta = Covariance(rp, rb) / Variance(rb) ---&gt; Covariance (DAL, S&amp;P 500) / Variance(S&amp;P 500)</t>
  </si>
  <si>
    <t>Beta =B6/B5</t>
  </si>
  <si>
    <t>or roughly   ----&gt;</t>
  </si>
  <si>
    <t>Expected rate of return</t>
  </si>
  <si>
    <t>Their Risk Free Rate was 2.68</t>
  </si>
  <si>
    <t>Assumptions</t>
  </si>
  <si>
    <t>Rate of return on LT Treasury Composite</t>
  </si>
  <si>
    <t>R(F)</t>
  </si>
  <si>
    <t xml:space="preserve"> give</t>
  </si>
  <si>
    <t>Expected rate of return on market portfolio</t>
  </si>
  <si>
    <t>E[R(M)]</t>
  </si>
  <si>
    <t>give</t>
  </si>
  <si>
    <t>Systematic risk (β) of Delta Air Lines Inc. common stock</t>
  </si>
  <si>
    <t>need from prev slide</t>
  </si>
  <si>
    <t>Capital Asset Pricing Model (CAPM)</t>
  </si>
  <si>
    <t>CAPM</t>
  </si>
  <si>
    <t>calc</t>
  </si>
  <si>
    <t xml:space="preserve">Beta  </t>
  </si>
  <si>
    <t>Expected rate of return on Delta Air Lines Inc. common stock</t>
  </si>
  <si>
    <t>E[R(DAL)]</t>
  </si>
  <si>
    <t>Beta = (R(F) - Risk Free Rate) / (E[R(M)] - Risk-Free Rate)</t>
  </si>
  <si>
    <t>T Bill = Risk Free Rate</t>
  </si>
  <si>
    <t>beta - make students work, calc.</t>
  </si>
  <si>
    <t>AVG 52 Week T Bill for 2017 to 2021</t>
  </si>
  <si>
    <t>The average yearly return for the S&amp;P 500 is 10.502% over the last 100 years.</t>
  </si>
  <si>
    <t>cost of debt</t>
  </si>
  <si>
    <t>cost of equity</t>
  </si>
  <si>
    <t>Their cost of equity (CAPM) was 9.75%</t>
  </si>
  <si>
    <t>debt/equity</t>
  </si>
  <si>
    <t>debt</t>
  </si>
  <si>
    <t xml:space="preserve"> =0.88 * equity</t>
  </si>
  <si>
    <t>1.88equity</t>
  </si>
  <si>
    <t>equity weight</t>
  </si>
  <si>
    <t>debt weight</t>
  </si>
  <si>
    <t>wacc</t>
  </si>
  <si>
    <t>use for NPV calc in both options</t>
  </si>
  <si>
    <t>tax rate</t>
  </si>
  <si>
    <t>(weight of equity * cost of equity) + (weightage of debt * cost of debt) * (1 - tax rate)</t>
  </si>
  <si>
    <t xml:space="preserve"> 6.4% - 7.9%</t>
  </si>
  <si>
    <t>Beta</t>
  </si>
  <si>
    <t>Cost of debt</t>
  </si>
  <si>
    <t>WACC</t>
  </si>
  <si>
    <t>tax</t>
  </si>
  <si>
    <t xml:space="preserve">USE WACC FOR NPV </t>
  </si>
  <si>
    <t>Rate</t>
  </si>
  <si>
    <t>Investment</t>
  </si>
  <si>
    <t>-#</t>
  </si>
  <si>
    <t>%</t>
  </si>
  <si>
    <t>CF1</t>
  </si>
  <si>
    <t>#</t>
  </si>
  <si>
    <t>CF2</t>
  </si>
  <si>
    <t>CF3</t>
  </si>
  <si>
    <t>CF4</t>
  </si>
  <si>
    <t>CF5</t>
  </si>
  <si>
    <t>CF6</t>
  </si>
  <si>
    <t>NPV</t>
  </si>
  <si>
    <t>Decision: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</si>
</sst>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%;\-#,##0.00%;&quot;—&quot;"/>
    <numFmt numFmtId="165" formatCode="#,##0.00;\-#,##0.00;&quot;—&quot;"/>
    <numFmt numFmtId="166" formatCode="[$$-409]#,##0.00"/>
    <numFmt numFmtId="167" formatCode="[$-409]mmm\ d\,\ yyyy"/>
    <numFmt numFmtId="168" formatCode="#,##0_);\(#,##0\);&quot;—&quot;"/>
    <numFmt numFmtId="169" formatCode="_(&quot;$&quot;* #,##0_);_(&quot;$&quot;* \(#,##0\);_(&quot;$&quot;* &quot;-&quot;??_);_(@_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52525"/>
      <name val="Calibri"/>
      <family val="2"/>
    </font>
    <font>
      <sz val="9"/>
      <color rgb="FF757575"/>
      <name val="Calibri"/>
      <family val="2"/>
    </font>
    <font>
      <b/>
      <sz val="11"/>
      <color rgb="FF252525"/>
      <name val="Calibri"/>
      <family val="2"/>
    </font>
    <font>
      <b/>
      <sz val="17"/>
      <color rgb="FF757575"/>
      <name val="Calibri"/>
      <family val="2"/>
    </font>
    <font>
      <b/>
      <sz val="22"/>
      <color rgb="FF7E261B"/>
      <name val="Calibri"/>
      <family val="2"/>
    </font>
    <font>
      <b/>
      <sz val="13"/>
      <color rgb="FF757575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252525"/>
      <name val="Calibri"/>
    </font>
    <font>
      <b/>
      <sz val="11"/>
      <color rgb="FF111111"/>
      <name val="LabGrotesque"/>
      <charset val="1"/>
    </font>
    <font>
      <sz val="11"/>
      <color rgb="FF111111"/>
      <name val="LabGrotesque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B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52525"/>
      </top>
      <bottom/>
      <diagonal/>
    </border>
    <border>
      <left/>
      <right/>
      <top style="thin">
        <color rgb="FFE2E2E2"/>
      </top>
      <bottom/>
      <diagonal/>
    </border>
    <border>
      <left/>
      <right/>
      <top style="thin">
        <color rgb="FF252525"/>
      </top>
      <bottom style="medium">
        <color rgb="FF252525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0" borderId="0"/>
    <xf numFmtId="0" fontId="11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2"/>
    <xf numFmtId="0" fontId="4" fillId="0" borderId="2" xfId="2" applyFont="1" applyBorder="1"/>
    <xf numFmtId="164" fontId="5" fillId="0" borderId="3" xfId="2" applyNumberFormat="1" applyFont="1" applyBorder="1" applyAlignment="1">
      <alignment horizontal="right"/>
    </xf>
    <xf numFmtId="0" fontId="5" fillId="0" borderId="0" xfId="2" applyFont="1" applyAlignment="1">
      <alignment horizontal="left" wrapText="1" indent="1"/>
    </xf>
    <xf numFmtId="164" fontId="3" fillId="0" borderId="0" xfId="2" applyNumberFormat="1" applyAlignment="1">
      <alignment horizontal="right"/>
    </xf>
    <xf numFmtId="165" fontId="3" fillId="0" borderId="0" xfId="2" applyNumberFormat="1" applyAlignment="1">
      <alignment horizontal="right"/>
    </xf>
    <xf numFmtId="166" fontId="3" fillId="0" borderId="0" xfId="2" applyNumberFormat="1" applyAlignment="1">
      <alignment horizontal="right"/>
    </xf>
    <xf numFmtId="167" fontId="3" fillId="0" borderId="0" xfId="2" applyNumberFormat="1" applyAlignment="1">
      <alignment horizontal="right"/>
    </xf>
    <xf numFmtId="168" fontId="3" fillId="0" borderId="0" xfId="2" applyNumberFormat="1" applyAlignment="1">
      <alignment horizontal="right"/>
    </xf>
    <xf numFmtId="49" fontId="5" fillId="0" borderId="4" xfId="2" applyNumberFormat="1" applyFont="1" applyBorder="1" applyAlignment="1">
      <alignment horizontal="right" vertical="top" wrapText="1"/>
    </xf>
    <xf numFmtId="0" fontId="6" fillId="0" borderId="0" xfId="2" applyFont="1"/>
    <xf numFmtId="0" fontId="7" fillId="0" borderId="0" xfId="2" applyFont="1"/>
    <xf numFmtId="165" fontId="5" fillId="0" borderId="3" xfId="2" applyNumberFormat="1" applyFont="1" applyBorder="1" applyAlignment="1">
      <alignment horizontal="right"/>
    </xf>
    <xf numFmtId="0" fontId="3" fillId="0" borderId="0" xfId="2" applyAlignment="1">
      <alignment horizontal="left" wrapText="1" indent="1"/>
    </xf>
    <xf numFmtId="0" fontId="8" fillId="0" borderId="0" xfId="2" applyFont="1" applyAlignment="1">
      <alignment horizontal="left" vertical="center" indent="1"/>
    </xf>
    <xf numFmtId="44" fontId="1" fillId="0" borderId="1" xfId="1" applyFont="1" applyBorder="1"/>
    <xf numFmtId="169" fontId="0" fillId="0" borderId="1" xfId="1" applyNumberFormat="1" applyFont="1" applyBorder="1"/>
    <xf numFmtId="169" fontId="1" fillId="0" borderId="1" xfId="1" applyNumberFormat="1" applyFont="1" applyBorder="1"/>
    <xf numFmtId="10" fontId="3" fillId="0" borderId="0" xfId="2" applyNumberFormat="1"/>
    <xf numFmtId="0" fontId="3" fillId="2" borderId="0" xfId="2" applyFill="1"/>
    <xf numFmtId="0" fontId="0" fillId="2" borderId="0" xfId="0" applyFill="1"/>
    <xf numFmtId="2" fontId="0" fillId="0" borderId="0" xfId="0" applyNumberFormat="1"/>
    <xf numFmtId="2" fontId="3" fillId="0" borderId="0" xfId="2" applyNumberFormat="1"/>
    <xf numFmtId="0" fontId="9" fillId="0" borderId="0" xfId="0" applyFont="1"/>
    <xf numFmtId="2" fontId="9" fillId="0" borderId="0" xfId="0" applyNumberFormat="1" applyFont="1"/>
    <xf numFmtId="0" fontId="11" fillId="0" borderId="0" xfId="3"/>
    <xf numFmtId="10" fontId="0" fillId="0" borderId="0" xfId="0" applyNumberFormat="1"/>
    <xf numFmtId="0" fontId="12" fillId="0" borderId="0" xfId="2" applyFont="1"/>
    <xf numFmtId="0" fontId="13" fillId="3" borderId="5" xfId="0" applyFont="1" applyFill="1" applyBorder="1" applyAlignment="1">
      <alignment wrapText="1"/>
    </xf>
    <xf numFmtId="10" fontId="14" fillId="3" borderId="6" xfId="0" applyNumberFormat="1" applyFont="1" applyFill="1" applyBorder="1" applyAlignment="1">
      <alignment wrapText="1"/>
    </xf>
    <xf numFmtId="0" fontId="13" fillId="4" borderId="7" xfId="0" applyFont="1" applyFill="1" applyBorder="1" applyAlignment="1">
      <alignment wrapText="1"/>
    </xf>
    <xf numFmtId="10" fontId="14" fillId="4" borderId="8" xfId="0" applyNumberFormat="1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10" fontId="14" fillId="3" borderId="8" xfId="0" applyNumberFormat="1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10" fontId="14" fillId="3" borderId="10" xfId="0" applyNumberFormat="1" applyFont="1" applyFill="1" applyBorder="1" applyAlignment="1">
      <alignment wrapText="1"/>
    </xf>
    <xf numFmtId="0" fontId="3" fillId="0" borderId="11" xfId="2" applyBorder="1" applyAlignment="1">
      <alignment horizontal="left" wrapText="1" indent="2"/>
    </xf>
    <xf numFmtId="0" fontId="3" fillId="0" borderId="11" xfId="2" applyBorder="1" applyAlignment="1">
      <alignment horizontal="left" wrapText="1" indent="1"/>
    </xf>
    <xf numFmtId="164" fontId="3" fillId="0" borderId="11" xfId="2" applyNumberFormat="1" applyBorder="1" applyAlignment="1">
      <alignment horizontal="right"/>
    </xf>
    <xf numFmtId="165" fontId="3" fillId="0" borderId="11" xfId="2" applyNumberFormat="1" applyBorder="1" applyAlignment="1">
      <alignment horizontal="right"/>
    </xf>
    <xf numFmtId="10" fontId="3" fillId="0" borderId="11" xfId="2" applyNumberFormat="1" applyBorder="1"/>
    <xf numFmtId="0" fontId="3" fillId="2" borderId="11" xfId="2" applyFill="1" applyBorder="1"/>
    <xf numFmtId="0" fontId="3" fillId="5" borderId="11" xfId="2" applyFill="1" applyBorder="1"/>
    <xf numFmtId="0" fontId="0" fillId="0" borderId="11" xfId="0" applyBorder="1"/>
    <xf numFmtId="10" fontId="0" fillId="0" borderId="11" xfId="0" applyNumberFormat="1" applyBorder="1"/>
    <xf numFmtId="10" fontId="0" fillId="2" borderId="11" xfId="0" applyNumberFormat="1" applyFill="1" applyBorder="1"/>
    <xf numFmtId="0" fontId="15" fillId="0" borderId="0" xfId="0" applyFont="1"/>
    <xf numFmtId="0" fontId="15" fillId="0" borderId="11" xfId="0" applyFont="1" applyBorder="1"/>
    <xf numFmtId="9" fontId="15" fillId="0" borderId="11" xfId="0" applyNumberFormat="1" applyFont="1" applyBorder="1"/>
    <xf numFmtId="8" fontId="15" fillId="6" borderId="11" xfId="0" applyNumberFormat="1" applyFont="1" applyFill="1" applyBorder="1"/>
    <xf numFmtId="0" fontId="15" fillId="6" borderId="11" xfId="0" applyFont="1" applyFill="1" applyBorder="1"/>
    <xf numFmtId="0" fontId="10" fillId="2" borderId="0" xfId="2" applyFont="1" applyFill="1"/>
    <xf numFmtId="0" fontId="5" fillId="0" borderId="4" xfId="2" applyFont="1" applyBorder="1" applyAlignment="1">
      <alignment horizontal="right" vertical="top"/>
    </xf>
    <xf numFmtId="49" fontId="5" fillId="0" borderId="4" xfId="2" applyNumberFormat="1" applyFont="1" applyBorder="1" applyAlignment="1">
      <alignment horizontal="right" vertical="top" wrapText="1"/>
    </xf>
    <xf numFmtId="0" fontId="5" fillId="0" borderId="0" xfId="2" applyFont="1" applyAlignment="1">
      <alignment horizontal="left" wrapText="1" indent="1"/>
    </xf>
    <xf numFmtId="0" fontId="3" fillId="0" borderId="0" xfId="2" applyAlignment="1"/>
  </cellXfs>
  <cellStyles count="4">
    <cellStyle name="Currency" xfId="1" builtinId="4"/>
    <cellStyle name="Hyperlink" xfId="3" builtinId="8"/>
    <cellStyle name="Normal" xfId="0" builtinId="0"/>
    <cellStyle name="Normal 2" xfId="2" xr:uid="{BC43C0DF-4705-4C73-A01F-65BDFAAA10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alueinvesting.io/DAL/valuation/wac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valueinvesting.io/DAL/valuation/wa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D374-2BE5-476C-99AB-12CA557A329E}">
  <dimension ref="A1:L45"/>
  <sheetViews>
    <sheetView topLeftCell="A4" zoomScaleNormal="60" zoomScaleSheetLayoutView="100" workbookViewId="0">
      <selection activeCell="A22" sqref="A22"/>
    </sheetView>
  </sheetViews>
  <sheetFormatPr defaultRowHeight="14.45"/>
  <cols>
    <col min="1" max="1" width="70.140625" bestFit="1" customWidth="1"/>
    <col min="2" max="5" width="8.85546875" bestFit="1" customWidth="1"/>
    <col min="6" max="6" width="10.42578125" bestFit="1" customWidth="1"/>
    <col min="7" max="7" width="24.28515625" customWidth="1"/>
    <col min="8" max="8" width="17" bestFit="1" customWidth="1"/>
    <col min="9" max="10" width="12.5703125" bestFit="1" customWidth="1"/>
    <col min="11" max="11" width="11.7109375" customWidth="1"/>
    <col min="12" max="12" width="12.5703125" bestFit="1" customWidth="1"/>
    <col min="13" max="13" width="12.140625" customWidth="1"/>
  </cols>
  <sheetData>
    <row r="1" spans="1:10">
      <c r="A1" s="1" t="s">
        <v>0</v>
      </c>
      <c r="B1" s="1">
        <v>2021</v>
      </c>
      <c r="C1" s="1">
        <v>2020</v>
      </c>
      <c r="D1" s="1">
        <v>2019</v>
      </c>
      <c r="E1" s="1">
        <v>2018</v>
      </c>
      <c r="F1" s="1">
        <v>2017</v>
      </c>
    </row>
    <row r="2" spans="1:10">
      <c r="A2" s="1" t="s">
        <v>1</v>
      </c>
      <c r="B2" s="19">
        <v>11319</v>
      </c>
      <c r="C2" s="19">
        <v>14096</v>
      </c>
      <c r="D2" s="19">
        <v>2882</v>
      </c>
      <c r="E2" s="19">
        <v>1565</v>
      </c>
      <c r="F2" s="19">
        <v>2639</v>
      </c>
      <c r="I2" s="23" t="s">
        <v>2</v>
      </c>
      <c r="J2" t="s">
        <v>3</v>
      </c>
    </row>
    <row r="3" spans="1:10">
      <c r="A3" s="1" t="s">
        <v>4</v>
      </c>
      <c r="B3" s="19">
        <v>2404</v>
      </c>
      <c r="C3" s="19">
        <v>1773</v>
      </c>
      <c r="D3" s="19">
        <v>2854</v>
      </c>
      <c r="E3" s="19">
        <v>2314</v>
      </c>
      <c r="F3" s="19">
        <v>2377</v>
      </c>
      <c r="I3" s="23" t="s">
        <v>5</v>
      </c>
    </row>
    <row r="4" spans="1:10">
      <c r="A4" s="1" t="s">
        <v>6</v>
      </c>
      <c r="B4" s="19">
        <v>1098</v>
      </c>
      <c r="C4" s="19">
        <v>355</v>
      </c>
      <c r="D4" s="19">
        <v>1251</v>
      </c>
      <c r="E4" s="19">
        <v>1055</v>
      </c>
      <c r="F4" s="19">
        <v>1329</v>
      </c>
    </row>
    <row r="5" spans="1:10">
      <c r="A5" s="1" t="s">
        <v>7</v>
      </c>
      <c r="B5" s="19">
        <v>1119</v>
      </c>
      <c r="C5" s="19">
        <v>1180</v>
      </c>
      <c r="D5" s="19">
        <v>1262</v>
      </c>
      <c r="E5" s="19">
        <v>1406</v>
      </c>
      <c r="F5" s="19">
        <v>1459</v>
      </c>
    </row>
    <row r="6" spans="1:10">
      <c r="A6" s="1" t="s">
        <v>8</v>
      </c>
      <c r="B6" s="19" t="s">
        <v>9</v>
      </c>
      <c r="C6" s="19" t="s">
        <v>9</v>
      </c>
      <c r="D6" s="19" t="s">
        <v>9</v>
      </c>
      <c r="E6" s="19" t="s">
        <v>9</v>
      </c>
      <c r="F6" s="19" t="s">
        <v>9</v>
      </c>
    </row>
    <row r="7" spans="1:10">
      <c r="A7" s="1" t="s">
        <v>10</v>
      </c>
      <c r="B7" s="19">
        <v>15940</v>
      </c>
      <c r="C7" s="19">
        <v>17404</v>
      </c>
      <c r="D7" s="19">
        <v>8249</v>
      </c>
      <c r="E7" s="19">
        <v>6340</v>
      </c>
      <c r="F7" s="19">
        <v>7804</v>
      </c>
    </row>
    <row r="8" spans="1:10">
      <c r="A8" s="1" t="s">
        <v>11</v>
      </c>
      <c r="B8" s="19">
        <v>28749</v>
      </c>
      <c r="C8" s="19">
        <v>26529</v>
      </c>
      <c r="D8" s="19">
        <v>31310</v>
      </c>
      <c r="E8" s="19">
        <v>28335</v>
      </c>
      <c r="F8" s="19">
        <v>26563</v>
      </c>
    </row>
    <row r="9" spans="1:10">
      <c r="A9" s="1" t="s">
        <v>12</v>
      </c>
      <c r="B9" s="19">
        <v>1712</v>
      </c>
      <c r="C9" s="19">
        <v>1665</v>
      </c>
      <c r="D9" s="19">
        <v>2568</v>
      </c>
      <c r="E9" s="19" t="s">
        <v>9</v>
      </c>
      <c r="F9" s="19" t="s">
        <v>9</v>
      </c>
    </row>
    <row r="10" spans="1:10">
      <c r="A10" s="1" t="s">
        <v>13</v>
      </c>
      <c r="B10" s="19">
        <v>15754</v>
      </c>
      <c r="C10" s="19">
        <v>15764</v>
      </c>
      <c r="D10" s="19">
        <v>14944</v>
      </c>
      <c r="E10" s="19">
        <v>14611</v>
      </c>
      <c r="F10" s="19">
        <v>14641</v>
      </c>
    </row>
    <row r="11" spans="1:10">
      <c r="A11" s="1" t="s">
        <v>14</v>
      </c>
      <c r="B11" s="19">
        <v>1773</v>
      </c>
      <c r="C11" s="19">
        <v>2913</v>
      </c>
      <c r="D11" s="19">
        <v>1714</v>
      </c>
      <c r="E11" s="19">
        <v>4986</v>
      </c>
      <c r="F11" s="19">
        <v>3309</v>
      </c>
      <c r="H11" t="s">
        <v>15</v>
      </c>
      <c r="I11" s="29">
        <f>RATE(I13,I14/100*1000/2,-I12,1000)</f>
        <v>2.1877490814559444E-2</v>
      </c>
    </row>
    <row r="12" spans="1:10">
      <c r="A12" s="1" t="s">
        <v>16</v>
      </c>
      <c r="B12" s="19">
        <v>56519</v>
      </c>
      <c r="C12" s="19">
        <v>54592</v>
      </c>
      <c r="D12" s="19">
        <v>56283</v>
      </c>
      <c r="E12" s="19">
        <v>53926</v>
      </c>
      <c r="F12" s="19">
        <v>45867</v>
      </c>
      <c r="H12" t="s">
        <v>17</v>
      </c>
      <c r="I12">
        <v>999.96</v>
      </c>
    </row>
    <row r="13" spans="1:10">
      <c r="A13" s="2" t="s">
        <v>18</v>
      </c>
      <c r="B13" s="20">
        <v>72459</v>
      </c>
      <c r="C13" s="20">
        <v>71996</v>
      </c>
      <c r="D13" s="20">
        <v>64532</v>
      </c>
      <c r="E13" s="20">
        <v>60266</v>
      </c>
      <c r="F13" s="20">
        <v>53671</v>
      </c>
      <c r="H13" t="s">
        <v>19</v>
      </c>
      <c r="I13">
        <v>20</v>
      </c>
    </row>
    <row r="14" spans="1:10">
      <c r="A14" s="1" t="s">
        <v>20</v>
      </c>
      <c r="B14" s="19">
        <v>20966</v>
      </c>
      <c r="C14" s="19">
        <v>15927</v>
      </c>
      <c r="D14" s="19">
        <v>20204</v>
      </c>
      <c r="E14" s="19">
        <v>18578</v>
      </c>
      <c r="F14" s="19">
        <v>18959</v>
      </c>
      <c r="H14" t="s">
        <v>21</v>
      </c>
      <c r="I14">
        <v>4.375</v>
      </c>
    </row>
    <row r="15" spans="1:10">
      <c r="A15" s="1" t="s">
        <v>22</v>
      </c>
      <c r="B15" s="19">
        <v>25138</v>
      </c>
      <c r="C15" s="19">
        <v>27425</v>
      </c>
      <c r="D15" s="19">
        <v>8873</v>
      </c>
      <c r="E15" s="19">
        <v>8253</v>
      </c>
      <c r="F15" s="19">
        <v>6592</v>
      </c>
      <c r="H15" t="s">
        <v>23</v>
      </c>
      <c r="I15">
        <v>2</v>
      </c>
    </row>
    <row r="16" spans="1:10">
      <c r="A16" s="1" t="s">
        <v>24</v>
      </c>
      <c r="B16" s="19">
        <v>4528</v>
      </c>
      <c r="C16" s="19">
        <v>5362</v>
      </c>
      <c r="D16" s="19">
        <v>1386</v>
      </c>
      <c r="E16" s="19">
        <v>969</v>
      </c>
      <c r="F16" s="19">
        <v>2221</v>
      </c>
      <c r="H16" t="s">
        <v>25</v>
      </c>
      <c r="I16">
        <v>1000</v>
      </c>
    </row>
    <row r="17" spans="1:12">
      <c r="A17" s="1" t="s">
        <v>26</v>
      </c>
      <c r="B17" s="19">
        <v>47606</v>
      </c>
      <c r="C17" s="19">
        <v>54535</v>
      </c>
      <c r="D17" s="19">
        <v>28970</v>
      </c>
      <c r="E17" s="19">
        <v>28001</v>
      </c>
      <c r="F17" s="19">
        <v>22182</v>
      </c>
    </row>
    <row r="18" spans="1:12">
      <c r="A18" s="2" t="s">
        <v>27</v>
      </c>
      <c r="B18" s="20">
        <v>68572</v>
      </c>
      <c r="C18" s="20">
        <v>70462</v>
      </c>
      <c r="D18" s="20">
        <v>49174</v>
      </c>
      <c r="E18" s="20">
        <v>46579</v>
      </c>
      <c r="F18" s="20">
        <v>41141</v>
      </c>
      <c r="H18" t="s">
        <v>28</v>
      </c>
      <c r="I18" s="29">
        <f>I11*2</f>
        <v>4.3754981629118887E-2</v>
      </c>
      <c r="K18" t="s">
        <v>29</v>
      </c>
    </row>
    <row r="19" spans="1:12">
      <c r="A19" s="1" t="s">
        <v>30</v>
      </c>
      <c r="B19" s="19" t="s">
        <v>9</v>
      </c>
      <c r="C19" s="19" t="s">
        <v>9</v>
      </c>
      <c r="D19" s="19" t="s">
        <v>9</v>
      </c>
      <c r="E19" s="19" t="s">
        <v>9</v>
      </c>
      <c r="F19" s="19" t="s">
        <v>9</v>
      </c>
    </row>
    <row r="20" spans="1:12">
      <c r="A20" s="1" t="s">
        <v>31</v>
      </c>
      <c r="B20" s="19">
        <v>-148</v>
      </c>
      <c r="C20" s="19">
        <v>-428</v>
      </c>
      <c r="D20" s="19">
        <v>12454</v>
      </c>
      <c r="E20" s="19">
        <v>10039</v>
      </c>
      <c r="F20" s="19">
        <v>8256</v>
      </c>
    </row>
    <row r="21" spans="1:12" ht="15">
      <c r="A21" s="1" t="s">
        <v>32</v>
      </c>
      <c r="B21" s="19">
        <v>-7130</v>
      </c>
      <c r="C21" s="19">
        <v>-9038</v>
      </c>
      <c r="D21" s="19">
        <v>-7989</v>
      </c>
      <c r="E21" s="19">
        <v>-7825</v>
      </c>
      <c r="F21" s="19">
        <v>-7621</v>
      </c>
      <c r="H21" t="s">
        <v>33</v>
      </c>
      <c r="I21" s="28" t="s">
        <v>34</v>
      </c>
    </row>
    <row r="22" spans="1:12">
      <c r="A22" s="1" t="s">
        <v>35</v>
      </c>
      <c r="B22" s="19" t="s">
        <v>9</v>
      </c>
      <c r="C22" s="19" t="s">
        <v>9</v>
      </c>
      <c r="D22" s="19" t="s">
        <v>9</v>
      </c>
      <c r="E22" s="19" t="s">
        <v>9</v>
      </c>
      <c r="F22" s="19" t="s">
        <v>9</v>
      </c>
      <c r="I22" t="s">
        <v>36</v>
      </c>
    </row>
    <row r="23" spans="1:12">
      <c r="A23" s="2" t="s">
        <v>37</v>
      </c>
      <c r="B23" s="20">
        <v>3887</v>
      </c>
      <c r="C23" s="20">
        <v>1534</v>
      </c>
      <c r="D23" s="20">
        <v>15358</v>
      </c>
      <c r="E23" s="20">
        <v>13687</v>
      </c>
      <c r="F23" s="20">
        <v>12530</v>
      </c>
      <c r="I23" t="s">
        <v>38</v>
      </c>
    </row>
    <row r="24" spans="1:12">
      <c r="A24" s="2" t="s">
        <v>39</v>
      </c>
      <c r="B24" s="20">
        <v>72459</v>
      </c>
      <c r="C24" s="20">
        <v>71996</v>
      </c>
      <c r="D24" s="20">
        <v>64532</v>
      </c>
      <c r="E24" s="20">
        <v>60266</v>
      </c>
      <c r="F24" s="20">
        <v>53671</v>
      </c>
    </row>
    <row r="26" spans="1:12">
      <c r="A26" s="23" t="s">
        <v>40</v>
      </c>
    </row>
    <row r="28" spans="1:12">
      <c r="A28" s="23" t="s">
        <v>41</v>
      </c>
      <c r="B28" t="s">
        <v>42</v>
      </c>
      <c r="C28" t="s">
        <v>43</v>
      </c>
    </row>
    <row r="30" spans="1:12" ht="15">
      <c r="A30" t="s">
        <v>44</v>
      </c>
      <c r="G30" s="26" t="s">
        <v>45</v>
      </c>
    </row>
    <row r="31" spans="1:12" ht="15">
      <c r="F31">
        <v>2021</v>
      </c>
      <c r="G31" s="26">
        <v>2020</v>
      </c>
      <c r="H31">
        <v>2019</v>
      </c>
      <c r="I31">
        <v>2018</v>
      </c>
      <c r="J31">
        <v>2017</v>
      </c>
      <c r="L31" t="s">
        <v>46</v>
      </c>
    </row>
    <row r="32" spans="1:12" ht="15">
      <c r="A32" s="26" t="s">
        <v>47</v>
      </c>
      <c r="B32" t="s">
        <v>48</v>
      </c>
      <c r="F32" cm="1">
        <f t="array" ref="F32:J32">B7:F7 / B14:F14</f>
        <v>0.76027854621768576</v>
      </c>
      <c r="G32" s="26">
        <v>1.0927356062033027</v>
      </c>
      <c r="H32">
        <v>0.40828548802217385</v>
      </c>
      <c r="I32">
        <v>0.34126386048013779</v>
      </c>
      <c r="J32">
        <v>0.41162508571127171</v>
      </c>
      <c r="L32">
        <f>(B7+C7+D7+E7+F7) / (B14+C14+D14+E14+F14)</f>
        <v>0.58897436439334705</v>
      </c>
    </row>
    <row r="33" spans="1:12" ht="15">
      <c r="A33" s="26" t="s">
        <v>49</v>
      </c>
      <c r="B33" t="s">
        <v>50</v>
      </c>
      <c r="F33" t="s">
        <v>51</v>
      </c>
      <c r="G33" s="26" t="s">
        <v>51</v>
      </c>
      <c r="H33" t="s">
        <v>51</v>
      </c>
      <c r="I33" t="s">
        <v>51</v>
      </c>
      <c r="J33" t="s">
        <v>51</v>
      </c>
      <c r="L33" t="s">
        <v>51</v>
      </c>
    </row>
    <row r="34" spans="1:12" ht="15">
      <c r="A34" t="s">
        <v>52</v>
      </c>
      <c r="B34" t="s">
        <v>53</v>
      </c>
      <c r="F34" t="s">
        <v>51</v>
      </c>
      <c r="G34" s="26" t="s">
        <v>51</v>
      </c>
      <c r="H34" t="s">
        <v>51</v>
      </c>
      <c r="I34" t="s">
        <v>51</v>
      </c>
      <c r="J34" t="s">
        <v>51</v>
      </c>
      <c r="L34" t="s">
        <v>51</v>
      </c>
    </row>
    <row r="35" spans="1:12" ht="15">
      <c r="A35" s="26" t="s">
        <v>54</v>
      </c>
      <c r="B35" t="s">
        <v>55</v>
      </c>
      <c r="F35" s="24">
        <f>H41/B23 * 100</f>
        <v>7.2034988422948292</v>
      </c>
      <c r="G35" s="27">
        <f>I41/C23 * 100</f>
        <v>-807.36636245110822</v>
      </c>
      <c r="H35" s="24">
        <f t="shared" ref="G35:J35" si="0">J41/D23 * 100</f>
        <v>31.039197812215129</v>
      </c>
      <c r="I35" s="24">
        <f t="shared" si="0"/>
        <v>-28.749908672462922</v>
      </c>
      <c r="J35" s="24">
        <f t="shared" si="0"/>
        <v>25.578611332801277</v>
      </c>
      <c r="K35" s="24"/>
      <c r="L35" s="24">
        <f>AVERAGE(F35:J35)</f>
        <v>-154.45899262725197</v>
      </c>
    </row>
    <row r="36" spans="1:12" ht="15">
      <c r="A36" s="26" t="s">
        <v>56</v>
      </c>
      <c r="B36" t="s">
        <v>57</v>
      </c>
      <c r="F36" s="24">
        <f>H41/B13 * 100</f>
        <v>0.386425426793083</v>
      </c>
      <c r="G36" s="27">
        <f t="shared" ref="G36:J36" si="1">I41/C13 * 100</f>
        <v>-17.202344574698593</v>
      </c>
      <c r="H36" s="24">
        <f t="shared" si="1"/>
        <v>7.3870327899336754</v>
      </c>
      <c r="I36" s="24">
        <f t="shared" si="1"/>
        <v>-6.5293863870175546</v>
      </c>
      <c r="J36" s="24">
        <f t="shared" si="1"/>
        <v>5.9715675131821655</v>
      </c>
      <c r="K36" s="24"/>
      <c r="L36" s="24">
        <f>AVERAGE(F36:J36)</f>
        <v>-1.9973410463614449</v>
      </c>
    </row>
    <row r="37" spans="1:12" ht="15">
      <c r="A37" t="s">
        <v>58</v>
      </c>
      <c r="B37" t="s">
        <v>59</v>
      </c>
      <c r="F37">
        <f>B15/(B15 + B23)</f>
        <v>0.8660809646856158</v>
      </c>
      <c r="G37" s="26">
        <f t="shared" ref="G37:J37" si="2">C15/(C15 + C23)</f>
        <v>0.94702855761593974</v>
      </c>
      <c r="H37">
        <f t="shared" si="2"/>
        <v>0.36618381412240519</v>
      </c>
      <c r="I37">
        <f t="shared" si="2"/>
        <v>0.37616226071103009</v>
      </c>
      <c r="J37">
        <f t="shared" si="2"/>
        <v>0.34473381445455498</v>
      </c>
      <c r="L37">
        <f>AVERAGE(F37:J37)</f>
        <v>0.5800378823179092</v>
      </c>
    </row>
    <row r="38" spans="1:12" ht="15">
      <c r="A38" s="26" t="s">
        <v>60</v>
      </c>
      <c r="B38" t="s">
        <v>61</v>
      </c>
      <c r="F38" s="24">
        <f>H42/B13</f>
        <v>0.41263335127451384</v>
      </c>
      <c r="G38" s="27">
        <f t="shared" ref="G38:J38" si="3">I42/C13</f>
        <v>0.23744374687482639</v>
      </c>
      <c r="H38" s="24">
        <f t="shared" si="3"/>
        <v>0.72842930639062786</v>
      </c>
      <c r="I38" s="24">
        <f t="shared" si="3"/>
        <v>0.73736435137556833</v>
      </c>
      <c r="J38" s="24">
        <f t="shared" si="3"/>
        <v>0.76648469378248962</v>
      </c>
      <c r="L38" s="24">
        <f>AVERAGE(F38:J38)</f>
        <v>0.57647108993960516</v>
      </c>
    </row>
    <row r="39" spans="1:12">
      <c r="A39" t="s">
        <v>62</v>
      </c>
    </row>
    <row r="40" spans="1:12" ht="15">
      <c r="A40" s="26" t="s">
        <v>63</v>
      </c>
      <c r="G40" t="s">
        <v>64</v>
      </c>
      <c r="H40">
        <v>2021</v>
      </c>
      <c r="I40">
        <v>2020</v>
      </c>
      <c r="J40">
        <v>2019</v>
      </c>
      <c r="K40">
        <v>2018</v>
      </c>
      <c r="L40">
        <v>2017</v>
      </c>
    </row>
    <row r="41" spans="1:12" ht="15">
      <c r="A41" s="26" t="s">
        <v>65</v>
      </c>
      <c r="H41">
        <v>280</v>
      </c>
      <c r="I41">
        <v>-12385</v>
      </c>
      <c r="J41">
        <v>4767</v>
      </c>
      <c r="K41">
        <v>-3935</v>
      </c>
      <c r="L41">
        <v>3205</v>
      </c>
    </row>
    <row r="42" spans="1:12" ht="15">
      <c r="A42" s="26" t="s">
        <v>66</v>
      </c>
      <c r="G42" t="s">
        <v>67</v>
      </c>
      <c r="H42">
        <v>29899</v>
      </c>
      <c r="I42">
        <v>17095</v>
      </c>
      <c r="J42">
        <v>47007</v>
      </c>
      <c r="K42">
        <v>44438</v>
      </c>
      <c r="L42">
        <v>41138</v>
      </c>
    </row>
    <row r="43" spans="1:12" ht="15">
      <c r="A43" s="26" t="s">
        <v>68</v>
      </c>
    </row>
    <row r="44" spans="1:12">
      <c r="A44" t="s">
        <v>69</v>
      </c>
    </row>
    <row r="45" spans="1:12">
      <c r="A45" t="s">
        <v>70</v>
      </c>
    </row>
  </sheetData>
  <conditionalFormatting sqref="A26">
    <cfRule type="iconSet" priority="1">
      <iconSet iconSet="3Symbols2">
        <cfvo type="percent" val="0"/>
        <cfvo type="percent" val="33"/>
        <cfvo type="percent" val="67"/>
      </iconSet>
    </cfRule>
  </conditionalFormatting>
  <hyperlinks>
    <hyperlink ref="I21" r:id="rId1" xr:uid="{171F2B64-77B8-436D-81FB-B2C00689D9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A0CC-1534-4722-82D0-9675DD634DA7}">
  <dimension ref="A1:H27"/>
  <sheetViews>
    <sheetView topLeftCell="A17" workbookViewId="0">
      <selection activeCell="F26" sqref="F26"/>
    </sheetView>
  </sheetViews>
  <sheetFormatPr defaultRowHeight="14.45"/>
  <cols>
    <col min="1" max="1" width="33.85546875" bestFit="1" customWidth="1"/>
    <col min="3" max="3" width="9.5703125" bestFit="1" customWidth="1"/>
    <col min="6" max="6" width="12.5703125" bestFit="1" customWidth="1"/>
  </cols>
  <sheetData>
    <row r="1" spans="1:6">
      <c r="A1" s="1" t="s">
        <v>71</v>
      </c>
      <c r="B1" s="1">
        <v>2021</v>
      </c>
      <c r="C1" s="1">
        <v>2020</v>
      </c>
      <c r="D1" s="1">
        <v>2019</v>
      </c>
      <c r="E1" s="1">
        <v>2018</v>
      </c>
      <c r="F1" s="1">
        <v>2017</v>
      </c>
    </row>
    <row r="2" spans="1:6">
      <c r="A2" s="2" t="s">
        <v>72</v>
      </c>
      <c r="B2" s="20">
        <v>29899</v>
      </c>
      <c r="C2" s="20">
        <v>17095</v>
      </c>
      <c r="D2" s="20">
        <v>47007</v>
      </c>
      <c r="E2" s="20">
        <v>44438</v>
      </c>
      <c r="F2" s="20">
        <v>41138</v>
      </c>
    </row>
    <row r="3" spans="1:6">
      <c r="A3" s="1" t="s">
        <v>73</v>
      </c>
      <c r="B3" s="19">
        <v>22495</v>
      </c>
      <c r="C3" s="19">
        <v>17735</v>
      </c>
      <c r="D3" s="19">
        <v>30367</v>
      </c>
      <c r="E3" s="19">
        <v>28048</v>
      </c>
      <c r="F3" s="19">
        <v>24553</v>
      </c>
    </row>
    <row r="4" spans="1:6">
      <c r="A4" s="2" t="s">
        <v>74</v>
      </c>
      <c r="B4" s="20">
        <v>7404</v>
      </c>
      <c r="C4" s="20">
        <v>-640</v>
      </c>
      <c r="D4" s="20">
        <v>16640</v>
      </c>
      <c r="E4" s="20">
        <v>16390</v>
      </c>
      <c r="F4" s="20">
        <v>16585</v>
      </c>
    </row>
    <row r="5" spans="1:6">
      <c r="A5" s="1" t="s">
        <v>75</v>
      </c>
      <c r="B5" s="19" t="s">
        <v>9</v>
      </c>
      <c r="C5" s="19" t="s">
        <v>9</v>
      </c>
      <c r="D5" s="19" t="s">
        <v>9</v>
      </c>
      <c r="E5" s="19" t="s">
        <v>9</v>
      </c>
      <c r="F5" s="19" t="s">
        <v>9</v>
      </c>
    </row>
    <row r="6" spans="1:6">
      <c r="A6" s="1" t="s">
        <v>76</v>
      </c>
      <c r="B6" s="19">
        <v>2689</v>
      </c>
      <c r="C6" s="19">
        <v>2227</v>
      </c>
      <c r="D6" s="19">
        <v>4369</v>
      </c>
      <c r="E6" s="19">
        <v>5379</v>
      </c>
      <c r="F6" s="19">
        <v>6902</v>
      </c>
    </row>
    <row r="7" spans="1:6">
      <c r="A7" s="1" t="s">
        <v>77</v>
      </c>
      <c r="B7" s="19">
        <v>-850</v>
      </c>
      <c r="C7" s="19">
        <v>929</v>
      </c>
      <c r="D7" s="19">
        <v>-3072</v>
      </c>
      <c r="E7" s="19">
        <v>-3418</v>
      </c>
      <c r="F7" s="19">
        <v>-1495</v>
      </c>
    </row>
    <row r="8" spans="1:6">
      <c r="A8" s="1" t="s">
        <v>78</v>
      </c>
      <c r="B8" s="19">
        <v>5518</v>
      </c>
      <c r="C8" s="19">
        <v>11829</v>
      </c>
      <c r="D8" s="19">
        <v>10022</v>
      </c>
      <c r="E8" s="19">
        <v>11126</v>
      </c>
      <c r="F8" s="19">
        <v>10619</v>
      </c>
    </row>
    <row r="9" spans="1:6">
      <c r="A9" s="2" t="s">
        <v>79</v>
      </c>
      <c r="B9" s="20">
        <v>1886</v>
      </c>
      <c r="C9" s="20">
        <v>-12469</v>
      </c>
      <c r="D9" s="20">
        <v>6618</v>
      </c>
      <c r="E9" s="20">
        <v>5264</v>
      </c>
      <c r="F9" s="20">
        <v>5966</v>
      </c>
    </row>
    <row r="10" spans="1:6">
      <c r="A10" s="1" t="s">
        <v>80</v>
      </c>
      <c r="B10" s="19">
        <v>-1488</v>
      </c>
      <c r="C10" s="19">
        <v>-3118</v>
      </c>
      <c r="D10" s="19">
        <v>-420</v>
      </c>
      <c r="E10" s="19">
        <v>-113</v>
      </c>
      <c r="F10" s="19">
        <v>-466</v>
      </c>
    </row>
    <row r="11" spans="1:6">
      <c r="A11" s="2" t="s">
        <v>81</v>
      </c>
      <c r="B11" s="20">
        <v>398</v>
      </c>
      <c r="C11" s="20">
        <v>-15587</v>
      </c>
      <c r="D11" s="20">
        <v>6198</v>
      </c>
      <c r="E11" s="20">
        <v>5151</v>
      </c>
      <c r="F11" s="20">
        <v>5500</v>
      </c>
    </row>
    <row r="12" spans="1:6">
      <c r="A12" s="1" t="s">
        <v>82</v>
      </c>
      <c r="B12" s="19">
        <v>118</v>
      </c>
      <c r="C12" s="19">
        <v>-3202</v>
      </c>
      <c r="D12" s="19">
        <v>1431</v>
      </c>
      <c r="E12" s="19">
        <v>1216</v>
      </c>
      <c r="F12" s="19">
        <v>2295</v>
      </c>
    </row>
    <row r="13" spans="1:6">
      <c r="A13" s="2" t="s">
        <v>83</v>
      </c>
      <c r="B13" s="20">
        <v>280</v>
      </c>
      <c r="C13" s="20">
        <v>-12385</v>
      </c>
      <c r="D13" s="20">
        <v>4767</v>
      </c>
      <c r="E13" s="20">
        <v>3935</v>
      </c>
      <c r="F13" s="20">
        <v>3205</v>
      </c>
    </row>
    <row r="14" spans="1:6">
      <c r="A14" s="1" t="s">
        <v>84</v>
      </c>
      <c r="B14" s="19" t="s">
        <v>9</v>
      </c>
      <c r="C14" s="19" t="s">
        <v>9</v>
      </c>
      <c r="D14" s="19" t="s">
        <v>9</v>
      </c>
      <c r="E14" s="19" t="s">
        <v>9</v>
      </c>
      <c r="F14" s="19" t="s">
        <v>9</v>
      </c>
    </row>
    <row r="15" spans="1:6">
      <c r="A15" s="2" t="s">
        <v>85</v>
      </c>
      <c r="B15" s="20">
        <v>280</v>
      </c>
      <c r="C15" s="20">
        <v>-12385</v>
      </c>
      <c r="D15" s="20">
        <v>4767</v>
      </c>
      <c r="E15" s="20">
        <v>3935</v>
      </c>
      <c r="F15" s="20">
        <v>3205</v>
      </c>
    </row>
    <row r="16" spans="1:6">
      <c r="A16" s="1" t="s">
        <v>86</v>
      </c>
      <c r="B16" s="19" t="s">
        <v>9</v>
      </c>
      <c r="C16" s="19" t="s">
        <v>9</v>
      </c>
      <c r="D16" s="19" t="s">
        <v>9</v>
      </c>
      <c r="E16" s="19" t="s">
        <v>9</v>
      </c>
      <c r="F16" s="19" t="s">
        <v>9</v>
      </c>
    </row>
    <row r="17" spans="1:8">
      <c r="A17" s="2" t="s">
        <v>87</v>
      </c>
      <c r="B17" s="20">
        <v>280</v>
      </c>
      <c r="C17" s="20">
        <v>-12385</v>
      </c>
      <c r="D17" s="20">
        <v>4767</v>
      </c>
      <c r="E17" s="20">
        <v>-3935</v>
      </c>
      <c r="F17" s="20">
        <v>3205</v>
      </c>
    </row>
    <row r="18" spans="1:8">
      <c r="A18" s="1" t="s">
        <v>88</v>
      </c>
      <c r="B18" s="20">
        <v>3884</v>
      </c>
      <c r="C18" s="20">
        <v>-10157</v>
      </c>
      <c r="D18" s="20">
        <v>9199</v>
      </c>
      <c r="E18" s="20">
        <v>7593</v>
      </c>
      <c r="F18" s="20">
        <v>8188</v>
      </c>
    </row>
    <row r="19" spans="1:8">
      <c r="A19" s="1" t="s">
        <v>89</v>
      </c>
      <c r="B19" s="20">
        <v>1886</v>
      </c>
      <c r="C19" s="20">
        <v>-12469</v>
      </c>
      <c r="D19" s="20">
        <v>6618</v>
      </c>
      <c r="E19" s="20">
        <v>5264</v>
      </c>
      <c r="F19" s="20">
        <v>5966</v>
      </c>
    </row>
    <row r="20" spans="1:8">
      <c r="A20" s="1" t="s">
        <v>90</v>
      </c>
      <c r="B20" s="19">
        <v>636</v>
      </c>
      <c r="C20" s="19">
        <v>636</v>
      </c>
      <c r="D20" s="19">
        <v>651</v>
      </c>
      <c r="E20" s="19">
        <v>691</v>
      </c>
      <c r="F20" s="19">
        <v>720</v>
      </c>
    </row>
    <row r="21" spans="1:8">
      <c r="A21" s="1" t="s">
        <v>91</v>
      </c>
      <c r="B21" s="19">
        <v>641</v>
      </c>
      <c r="C21" s="19">
        <v>636</v>
      </c>
      <c r="D21" s="19">
        <v>653</v>
      </c>
      <c r="E21" s="19">
        <v>694</v>
      </c>
      <c r="F21" s="19">
        <v>723</v>
      </c>
    </row>
    <row r="22" spans="1:8">
      <c r="A22" s="2" t="s">
        <v>92</v>
      </c>
      <c r="B22" s="18">
        <v>0.44</v>
      </c>
      <c r="C22" s="18">
        <v>-19.489999999999998</v>
      </c>
      <c r="D22" s="18">
        <v>7.32</v>
      </c>
      <c r="E22" s="18">
        <v>5.69</v>
      </c>
      <c r="F22" s="18">
        <v>4.45</v>
      </c>
    </row>
    <row r="23" spans="1:8">
      <c r="A23" s="2" t="s">
        <v>93</v>
      </c>
      <c r="B23" s="18">
        <v>0.44</v>
      </c>
      <c r="C23" s="18">
        <v>-19.489999999999998</v>
      </c>
      <c r="D23" s="18">
        <v>7.3</v>
      </c>
      <c r="E23" s="18">
        <v>5.67</v>
      </c>
      <c r="F23" s="18">
        <v>4.43</v>
      </c>
    </row>
    <row r="25" spans="1:8">
      <c r="B25">
        <v>2021</v>
      </c>
      <c r="C25">
        <v>2020</v>
      </c>
      <c r="D25">
        <v>2019</v>
      </c>
      <c r="E25">
        <v>2018</v>
      </c>
      <c r="F25">
        <v>2017</v>
      </c>
      <c r="H25" t="s">
        <v>46</v>
      </c>
    </row>
    <row r="26" spans="1:8">
      <c r="A26" t="s">
        <v>49</v>
      </c>
      <c r="B26" s="24">
        <f xml:space="preserve"> (B17/B2) * 100</f>
        <v>0.93648617010602364</v>
      </c>
      <c r="C26" s="24">
        <f t="shared" ref="C26:F26" si="0" xml:space="preserve"> (C17/C2) * 100</f>
        <v>-72.448084235156472</v>
      </c>
      <c r="D26" s="24">
        <f t="shared" si="0"/>
        <v>10.141042823409279</v>
      </c>
      <c r="E26" s="24">
        <f t="shared" si="0"/>
        <v>-8.8550339799270894</v>
      </c>
      <c r="F26" s="24">
        <f t="shared" si="0"/>
        <v>7.7908503087170011</v>
      </c>
      <c r="G26" s="24"/>
      <c r="H26" s="24">
        <f>(B26+C26+D26+E26+F26) / 5</f>
        <v>-12.486947782570251</v>
      </c>
    </row>
    <row r="27" spans="1:8">
      <c r="A27" t="s">
        <v>52</v>
      </c>
      <c r="B27" s="24">
        <f>((B2-B3) / B2) * 100</f>
        <v>24.763370012374995</v>
      </c>
      <c r="C27" s="24">
        <f t="shared" ref="C27:F27" si="1">((C2-C3) / C2) * 100</f>
        <v>-3.7437847323778883</v>
      </c>
      <c r="D27" s="24">
        <f t="shared" si="1"/>
        <v>35.398983130172098</v>
      </c>
      <c r="E27" s="24">
        <f t="shared" si="1"/>
        <v>36.88284801296188</v>
      </c>
      <c r="F27" s="24">
        <f t="shared" si="1"/>
        <v>40.315523360396718</v>
      </c>
      <c r="G27" s="24"/>
      <c r="H27" s="24">
        <f>AVERAGE(B27:F27)</f>
        <v>26.723387956705562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7F7E-E2FA-4C53-86E7-74C1C5D68A13}">
  <dimension ref="A1:G68"/>
  <sheetViews>
    <sheetView showGridLines="0" topLeftCell="H20" workbookViewId="0">
      <selection activeCell="H20" sqref="H20"/>
    </sheetView>
  </sheetViews>
  <sheetFormatPr defaultColWidth="16.28515625" defaultRowHeight="14.45"/>
  <cols>
    <col min="1" max="1" width="4" style="3" customWidth="1"/>
    <col min="2" max="16384" width="16.28515625" style="3"/>
  </cols>
  <sheetData>
    <row r="1" spans="1:7" ht="28.9">
      <c r="A1" s="14" t="s">
        <v>94</v>
      </c>
    </row>
    <row r="2" spans="1:7" ht="22.15">
      <c r="A2" s="13" t="s">
        <v>95</v>
      </c>
    </row>
    <row r="4" spans="1:7" ht="15" thickBot="1">
      <c r="A4" s="55"/>
      <c r="B4" s="58"/>
      <c r="C4" s="56" t="s">
        <v>96</v>
      </c>
      <c r="D4" s="58"/>
      <c r="E4" s="58"/>
      <c r="F4" s="56" t="s">
        <v>97</v>
      </c>
      <c r="G4" s="58"/>
    </row>
    <row r="5" spans="1:7" ht="15" thickBot="1">
      <c r="A5" s="12" t="s">
        <v>98</v>
      </c>
      <c r="B5" s="12" t="s">
        <v>99</v>
      </c>
      <c r="C5" s="12" t="s">
        <v>100</v>
      </c>
      <c r="D5" s="12" t="s">
        <v>101</v>
      </c>
      <c r="E5" s="12" t="s">
        <v>102</v>
      </c>
      <c r="F5" s="12" t="s">
        <v>103</v>
      </c>
      <c r="G5" s="12" t="s">
        <v>104</v>
      </c>
    </row>
    <row r="6" spans="1:7">
      <c r="B6" s="10">
        <v>42766</v>
      </c>
      <c r="C6" s="9">
        <v>47.24</v>
      </c>
      <c r="F6" s="8">
        <v>2278.87</v>
      </c>
    </row>
    <row r="7" spans="1:7">
      <c r="A7" s="11">
        <v>1</v>
      </c>
      <c r="B7" s="10">
        <v>42794</v>
      </c>
      <c r="C7" s="9">
        <v>49.93</v>
      </c>
      <c r="D7" s="9">
        <v>0.2</v>
      </c>
      <c r="E7" s="7">
        <v>6.1199999999999997E-2</v>
      </c>
      <c r="F7" s="8">
        <v>2363.64</v>
      </c>
      <c r="G7" s="7">
        <v>3.7199999999999997E-2</v>
      </c>
    </row>
    <row r="8" spans="1:7">
      <c r="A8" s="11">
        <v>2</v>
      </c>
      <c r="B8" s="10">
        <v>42825</v>
      </c>
      <c r="C8" s="9">
        <v>45.96</v>
      </c>
      <c r="E8" s="7">
        <v>-7.9500000000000001E-2</v>
      </c>
      <c r="F8" s="8">
        <v>2362.7199999999998</v>
      </c>
      <c r="G8" s="7">
        <v>-4.0000000000000002E-4</v>
      </c>
    </row>
    <row r="9" spans="1:7">
      <c r="A9" s="11">
        <v>3</v>
      </c>
      <c r="B9" s="10">
        <v>42855</v>
      </c>
      <c r="C9" s="9">
        <v>45.44</v>
      </c>
      <c r="E9" s="7">
        <v>-1.1299999999999999E-2</v>
      </c>
      <c r="F9" s="8">
        <v>2384.1999999999998</v>
      </c>
      <c r="G9" s="7">
        <v>9.1000000000000004E-3</v>
      </c>
    </row>
    <row r="10" spans="1:7">
      <c r="A10" s="11">
        <v>4</v>
      </c>
      <c r="B10" s="10">
        <v>42886</v>
      </c>
      <c r="C10" s="9">
        <v>49.13</v>
      </c>
      <c r="D10" s="9">
        <v>0.2</v>
      </c>
      <c r="E10" s="7">
        <v>8.5699999999999998E-2</v>
      </c>
      <c r="F10" s="8">
        <v>2411.8000000000002</v>
      </c>
      <c r="G10" s="7">
        <v>1.1599999999999999E-2</v>
      </c>
    </row>
    <row r="11" spans="1:7">
      <c r="A11" s="11">
        <v>5</v>
      </c>
      <c r="B11" s="10">
        <v>42916</v>
      </c>
      <c r="C11" s="9">
        <v>53.74</v>
      </c>
      <c r="E11" s="7">
        <v>9.3799999999999994E-2</v>
      </c>
      <c r="F11" s="8">
        <v>2423.41</v>
      </c>
      <c r="G11" s="7">
        <v>4.7999999999999996E-3</v>
      </c>
    </row>
    <row r="12" spans="1:7">
      <c r="A12" s="11">
        <v>6</v>
      </c>
      <c r="B12" s="10">
        <v>42947</v>
      </c>
      <c r="C12" s="9">
        <v>49.36</v>
      </c>
      <c r="E12" s="7">
        <v>-8.1500000000000003E-2</v>
      </c>
      <c r="F12" s="8">
        <v>2470.3000000000002</v>
      </c>
      <c r="G12" s="7">
        <v>1.9300000000000001E-2</v>
      </c>
    </row>
    <row r="13" spans="1:7">
      <c r="A13" s="11">
        <v>7</v>
      </c>
      <c r="B13" s="10">
        <v>42978</v>
      </c>
      <c r="C13" s="9">
        <v>47.19</v>
      </c>
      <c r="D13" s="9">
        <v>0.31</v>
      </c>
      <c r="E13" s="7">
        <v>-3.78E-2</v>
      </c>
      <c r="F13" s="8">
        <v>2471.65</v>
      </c>
      <c r="G13" s="7">
        <v>5.0000000000000001E-4</v>
      </c>
    </row>
    <row r="14" spans="1:7">
      <c r="A14" s="11">
        <v>8</v>
      </c>
      <c r="B14" s="10">
        <v>43008</v>
      </c>
      <c r="C14" s="9">
        <v>48.22</v>
      </c>
      <c r="E14" s="7">
        <v>2.18E-2</v>
      </c>
      <c r="F14" s="8">
        <v>2519.36</v>
      </c>
      <c r="G14" s="7">
        <v>1.9300000000000001E-2</v>
      </c>
    </row>
    <row r="15" spans="1:7">
      <c r="A15" s="11">
        <v>9</v>
      </c>
      <c r="B15" s="10">
        <v>43039</v>
      </c>
      <c r="C15" s="9">
        <v>50.03</v>
      </c>
      <c r="E15" s="7">
        <v>3.7499999999999999E-2</v>
      </c>
      <c r="F15" s="8">
        <v>2575.2600000000002</v>
      </c>
      <c r="G15" s="7">
        <v>2.2200000000000001E-2</v>
      </c>
    </row>
    <row r="16" spans="1:7">
      <c r="A16" s="11">
        <v>10</v>
      </c>
      <c r="B16" s="10">
        <v>43069</v>
      </c>
      <c r="C16" s="9">
        <v>52.92</v>
      </c>
      <c r="D16" s="9">
        <v>0.31</v>
      </c>
      <c r="E16" s="7">
        <v>6.3899999999999998E-2</v>
      </c>
      <c r="F16" s="8">
        <v>2647.58</v>
      </c>
      <c r="G16" s="7">
        <v>2.81E-2</v>
      </c>
    </row>
    <row r="17" spans="1:7">
      <c r="A17" s="11">
        <v>11</v>
      </c>
      <c r="B17" s="10">
        <v>43100</v>
      </c>
      <c r="C17" s="9">
        <v>56</v>
      </c>
      <c r="E17" s="7">
        <v>5.8200000000000002E-2</v>
      </c>
      <c r="F17" s="8">
        <v>2673.61</v>
      </c>
      <c r="G17" s="7">
        <v>9.7999999999999997E-3</v>
      </c>
    </row>
    <row r="18" spans="1:7">
      <c r="A18" s="11">
        <v>12</v>
      </c>
      <c r="B18" s="10">
        <v>43131</v>
      </c>
      <c r="C18" s="9">
        <v>56.77</v>
      </c>
      <c r="E18" s="7">
        <v>1.38E-2</v>
      </c>
      <c r="F18" s="8">
        <v>2823.81</v>
      </c>
      <c r="G18" s="7">
        <v>5.62E-2</v>
      </c>
    </row>
    <row r="19" spans="1:7">
      <c r="A19" s="11">
        <v>13</v>
      </c>
      <c r="B19" s="10">
        <v>43159</v>
      </c>
      <c r="C19" s="9">
        <v>53.9</v>
      </c>
      <c r="D19" s="9">
        <v>0.31</v>
      </c>
      <c r="E19" s="7">
        <v>-4.5199999999999997E-2</v>
      </c>
      <c r="F19" s="8">
        <v>2713.83</v>
      </c>
      <c r="G19" s="7">
        <v>-3.8899999999999997E-2</v>
      </c>
    </row>
    <row r="20" spans="1:7">
      <c r="A20" s="11">
        <v>14</v>
      </c>
      <c r="B20" s="10">
        <v>43190</v>
      </c>
      <c r="C20" s="9">
        <v>54.81</v>
      </c>
      <c r="E20" s="7">
        <v>1.6899999999999998E-2</v>
      </c>
      <c r="F20" s="8">
        <v>2640.87</v>
      </c>
      <c r="G20" s="7">
        <v>-2.69E-2</v>
      </c>
    </row>
    <row r="21" spans="1:7">
      <c r="A21" s="11">
        <v>15</v>
      </c>
      <c r="B21" s="10">
        <v>43220</v>
      </c>
      <c r="C21" s="9">
        <v>52.22</v>
      </c>
      <c r="E21" s="7">
        <v>-4.7300000000000002E-2</v>
      </c>
      <c r="F21" s="8">
        <v>2648.05</v>
      </c>
      <c r="G21" s="7">
        <v>2.7000000000000001E-3</v>
      </c>
    </row>
    <row r="22" spans="1:7">
      <c r="A22" s="11">
        <v>16</v>
      </c>
      <c r="B22" s="10">
        <v>43251</v>
      </c>
      <c r="C22" s="9">
        <v>54.05</v>
      </c>
      <c r="D22" s="9">
        <v>0.31</v>
      </c>
      <c r="E22" s="7">
        <v>4.0899999999999999E-2</v>
      </c>
      <c r="F22" s="8">
        <v>2705.27</v>
      </c>
      <c r="G22" s="7">
        <v>2.1600000000000001E-2</v>
      </c>
    </row>
    <row r="23" spans="1:7">
      <c r="A23" s="11">
        <v>17</v>
      </c>
      <c r="B23" s="10">
        <v>43281</v>
      </c>
      <c r="C23" s="9">
        <v>49.54</v>
      </c>
      <c r="E23" s="7">
        <v>-8.3400000000000002E-2</v>
      </c>
      <c r="F23" s="8">
        <v>2718.37</v>
      </c>
      <c r="G23" s="7">
        <v>4.7999999999999996E-3</v>
      </c>
    </row>
    <row r="24" spans="1:7">
      <c r="A24" s="11">
        <v>18</v>
      </c>
      <c r="B24" s="10">
        <v>43312</v>
      </c>
      <c r="C24" s="9">
        <v>54.42</v>
      </c>
      <c r="D24" s="9">
        <v>0.35</v>
      </c>
      <c r="E24" s="7">
        <v>0.1056</v>
      </c>
      <c r="F24" s="8">
        <v>2816.29</v>
      </c>
      <c r="G24" s="7">
        <v>3.5999999999999997E-2</v>
      </c>
    </row>
    <row r="25" spans="1:7">
      <c r="A25" s="11">
        <v>19</v>
      </c>
      <c r="B25" s="10">
        <v>43343</v>
      </c>
      <c r="C25" s="9">
        <v>58.48</v>
      </c>
      <c r="E25" s="7">
        <v>7.46E-2</v>
      </c>
      <c r="F25" s="8">
        <v>2901.52</v>
      </c>
      <c r="G25" s="7">
        <v>3.0300000000000001E-2</v>
      </c>
    </row>
    <row r="26" spans="1:7">
      <c r="A26" s="11">
        <v>20</v>
      </c>
      <c r="B26" s="10">
        <v>43373</v>
      </c>
      <c r="C26" s="9">
        <v>57.83</v>
      </c>
      <c r="E26" s="7">
        <v>-1.11E-2</v>
      </c>
      <c r="F26" s="8">
        <v>2913.98</v>
      </c>
      <c r="G26" s="7">
        <v>4.3E-3</v>
      </c>
    </row>
    <row r="27" spans="1:7">
      <c r="A27" s="11">
        <v>21</v>
      </c>
      <c r="B27" s="10">
        <v>43404</v>
      </c>
      <c r="C27" s="9">
        <v>54.73</v>
      </c>
      <c r="E27" s="7">
        <v>-5.3600000000000002E-2</v>
      </c>
      <c r="F27" s="8">
        <v>2711.74</v>
      </c>
      <c r="G27" s="7">
        <v>-6.9400000000000003E-2</v>
      </c>
    </row>
    <row r="28" spans="1:7">
      <c r="A28" s="11">
        <v>22</v>
      </c>
      <c r="B28" s="10">
        <v>43434</v>
      </c>
      <c r="C28" s="9">
        <v>60.71</v>
      </c>
      <c r="D28" s="9">
        <v>0.35</v>
      </c>
      <c r="E28" s="7">
        <v>0.1157</v>
      </c>
      <c r="F28" s="8">
        <v>2760.17</v>
      </c>
      <c r="G28" s="7">
        <v>1.7899999999999999E-2</v>
      </c>
    </row>
    <row r="29" spans="1:7">
      <c r="A29" s="11">
        <v>23</v>
      </c>
      <c r="B29" s="10">
        <v>43465</v>
      </c>
      <c r="C29" s="9">
        <v>49.9</v>
      </c>
      <c r="E29" s="7">
        <v>-0.17810000000000001</v>
      </c>
      <c r="F29" s="8">
        <v>2506.85</v>
      </c>
      <c r="G29" s="7">
        <v>-9.1800000000000007E-2</v>
      </c>
    </row>
    <row r="30" spans="1:7">
      <c r="A30" s="11">
        <v>24</v>
      </c>
      <c r="B30" s="10">
        <v>43496</v>
      </c>
      <c r="C30" s="9">
        <v>49.43</v>
      </c>
      <c r="E30" s="7">
        <v>-9.4000000000000004E-3</v>
      </c>
      <c r="F30" s="8">
        <v>2704.1</v>
      </c>
      <c r="G30" s="7">
        <v>7.8700000000000006E-2</v>
      </c>
    </row>
    <row r="31" spans="1:7">
      <c r="A31" s="11">
        <v>25</v>
      </c>
      <c r="B31" s="10">
        <v>43524</v>
      </c>
      <c r="C31" s="9">
        <v>49.58</v>
      </c>
      <c r="D31" s="9">
        <v>0.35</v>
      </c>
      <c r="E31" s="7">
        <v>1.01E-2</v>
      </c>
      <c r="F31" s="8">
        <v>2784.49</v>
      </c>
      <c r="G31" s="7">
        <v>2.9700000000000001E-2</v>
      </c>
    </row>
    <row r="32" spans="1:7">
      <c r="A32" s="11">
        <v>26</v>
      </c>
      <c r="B32" s="10">
        <v>43555</v>
      </c>
      <c r="C32" s="9">
        <v>51.65</v>
      </c>
      <c r="E32" s="7">
        <v>4.1799999999999997E-2</v>
      </c>
      <c r="F32" s="8">
        <v>2834.4</v>
      </c>
      <c r="G32" s="7">
        <v>1.7899999999999999E-2</v>
      </c>
    </row>
    <row r="33" spans="1:7">
      <c r="A33" s="11">
        <v>27</v>
      </c>
      <c r="B33" s="10">
        <v>43585</v>
      </c>
      <c r="C33" s="9">
        <v>58.29</v>
      </c>
      <c r="E33" s="7">
        <v>0.12859999999999999</v>
      </c>
      <c r="F33" s="8">
        <v>2945.83</v>
      </c>
      <c r="G33" s="7">
        <v>3.9300000000000002E-2</v>
      </c>
    </row>
    <row r="34" spans="1:7">
      <c r="A34" s="11">
        <v>28</v>
      </c>
      <c r="B34" s="10">
        <v>43616</v>
      </c>
      <c r="C34" s="9">
        <v>51.5</v>
      </c>
      <c r="D34" s="9">
        <v>0.35</v>
      </c>
      <c r="E34" s="7">
        <v>-0.1105</v>
      </c>
      <c r="F34" s="8">
        <v>2752.06</v>
      </c>
      <c r="G34" s="7">
        <v>-6.5799999999999997E-2</v>
      </c>
    </row>
    <row r="35" spans="1:7">
      <c r="A35" s="11">
        <v>29</v>
      </c>
      <c r="B35" s="10">
        <v>43646</v>
      </c>
      <c r="C35" s="9">
        <v>56.75</v>
      </c>
      <c r="E35" s="7">
        <v>0.1019</v>
      </c>
      <c r="F35" s="8">
        <v>2941.76</v>
      </c>
      <c r="G35" s="7">
        <v>6.8900000000000003E-2</v>
      </c>
    </row>
    <row r="36" spans="1:7">
      <c r="A36" s="11">
        <v>30</v>
      </c>
      <c r="B36" s="10">
        <v>43677</v>
      </c>
      <c r="C36" s="9">
        <v>61.04</v>
      </c>
      <c r="D36" s="9">
        <v>0.4</v>
      </c>
      <c r="E36" s="7">
        <v>8.2699999999999996E-2</v>
      </c>
      <c r="F36" s="8">
        <v>2980.38</v>
      </c>
      <c r="G36" s="7">
        <v>1.3100000000000001E-2</v>
      </c>
    </row>
    <row r="37" spans="1:7">
      <c r="A37" s="11">
        <v>31</v>
      </c>
      <c r="B37" s="10">
        <v>43708</v>
      </c>
      <c r="C37" s="9">
        <v>57.86</v>
      </c>
      <c r="E37" s="7">
        <v>-5.21E-2</v>
      </c>
      <c r="F37" s="8">
        <v>2926.46</v>
      </c>
      <c r="G37" s="7">
        <v>-1.8100000000000002E-2</v>
      </c>
    </row>
    <row r="38" spans="1:7">
      <c r="A38" s="11">
        <v>32</v>
      </c>
      <c r="B38" s="10">
        <v>43738</v>
      </c>
      <c r="C38" s="9">
        <v>57.6</v>
      </c>
      <c r="E38" s="7">
        <v>-4.4999999999999997E-3</v>
      </c>
      <c r="F38" s="8">
        <v>2976.74</v>
      </c>
      <c r="G38" s="7">
        <v>1.72E-2</v>
      </c>
    </row>
    <row r="39" spans="1:7">
      <c r="A39" s="11">
        <v>33</v>
      </c>
      <c r="B39" s="10">
        <v>43769</v>
      </c>
      <c r="C39" s="9">
        <v>55.08</v>
      </c>
      <c r="D39" s="9">
        <v>0.4</v>
      </c>
      <c r="E39" s="7">
        <v>-3.6799999999999999E-2</v>
      </c>
      <c r="F39" s="8">
        <v>3037.56</v>
      </c>
      <c r="G39" s="7">
        <v>2.0400000000000001E-2</v>
      </c>
    </row>
    <row r="40" spans="1:7">
      <c r="A40" s="11">
        <v>34</v>
      </c>
      <c r="B40" s="10">
        <v>43799</v>
      </c>
      <c r="C40" s="9">
        <v>57.31</v>
      </c>
      <c r="E40" s="7">
        <v>4.0500000000000001E-2</v>
      </c>
      <c r="F40" s="8">
        <v>3140.98</v>
      </c>
      <c r="G40" s="7">
        <v>3.4000000000000002E-2</v>
      </c>
    </row>
    <row r="41" spans="1:7">
      <c r="A41" s="11">
        <v>35</v>
      </c>
      <c r="B41" s="10">
        <v>43830</v>
      </c>
      <c r="C41" s="9">
        <v>58.48</v>
      </c>
      <c r="E41" s="7">
        <v>2.0400000000000001E-2</v>
      </c>
      <c r="F41" s="8">
        <v>3230.78</v>
      </c>
      <c r="G41" s="7">
        <v>2.86E-2</v>
      </c>
    </row>
    <row r="42" spans="1:7">
      <c r="A42" s="11">
        <v>36</v>
      </c>
      <c r="B42" s="10">
        <v>43861</v>
      </c>
      <c r="C42" s="9">
        <v>55.74</v>
      </c>
      <c r="E42" s="7">
        <v>-4.6899999999999997E-2</v>
      </c>
      <c r="F42" s="8">
        <v>3225.52</v>
      </c>
      <c r="G42" s="7">
        <v>-1.6000000000000001E-3</v>
      </c>
    </row>
    <row r="43" spans="1:7">
      <c r="A43" s="11">
        <v>37</v>
      </c>
      <c r="B43" s="10">
        <v>43890</v>
      </c>
      <c r="C43" s="9">
        <v>46.13</v>
      </c>
      <c r="D43" s="9">
        <v>0.4</v>
      </c>
      <c r="E43" s="7">
        <v>-0.16520000000000001</v>
      </c>
      <c r="F43" s="8">
        <v>2954.22</v>
      </c>
      <c r="G43" s="7">
        <v>-8.4099999999999994E-2</v>
      </c>
    </row>
    <row r="44" spans="1:7">
      <c r="A44" s="11">
        <v>38</v>
      </c>
      <c r="B44" s="10">
        <v>43921</v>
      </c>
      <c r="C44" s="9">
        <v>28.53</v>
      </c>
      <c r="E44" s="7">
        <v>-0.38150000000000001</v>
      </c>
      <c r="F44" s="8">
        <v>2584.59</v>
      </c>
      <c r="G44" s="7">
        <v>-0.12509999999999999</v>
      </c>
    </row>
    <row r="45" spans="1:7">
      <c r="A45" s="11">
        <v>39</v>
      </c>
      <c r="B45" s="10">
        <v>43951</v>
      </c>
      <c r="C45" s="9">
        <v>25.91</v>
      </c>
      <c r="E45" s="7">
        <v>-9.1800000000000007E-2</v>
      </c>
      <c r="F45" s="8">
        <v>2912.43</v>
      </c>
      <c r="G45" s="7">
        <v>0.1268</v>
      </c>
    </row>
    <row r="46" spans="1:7">
      <c r="A46" s="11">
        <v>40</v>
      </c>
      <c r="B46" s="10">
        <v>43982</v>
      </c>
      <c r="C46" s="9">
        <v>25.21</v>
      </c>
      <c r="E46" s="7">
        <v>-2.7E-2</v>
      </c>
      <c r="F46" s="8">
        <v>3044.31</v>
      </c>
      <c r="G46" s="7">
        <v>4.53E-2</v>
      </c>
    </row>
    <row r="47" spans="1:7">
      <c r="A47" s="11">
        <v>41</v>
      </c>
      <c r="B47" s="10">
        <v>44012</v>
      </c>
      <c r="C47" s="9">
        <v>28.05</v>
      </c>
      <c r="E47" s="7">
        <v>0.11269999999999999</v>
      </c>
      <c r="F47" s="8">
        <v>3100.29</v>
      </c>
      <c r="G47" s="7">
        <v>1.84E-2</v>
      </c>
    </row>
    <row r="48" spans="1:7">
      <c r="A48" s="11">
        <v>42</v>
      </c>
      <c r="B48" s="10">
        <v>44043</v>
      </c>
      <c r="C48" s="9">
        <v>24.97</v>
      </c>
      <c r="E48" s="7">
        <v>-0.10979999999999999</v>
      </c>
      <c r="F48" s="8">
        <v>3271.12</v>
      </c>
      <c r="G48" s="7">
        <v>5.5100000000000003E-2</v>
      </c>
    </row>
    <row r="49" spans="1:7">
      <c r="A49" s="11">
        <v>43</v>
      </c>
      <c r="B49" s="10">
        <v>44074</v>
      </c>
      <c r="C49" s="9">
        <v>30.85</v>
      </c>
      <c r="E49" s="7">
        <v>0.23549999999999999</v>
      </c>
      <c r="F49" s="8">
        <v>3500.31</v>
      </c>
      <c r="G49" s="7">
        <v>7.0099999999999996E-2</v>
      </c>
    </row>
    <row r="50" spans="1:7">
      <c r="A50" s="11">
        <v>44</v>
      </c>
      <c r="B50" s="10">
        <v>44104</v>
      </c>
      <c r="C50" s="9">
        <v>30.58</v>
      </c>
      <c r="E50" s="7">
        <v>-8.8000000000000005E-3</v>
      </c>
      <c r="F50" s="8">
        <v>3363</v>
      </c>
      <c r="G50" s="7">
        <v>-3.9199999999999999E-2</v>
      </c>
    </row>
    <row r="51" spans="1:7">
      <c r="A51" s="11">
        <v>45</v>
      </c>
      <c r="B51" s="10">
        <v>44135</v>
      </c>
      <c r="C51" s="9">
        <v>30.64</v>
      </c>
      <c r="E51" s="7">
        <v>2E-3</v>
      </c>
      <c r="F51" s="8">
        <v>3269.96</v>
      </c>
      <c r="G51" s="7">
        <v>-2.7699999999999999E-2</v>
      </c>
    </row>
    <row r="52" spans="1:7">
      <c r="A52" s="11">
        <v>46</v>
      </c>
      <c r="B52" s="10">
        <v>44165</v>
      </c>
      <c r="C52" s="9">
        <v>40.25</v>
      </c>
      <c r="E52" s="7">
        <v>0.31359999999999999</v>
      </c>
      <c r="F52" s="8">
        <v>3621.63</v>
      </c>
      <c r="G52" s="7">
        <v>0.1075</v>
      </c>
    </row>
    <row r="53" spans="1:7">
      <c r="A53" s="11">
        <v>47</v>
      </c>
      <c r="B53" s="10">
        <v>44196</v>
      </c>
      <c r="C53" s="9">
        <v>40.21</v>
      </c>
      <c r="E53" s="7">
        <v>-1E-3</v>
      </c>
      <c r="F53" s="8">
        <v>3756.07</v>
      </c>
      <c r="G53" s="7">
        <v>3.7100000000000001E-2</v>
      </c>
    </row>
    <row r="54" spans="1:7">
      <c r="A54" s="11">
        <v>48</v>
      </c>
      <c r="B54" s="10">
        <v>44227</v>
      </c>
      <c r="C54" s="9">
        <v>37.96</v>
      </c>
      <c r="E54" s="7">
        <v>-5.6000000000000001E-2</v>
      </c>
      <c r="F54" s="8">
        <v>3714.24</v>
      </c>
      <c r="G54" s="7">
        <v>-1.11E-2</v>
      </c>
    </row>
    <row r="55" spans="1:7">
      <c r="A55" s="11">
        <v>49</v>
      </c>
      <c r="B55" s="10">
        <v>44255</v>
      </c>
      <c r="C55" s="9">
        <v>47.94</v>
      </c>
      <c r="E55" s="7">
        <v>0.26290000000000002</v>
      </c>
      <c r="F55" s="8">
        <v>3811.15</v>
      </c>
      <c r="G55" s="7">
        <v>2.6100000000000002E-2</v>
      </c>
    </row>
    <row r="56" spans="1:7">
      <c r="A56" s="11">
        <v>50</v>
      </c>
      <c r="B56" s="10">
        <v>44286</v>
      </c>
      <c r="C56" s="9">
        <v>48.28</v>
      </c>
      <c r="E56" s="7">
        <v>7.1000000000000004E-3</v>
      </c>
      <c r="F56" s="8">
        <v>3972.89</v>
      </c>
      <c r="G56" s="7">
        <v>4.24E-2</v>
      </c>
    </row>
    <row r="57" spans="1:7">
      <c r="A57" s="11">
        <v>51</v>
      </c>
      <c r="B57" s="10">
        <v>44316</v>
      </c>
      <c r="C57" s="9">
        <v>46.92</v>
      </c>
      <c r="E57" s="7">
        <v>-2.8199999999999999E-2</v>
      </c>
      <c r="F57" s="8">
        <v>4181.17</v>
      </c>
      <c r="G57" s="7">
        <v>5.2400000000000002E-2</v>
      </c>
    </row>
    <row r="58" spans="1:7">
      <c r="A58" s="11">
        <v>52</v>
      </c>
      <c r="B58" s="10">
        <v>44347</v>
      </c>
      <c r="C58" s="9">
        <v>47.68</v>
      </c>
      <c r="E58" s="7">
        <v>1.6199999999999999E-2</v>
      </c>
      <c r="F58" s="8">
        <v>4204.1099999999997</v>
      </c>
      <c r="G58" s="7">
        <v>5.4999999999999997E-3</v>
      </c>
    </row>
    <row r="59" spans="1:7">
      <c r="A59" s="11">
        <v>53</v>
      </c>
      <c r="B59" s="10">
        <v>44377</v>
      </c>
      <c r="C59" s="9">
        <v>43.26</v>
      </c>
      <c r="E59" s="7">
        <v>-9.2700000000000005E-2</v>
      </c>
      <c r="F59" s="8">
        <v>4297.5</v>
      </c>
      <c r="G59" s="7">
        <v>2.2200000000000001E-2</v>
      </c>
    </row>
    <row r="60" spans="1:7">
      <c r="A60" s="11">
        <v>54</v>
      </c>
      <c r="B60" s="10">
        <v>44408</v>
      </c>
      <c r="C60" s="9">
        <v>39.9</v>
      </c>
      <c r="E60" s="7">
        <v>-7.7700000000000005E-2</v>
      </c>
      <c r="F60" s="8">
        <v>4395.26</v>
      </c>
      <c r="G60" s="7">
        <v>2.2700000000000001E-2</v>
      </c>
    </row>
    <row r="61" spans="1:7">
      <c r="A61" s="11">
        <v>55</v>
      </c>
      <c r="B61" s="10">
        <v>44439</v>
      </c>
      <c r="C61" s="9">
        <v>40.44</v>
      </c>
      <c r="E61" s="7">
        <v>1.35E-2</v>
      </c>
      <c r="F61" s="8">
        <v>4522.68</v>
      </c>
      <c r="G61" s="7">
        <v>2.9000000000000001E-2</v>
      </c>
    </row>
    <row r="62" spans="1:7">
      <c r="A62" s="11">
        <v>56</v>
      </c>
      <c r="B62" s="10">
        <v>44469</v>
      </c>
      <c r="C62" s="9">
        <v>42.61</v>
      </c>
      <c r="E62" s="7">
        <v>5.3699999999999998E-2</v>
      </c>
      <c r="F62" s="8">
        <v>4307.54</v>
      </c>
      <c r="G62" s="7">
        <v>-4.7600000000000003E-2</v>
      </c>
    </row>
    <row r="63" spans="1:7">
      <c r="A63" s="11">
        <v>57</v>
      </c>
      <c r="B63" s="10">
        <v>44500</v>
      </c>
      <c r="C63" s="9">
        <v>39.130000000000003</v>
      </c>
      <c r="E63" s="7">
        <v>-8.1699999999999995E-2</v>
      </c>
      <c r="F63" s="8">
        <v>4605.38</v>
      </c>
      <c r="G63" s="7">
        <v>6.9099999999999995E-2</v>
      </c>
    </row>
    <row r="64" spans="1:7">
      <c r="A64" s="11">
        <v>58</v>
      </c>
      <c r="B64" s="10">
        <v>44530</v>
      </c>
      <c r="C64" s="9">
        <v>36.200000000000003</v>
      </c>
      <c r="E64" s="7">
        <v>-7.4899999999999994E-2</v>
      </c>
      <c r="F64" s="8">
        <v>4567</v>
      </c>
      <c r="G64" s="7">
        <v>-8.3000000000000001E-3</v>
      </c>
    </row>
    <row r="65" spans="1:7">
      <c r="A65" s="11">
        <v>59</v>
      </c>
      <c r="B65" s="10">
        <v>44561</v>
      </c>
      <c r="C65" s="9">
        <v>39.08</v>
      </c>
      <c r="E65" s="7">
        <v>7.9600000000000004E-2</v>
      </c>
      <c r="F65" s="8">
        <v>4766.18</v>
      </c>
      <c r="G65" s="7">
        <v>4.36E-2</v>
      </c>
    </row>
    <row r="66" spans="1:7">
      <c r="A66" s="57" t="s">
        <v>105</v>
      </c>
      <c r="B66" s="58"/>
      <c r="C66" s="58"/>
      <c r="D66" s="58"/>
      <c r="E66" s="5">
        <v>3.8E-3</v>
      </c>
      <c r="G66" s="5">
        <v>1.3599999999999999E-2</v>
      </c>
    </row>
    <row r="67" spans="1:7">
      <c r="A67" s="57" t="s">
        <v>106</v>
      </c>
      <c r="B67" s="58"/>
      <c r="C67" s="58"/>
      <c r="D67" s="58"/>
      <c r="E67" s="5">
        <v>0.1057</v>
      </c>
      <c r="G67" s="5">
        <v>4.48E-2</v>
      </c>
    </row>
    <row r="68" spans="1:7">
      <c r="A68" s="4" t="s">
        <v>107</v>
      </c>
      <c r="B68" s="4"/>
      <c r="C68" s="4"/>
      <c r="D68" s="4"/>
      <c r="E68" s="4"/>
      <c r="F68" s="4"/>
      <c r="G68" s="4"/>
    </row>
  </sheetData>
  <mergeCells count="5">
    <mergeCell ref="A4:B4"/>
    <mergeCell ref="C4:E4"/>
    <mergeCell ref="F4:G4"/>
    <mergeCell ref="A66:D66"/>
    <mergeCell ref="A67:D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D9D4-B9E7-423F-8D2C-6F614FBECD1B}">
  <dimension ref="A1:D15"/>
  <sheetViews>
    <sheetView showGridLines="0" workbookViewId="0">
      <selection activeCell="B8" sqref="A5:B8"/>
    </sheetView>
  </sheetViews>
  <sheetFormatPr defaultColWidth="16.28515625" defaultRowHeight="14.45"/>
  <cols>
    <col min="1" max="1" width="60" style="3" customWidth="1"/>
    <col min="2" max="16384" width="16.28515625" style="3"/>
  </cols>
  <sheetData>
    <row r="1" spans="1:4" ht="28.9">
      <c r="A1" s="14" t="s">
        <v>94</v>
      </c>
    </row>
    <row r="2" spans="1:4" ht="22.15">
      <c r="A2" s="13" t="s">
        <v>108</v>
      </c>
    </row>
    <row r="4" spans="1:4">
      <c r="A4" s="16" t="s">
        <v>109</v>
      </c>
      <c r="B4" s="8">
        <v>111.66</v>
      </c>
    </row>
    <row r="5" spans="1:4">
      <c r="A5" s="16" t="s">
        <v>110</v>
      </c>
      <c r="B5" s="8">
        <v>20.07</v>
      </c>
      <c r="C5" s="3" t="s">
        <v>111</v>
      </c>
    </row>
    <row r="6" spans="1:4">
      <c r="A6" s="16" t="s">
        <v>112</v>
      </c>
      <c r="B6" s="8">
        <v>22.67</v>
      </c>
      <c r="C6" s="3" t="s">
        <v>111</v>
      </c>
    </row>
    <row r="7" spans="1:4">
      <c r="A7" s="16" t="s">
        <v>113</v>
      </c>
      <c r="B7" s="8">
        <v>0.45</v>
      </c>
    </row>
    <row r="8" spans="1:4">
      <c r="A8" s="6" t="s">
        <v>114</v>
      </c>
      <c r="B8" s="15">
        <f>B6/B5</f>
        <v>1.1295465869456902</v>
      </c>
      <c r="C8" s="3" t="s">
        <v>115</v>
      </c>
    </row>
    <row r="9" spans="1:4">
      <c r="A9" s="16" t="s">
        <v>116</v>
      </c>
      <c r="B9" s="7">
        <v>-1.37E-2</v>
      </c>
    </row>
    <row r="10" spans="1:4">
      <c r="A10" s="4" t="s">
        <v>107</v>
      </c>
      <c r="B10" s="4"/>
    </row>
    <row r="13" spans="1:4">
      <c r="A13" s="22" t="s">
        <v>117</v>
      </c>
      <c r="B13" s="3" t="s">
        <v>118</v>
      </c>
    </row>
    <row r="15" spans="1:4">
      <c r="B15" s="3" t="s">
        <v>119</v>
      </c>
      <c r="C15" s="3" t="s">
        <v>120</v>
      </c>
      <c r="D15" s="3">
        <f>B6 / B5</f>
        <v>1.1295465869456902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A222-9A18-4700-BE83-89171D5DF603}">
  <dimension ref="A1:G24"/>
  <sheetViews>
    <sheetView showGridLines="0" workbookViewId="0">
      <selection activeCell="C9" sqref="B9:C9"/>
    </sheetView>
  </sheetViews>
  <sheetFormatPr defaultColWidth="16.28515625" defaultRowHeight="15"/>
  <cols>
    <col min="1" max="1" width="60" style="3" customWidth="1"/>
    <col min="2" max="3" width="16.28515625" style="3"/>
    <col min="4" max="4" width="33.42578125" style="3" bestFit="1" customWidth="1"/>
    <col min="5" max="16384" width="16.28515625" style="3"/>
  </cols>
  <sheetData>
    <row r="1" spans="1:7" ht="28.9">
      <c r="A1" s="14" t="s">
        <v>94</v>
      </c>
    </row>
    <row r="2" spans="1:7" ht="22.15">
      <c r="A2" s="13" t="s">
        <v>121</v>
      </c>
    </row>
    <row r="3" spans="1:7" ht="14.45">
      <c r="D3" s="3" t="s">
        <v>122</v>
      </c>
    </row>
    <row r="4" spans="1:7" ht="34.9" customHeight="1">
      <c r="A4" s="17" t="s">
        <v>123</v>
      </c>
    </row>
    <row r="5" spans="1:7" ht="14.45">
      <c r="A5" s="39" t="s">
        <v>124</v>
      </c>
      <c r="B5" s="40" t="s">
        <v>125</v>
      </c>
      <c r="C5" s="41">
        <v>5.3999999999999999E-2</v>
      </c>
      <c r="D5" s="3" t="s">
        <v>126</v>
      </c>
    </row>
    <row r="6" spans="1:7">
      <c r="A6" s="39" t="s">
        <v>127</v>
      </c>
      <c r="B6" s="40" t="s">
        <v>128</v>
      </c>
      <c r="C6" s="41">
        <v>0.105</v>
      </c>
      <c r="D6" s="3" t="s">
        <v>129</v>
      </c>
    </row>
    <row r="7" spans="1:7">
      <c r="A7" s="39" t="s">
        <v>130</v>
      </c>
      <c r="B7" s="40" t="s">
        <v>114</v>
      </c>
      <c r="C7" s="42">
        <v>1.1299999999999999</v>
      </c>
      <c r="D7" s="54" t="s">
        <v>131</v>
      </c>
    </row>
    <row r="8" spans="1:7" ht="14.45">
      <c r="A8" s="43" t="s">
        <v>132</v>
      </c>
      <c r="B8" s="45" t="s">
        <v>133</v>
      </c>
      <c r="C8" s="44" t="s">
        <v>134</v>
      </c>
      <c r="E8" s="3" t="s">
        <v>135</v>
      </c>
    </row>
    <row r="9" spans="1:7" ht="14.45">
      <c r="A9" s="6" t="s">
        <v>136</v>
      </c>
      <c r="B9" s="6" t="s">
        <v>137</v>
      </c>
      <c r="C9" s="5">
        <f>C5+C7*(C6-C5)</f>
        <v>0.11162999999999999</v>
      </c>
      <c r="E9" s="25">
        <f>((C5 - D15) / (C6 - D15))</f>
        <v>1.0692070008535528</v>
      </c>
    </row>
    <row r="10" spans="1:7" ht="14.45">
      <c r="A10" s="4" t="s">
        <v>107</v>
      </c>
      <c r="B10" s="4"/>
      <c r="C10" s="4"/>
    </row>
    <row r="11" spans="1:7" ht="14.45">
      <c r="E11" s="3" t="s">
        <v>138</v>
      </c>
    </row>
    <row r="12" spans="1:7" ht="14.45">
      <c r="E12" s="3" t="s">
        <v>139</v>
      </c>
    </row>
    <row r="13" spans="1:7" ht="14.45"/>
    <row r="14" spans="1:7">
      <c r="A14" s="3" t="s">
        <v>140</v>
      </c>
      <c r="D14" s="3" t="s">
        <v>141</v>
      </c>
      <c r="E14" s="3">
        <v>2021</v>
      </c>
      <c r="F14" s="30">
        <v>2020</v>
      </c>
      <c r="G14" s="3">
        <v>2019</v>
      </c>
    </row>
    <row r="15" spans="1:7">
      <c r="D15" s="3">
        <f>AVERAGE(E15:I15)</f>
        <v>0.84191966666666673</v>
      </c>
      <c r="E15" s="3">
        <v>0.100199</v>
      </c>
      <c r="F15" s="30">
        <v>0.37008000000000002</v>
      </c>
      <c r="G15" s="3">
        <v>2.0554800000000002</v>
      </c>
    </row>
    <row r="16" spans="1:7">
      <c r="A16" s="3" t="s">
        <v>142</v>
      </c>
    </row>
    <row r="19" spans="2:4">
      <c r="B19" s="31"/>
      <c r="C19" s="32"/>
    </row>
    <row r="20" spans="2:4">
      <c r="B20" s="33"/>
      <c r="C20" s="34"/>
    </row>
    <row r="21" spans="2:4">
      <c r="B21" s="35"/>
      <c r="C21" s="36"/>
    </row>
    <row r="22" spans="2:4">
      <c r="B22" s="33"/>
      <c r="C22" s="34"/>
    </row>
    <row r="23" spans="2:4">
      <c r="B23" s="37"/>
      <c r="C23" s="38"/>
    </row>
    <row r="24" spans="2:4">
      <c r="C24" s="21"/>
      <c r="D24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DC2D-DA22-421E-A587-E073F75231C9}">
  <dimension ref="C4:F16"/>
  <sheetViews>
    <sheetView workbookViewId="0">
      <selection activeCell="D9" sqref="C4:D9"/>
    </sheetView>
  </sheetViews>
  <sheetFormatPr defaultRowHeight="15"/>
  <cols>
    <col min="3" max="3" width="17" bestFit="1" customWidth="1"/>
  </cols>
  <sheetData>
    <row r="4" spans="3:6">
      <c r="C4" s="46" t="s">
        <v>28</v>
      </c>
      <c r="D4" s="47">
        <f>RATE(D6,D7/100*1000/2,-D5,1000)</f>
        <v>4.379091694050672E-2</v>
      </c>
    </row>
    <row r="5" spans="3:6">
      <c r="C5" s="46" t="s">
        <v>17</v>
      </c>
      <c r="D5" s="46">
        <v>987.96</v>
      </c>
    </row>
    <row r="6" spans="3:6">
      <c r="C6" s="46" t="s">
        <v>19</v>
      </c>
      <c r="D6" s="46">
        <v>20</v>
      </c>
    </row>
    <row r="7" spans="3:6">
      <c r="C7" s="46" t="s">
        <v>21</v>
      </c>
      <c r="D7" s="46">
        <v>8.5749999999999993</v>
      </c>
    </row>
    <row r="8" spans="3:6">
      <c r="C8" s="46" t="s">
        <v>23</v>
      </c>
      <c r="D8" s="46">
        <v>2</v>
      </c>
    </row>
    <row r="9" spans="3:6">
      <c r="C9" s="46" t="s">
        <v>25</v>
      </c>
      <c r="D9" s="46">
        <v>1000</v>
      </c>
    </row>
    <row r="10" spans="3:6">
      <c r="C10" s="46"/>
      <c r="D10" s="46"/>
    </row>
    <row r="11" spans="3:6">
      <c r="C11" s="46" t="s">
        <v>28</v>
      </c>
      <c r="D11" s="47"/>
      <c r="F11" t="s">
        <v>29</v>
      </c>
    </row>
    <row r="14" spans="3:6">
      <c r="C14" t="s">
        <v>33</v>
      </c>
      <c r="D14" s="28" t="s">
        <v>34</v>
      </c>
    </row>
    <row r="15" spans="3:6">
      <c r="D15" t="s">
        <v>36</v>
      </c>
    </row>
    <row r="16" spans="3:6">
      <c r="D16" t="s">
        <v>38</v>
      </c>
    </row>
  </sheetData>
  <hyperlinks>
    <hyperlink ref="D14" r:id="rId1" xr:uid="{EE8CE412-A57A-463D-B2E8-4CC7B981069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4044-0E10-4EC8-9B2E-3E603C4A88D3}">
  <dimension ref="A1:H21"/>
  <sheetViews>
    <sheetView workbookViewId="0">
      <selection activeCell="H17" sqref="H17"/>
    </sheetView>
  </sheetViews>
  <sheetFormatPr defaultRowHeight="15"/>
  <cols>
    <col min="1" max="1" width="25.85546875" customWidth="1"/>
    <col min="4" max="4" width="12.5703125" customWidth="1"/>
    <col min="5" max="5" width="15.28515625" customWidth="1"/>
    <col min="7" max="7" width="36.28515625" customWidth="1"/>
  </cols>
  <sheetData>
    <row r="1" spans="4:7">
      <c r="D1" s="46" t="s">
        <v>143</v>
      </c>
      <c r="E1" s="47">
        <v>4.3799999999999999E-2</v>
      </c>
    </row>
    <row r="2" spans="4:7">
      <c r="D2" s="46"/>
      <c r="E2" s="46"/>
    </row>
    <row r="3" spans="4:7">
      <c r="D3" s="46" t="s">
        <v>144</v>
      </c>
      <c r="E3" s="47">
        <v>0.1116</v>
      </c>
      <c r="G3" t="s">
        <v>145</v>
      </c>
    </row>
    <row r="4" spans="4:7">
      <c r="D4" s="46"/>
      <c r="E4" s="46"/>
    </row>
    <row r="5" spans="4:7">
      <c r="D5" s="46" t="s">
        <v>146</v>
      </c>
      <c r="E5" s="46">
        <v>0.88</v>
      </c>
    </row>
    <row r="6" spans="4:7">
      <c r="D6" s="46"/>
      <c r="E6" s="46"/>
    </row>
    <row r="7" spans="4:7">
      <c r="D7" s="46" t="s">
        <v>147</v>
      </c>
      <c r="E7" s="46" t="s">
        <v>148</v>
      </c>
    </row>
    <row r="8" spans="4:7">
      <c r="D8" s="46"/>
      <c r="E8" s="46"/>
    </row>
    <row r="9" spans="4:7">
      <c r="D9" s="46" t="s">
        <v>149</v>
      </c>
      <c r="E9" s="46">
        <v>1</v>
      </c>
    </row>
    <row r="10" spans="4:7">
      <c r="D10" s="46"/>
      <c r="E10" s="46"/>
    </row>
    <row r="11" spans="4:7">
      <c r="D11" s="46" t="s">
        <v>150</v>
      </c>
      <c r="E11" s="47">
        <f>1/1.88</f>
        <v>0.53191489361702127</v>
      </c>
    </row>
    <row r="12" spans="4:7">
      <c r="D12" s="46"/>
      <c r="E12" s="46"/>
    </row>
    <row r="13" spans="4:7">
      <c r="D13" s="46" t="s">
        <v>151</v>
      </c>
      <c r="E13" s="47">
        <f>1-E11</f>
        <v>0.46808510638297873</v>
      </c>
    </row>
    <row r="14" spans="4:7">
      <c r="D14" s="46"/>
      <c r="E14" s="46"/>
    </row>
    <row r="15" spans="4:7">
      <c r="D15" s="46"/>
      <c r="E15" s="46"/>
    </row>
    <row r="16" spans="4:7">
      <c r="D16" s="46" t="s">
        <v>152</v>
      </c>
      <c r="E16" s="48">
        <f>(E11*E3) + (E13*E1) * (1 - H17)</f>
        <v>7.4799804255319152E-2</v>
      </c>
      <c r="G16" s="26" t="s">
        <v>153</v>
      </c>
    </row>
    <row r="17" spans="1:8">
      <c r="G17" t="s">
        <v>154</v>
      </c>
      <c r="H17" s="29">
        <v>0.247</v>
      </c>
    </row>
    <row r="19" spans="1:8">
      <c r="A19" t="s">
        <v>155</v>
      </c>
    </row>
    <row r="21" spans="1:8">
      <c r="D21" t="s">
        <v>33</v>
      </c>
      <c r="E21" s="23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F31D-DCBE-4153-A7AB-B6FF61ABB983}">
  <dimension ref="A3:E47"/>
  <sheetViews>
    <sheetView tabSelected="1" topLeftCell="A5" workbookViewId="0">
      <selection activeCell="F12" sqref="F12"/>
    </sheetView>
  </sheetViews>
  <sheetFormatPr defaultRowHeight="15"/>
  <cols>
    <col min="1" max="1" width="43.85546875" customWidth="1"/>
  </cols>
  <sheetData>
    <row r="3" spans="1:3">
      <c r="A3" t="s">
        <v>157</v>
      </c>
    </row>
    <row r="4" spans="1:3" ht="30.75">
      <c r="A4" s="16" t="s">
        <v>110</v>
      </c>
      <c r="B4" s="8">
        <v>20.07</v>
      </c>
    </row>
    <row r="5" spans="1:3" ht="45.75">
      <c r="A5" s="16" t="s">
        <v>112</v>
      </c>
      <c r="B5" s="8">
        <v>22.67</v>
      </c>
    </row>
    <row r="6" spans="1:3">
      <c r="A6" s="6" t="s">
        <v>114</v>
      </c>
      <c r="B6" s="15">
        <f>B5/B4</f>
        <v>1.1295465869456902</v>
      </c>
    </row>
    <row r="11" spans="1:3">
      <c r="A11" t="s">
        <v>133</v>
      </c>
    </row>
    <row r="13" spans="1:3">
      <c r="A13" s="39" t="s">
        <v>124</v>
      </c>
      <c r="B13" s="40" t="s">
        <v>125</v>
      </c>
      <c r="C13" s="41">
        <v>5.3999999999999999E-2</v>
      </c>
    </row>
    <row r="14" spans="1:3">
      <c r="A14" s="39" t="s">
        <v>127</v>
      </c>
      <c r="B14" s="40" t="s">
        <v>128</v>
      </c>
      <c r="C14" s="41">
        <v>0.105</v>
      </c>
    </row>
    <row r="15" spans="1:3" ht="30.75">
      <c r="A15" s="39" t="s">
        <v>130</v>
      </c>
      <c r="B15" s="40" t="s">
        <v>114</v>
      </c>
      <c r="C15" s="42">
        <v>1.1299999999999999</v>
      </c>
    </row>
    <row r="16" spans="1:3" ht="30.75">
      <c r="B16" s="6" t="s">
        <v>137</v>
      </c>
      <c r="C16" s="5">
        <f>C13+C15*(C14-C13)</f>
        <v>0.11162999999999999</v>
      </c>
    </row>
    <row r="20" spans="1:2">
      <c r="A20" t="s">
        <v>158</v>
      </c>
    </row>
    <row r="21" spans="1:2">
      <c r="A21" s="46" t="s">
        <v>28</v>
      </c>
      <c r="B21" s="47">
        <f>RATE(B23,B24/100*1000/2,-B22,1000)</f>
        <v>4.379091694050672E-2</v>
      </c>
    </row>
    <row r="22" spans="1:2">
      <c r="A22" s="46" t="s">
        <v>17</v>
      </c>
      <c r="B22" s="46">
        <v>987.96</v>
      </c>
    </row>
    <row r="23" spans="1:2">
      <c r="A23" s="46" t="s">
        <v>19</v>
      </c>
      <c r="B23" s="46">
        <v>20</v>
      </c>
    </row>
    <row r="24" spans="1:2">
      <c r="A24" s="46" t="s">
        <v>21</v>
      </c>
      <c r="B24" s="46">
        <v>8.5749999999999993</v>
      </c>
    </row>
    <row r="25" spans="1:2">
      <c r="A25" s="46" t="s">
        <v>23</v>
      </c>
      <c r="B25" s="46">
        <v>2</v>
      </c>
    </row>
    <row r="26" spans="1:2">
      <c r="A26" s="46" t="s">
        <v>25</v>
      </c>
      <c r="B26" s="46">
        <v>1000</v>
      </c>
    </row>
    <row r="29" spans="1:2">
      <c r="A29" t="s">
        <v>159</v>
      </c>
    </row>
    <row r="30" spans="1:2">
      <c r="A30" s="46" t="s">
        <v>143</v>
      </c>
      <c r="B30" s="47">
        <v>4.3799999999999999E-2</v>
      </c>
    </row>
    <row r="31" spans="1:2">
      <c r="A31" s="46"/>
      <c r="B31" s="46"/>
    </row>
    <row r="32" spans="1:2">
      <c r="A32" s="46" t="s">
        <v>144</v>
      </c>
      <c r="B32" s="47">
        <v>0.1116</v>
      </c>
    </row>
    <row r="33" spans="1:5">
      <c r="A33" s="46"/>
      <c r="B33" s="46"/>
    </row>
    <row r="34" spans="1:5">
      <c r="A34" s="46" t="s">
        <v>146</v>
      </c>
      <c r="B34" s="46">
        <v>0.88</v>
      </c>
    </row>
    <row r="35" spans="1:5">
      <c r="A35" s="46"/>
      <c r="B35" s="46"/>
    </row>
    <row r="36" spans="1:5">
      <c r="A36" s="46" t="s">
        <v>147</v>
      </c>
      <c r="B36" s="46" t="s">
        <v>148</v>
      </c>
    </row>
    <row r="37" spans="1:5">
      <c r="A37" s="46"/>
      <c r="B37" s="46"/>
    </row>
    <row r="38" spans="1:5">
      <c r="A38" s="46" t="s">
        <v>149</v>
      </c>
      <c r="B38" s="46">
        <v>1</v>
      </c>
    </row>
    <row r="39" spans="1:5">
      <c r="A39" s="46"/>
      <c r="B39" s="46"/>
    </row>
    <row r="40" spans="1:5">
      <c r="A40" s="46" t="s">
        <v>150</v>
      </c>
      <c r="B40" s="47">
        <f>1/1.88</f>
        <v>0.53191489361702127</v>
      </c>
    </row>
    <row r="41" spans="1:5">
      <c r="A41" s="46"/>
      <c r="B41" s="46"/>
    </row>
    <row r="42" spans="1:5">
      <c r="A42" s="46" t="s">
        <v>151</v>
      </c>
      <c r="B42" s="47">
        <f>1-B40</f>
        <v>0.46808510638297873</v>
      </c>
    </row>
    <row r="43" spans="1:5">
      <c r="A43" s="46"/>
      <c r="B43" s="46"/>
    </row>
    <row r="44" spans="1:5">
      <c r="A44" s="46"/>
      <c r="B44" s="46"/>
    </row>
    <row r="45" spans="1:5">
      <c r="A45" s="46" t="s">
        <v>152</v>
      </c>
      <c r="B45" s="48">
        <f>(B40*B32) + (B42*B30) * (1 - E46)</f>
        <v>7.4799804255319152E-2</v>
      </c>
    </row>
    <row r="46" spans="1:5">
      <c r="D46" t="s">
        <v>160</v>
      </c>
      <c r="E46">
        <f>24.7%</f>
        <v>0.247</v>
      </c>
    </row>
    <row r="47" spans="1:5">
      <c r="A47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C1AE-B6E9-4C17-BA6B-87795A757824}">
  <dimension ref="A1:G10"/>
  <sheetViews>
    <sheetView workbookViewId="0">
      <selection activeCell="K15" sqref="K15"/>
    </sheetView>
  </sheetViews>
  <sheetFormatPr defaultRowHeight="15"/>
  <cols>
    <col min="2" max="2" width="14.5703125" bestFit="1" customWidth="1"/>
    <col min="3" max="3" width="6.5703125" bestFit="1" customWidth="1"/>
    <col min="4" max="4" width="5.140625" bestFit="1" customWidth="1"/>
    <col min="5" max="5" width="4.85546875" bestFit="1" customWidth="1"/>
  </cols>
  <sheetData>
    <row r="1" spans="1:7">
      <c r="A1" s="50" t="s">
        <v>162</v>
      </c>
      <c r="B1" s="50" t="s">
        <v>163</v>
      </c>
      <c r="C1" s="50" t="s">
        <v>164</v>
      </c>
      <c r="F1" s="49"/>
    </row>
    <row r="2" spans="1:7">
      <c r="A2" s="51" t="s">
        <v>165</v>
      </c>
      <c r="B2" s="50" t="s">
        <v>166</v>
      </c>
      <c r="C2" s="50" t="s">
        <v>167</v>
      </c>
      <c r="D2" s="49"/>
      <c r="E2" s="49"/>
      <c r="F2" s="49"/>
      <c r="G2" s="49"/>
    </row>
    <row r="3" spans="1:7">
      <c r="A3" s="50"/>
      <c r="B3" s="50" t="s">
        <v>168</v>
      </c>
      <c r="C3" s="50" t="s">
        <v>167</v>
      </c>
      <c r="D3" s="49"/>
      <c r="E3" s="49"/>
      <c r="F3" s="49"/>
      <c r="G3" s="49"/>
    </row>
    <row r="4" spans="1:7">
      <c r="A4" s="50"/>
      <c r="B4" s="50" t="s">
        <v>169</v>
      </c>
      <c r="C4" s="50" t="s">
        <v>167</v>
      </c>
      <c r="D4" s="49"/>
      <c r="E4" s="49"/>
      <c r="F4" s="49"/>
      <c r="G4" s="49"/>
    </row>
    <row r="5" spans="1:7">
      <c r="A5" s="50"/>
      <c r="B5" s="50" t="s">
        <v>170</v>
      </c>
      <c r="C5" s="50" t="s">
        <v>167</v>
      </c>
      <c r="D5" s="49"/>
      <c r="E5" s="49"/>
      <c r="F5" s="49"/>
      <c r="G5" s="49"/>
    </row>
    <row r="6" spans="1:7">
      <c r="A6" s="50"/>
      <c r="B6" s="50" t="s">
        <v>171</v>
      </c>
      <c r="C6" s="50" t="s">
        <v>167</v>
      </c>
      <c r="D6" s="49"/>
      <c r="E6" s="49"/>
      <c r="F6" s="49"/>
      <c r="G6" s="49"/>
    </row>
    <row r="7" spans="1:7">
      <c r="A7" s="50"/>
      <c r="B7" s="50" t="s">
        <v>172</v>
      </c>
      <c r="C7" s="50" t="s">
        <v>167</v>
      </c>
      <c r="D7" s="49"/>
      <c r="E7" s="49"/>
      <c r="F7" s="49"/>
      <c r="G7" s="49"/>
    </row>
    <row r="8" spans="1:7">
      <c r="A8" s="50"/>
      <c r="B8" s="50"/>
      <c r="C8" s="50"/>
      <c r="D8" s="49"/>
      <c r="E8" s="49"/>
      <c r="F8" s="49"/>
      <c r="G8" s="49"/>
    </row>
    <row r="9" spans="1:7">
      <c r="A9" s="50" t="s">
        <v>173</v>
      </c>
      <c r="B9" s="52" t="s">
        <v>134</v>
      </c>
      <c r="C9" s="50"/>
      <c r="D9" s="49"/>
      <c r="E9" s="49"/>
      <c r="F9" s="49"/>
      <c r="G9" s="49"/>
    </row>
    <row r="10" spans="1:7">
      <c r="A10" s="50" t="s">
        <v>174</v>
      </c>
      <c r="B10" s="53" t="s">
        <v>134</v>
      </c>
      <c r="C10" s="46"/>
      <c r="D10" s="49"/>
      <c r="E10" s="49"/>
      <c r="F10" s="49"/>
      <c r="G10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Ricci, Nicholas</dc:creator>
  <cp:keywords/>
  <dc:description/>
  <cp:lastModifiedBy>Artem Malinin</cp:lastModifiedBy>
  <cp:revision/>
  <dcterms:created xsi:type="dcterms:W3CDTF">2023-09-05T12:51:57Z</dcterms:created>
  <dcterms:modified xsi:type="dcterms:W3CDTF">2024-01-22T21:02:26Z</dcterms:modified>
  <cp:category/>
  <cp:contentStatus/>
</cp:coreProperties>
</file>